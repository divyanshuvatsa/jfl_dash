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FCE298BF-2C3F-492A-A8CE-5C96ADA3BA85}" xr6:coauthVersionLast="47" xr6:coauthVersionMax="47" xr10:uidLastSave="{00000000-0000-0000-0000-000000000000}"/>
  <bookViews>
    <workbookView xWindow="-108" yWindow="-108" windowWidth="23256" windowHeight="12456" tabRatio="500" firstSheet="16" activeTab="18" xr2:uid="{00000000-000D-0000-FFFF-FFFF00000000}"/>
  </bookViews>
  <sheets>
    <sheet name="Cover Page" sheetId="1" r:id="rId1"/>
    <sheet name="Dashboard" sheetId="2" r:id="rId2"/>
    <sheet name="FY29 Covenant Compliance (TEV)" sheetId="3" r:id="rId3"/>
    <sheet name="Covenant Tracker" sheetId="4" r:id="rId4"/>
    <sheet name="Lender Summary" sheetId="5" r:id="rId5"/>
    <sheet name="Facility Master" sheetId="6" r:id="rId6"/>
    <sheet name="Term Loans" sheetId="7" r:id="rId7"/>
    <sheet name="Working Capital Facilities" sheetId="8" r:id="rId8"/>
    <sheet name="Non-Fund Based Facilities" sheetId="9" r:id="rId9"/>
    <sheet name="Repayment Schedule" sheetId="10" r:id="rId10"/>
    <sheet name="Interest Schedule" sheetId="11" r:id="rId11"/>
    <sheet name="Debt Pricing Table" sheetId="12" r:id="rId12"/>
    <sheet name="Security &amp; Charge Matrix" sheetId="13" r:id="rId13"/>
    <sheet name="Utilization Tracker" sheetId="14" r:id="rId14"/>
    <sheet name="Renewal &amp; Review Calendar" sheetId="15" r:id="rId15"/>
    <sheet name="Scenario Analysis" sheetId="16" r:id="rId16"/>
    <sheet name="TEV Inputs" sheetId="17" r:id="rId17"/>
    <sheet name="Instructions &amp; Assumptions" sheetId="18" r:id="rId18"/>
    <sheet name="Market-Practice Assumptions" sheetId="19" r:id="rId19"/>
    <sheet name="Notes" sheetId="20" r:id="rId20"/>
  </sheets>
  <definedNames>
    <definedName name="AdjustedConsortiumDebt">'Lender Summary'!$B$28</definedName>
    <definedName name="AsOfDate">'Instructions &amp; Assumptions'!$B$5</definedName>
    <definedName name="ATNW_Active">'Instructions &amp; Assumptions'!$B$34</definedName>
    <definedName name="Bucket0_Memo">'Interest Schedule'!$D$57</definedName>
    <definedName name="Bucket1_DebtTotal">'Interest Schedule'!$C$52</definedName>
    <definedName name="Bucket1_Interest">'Interest Schedule'!$D$52</definedName>
    <definedName name="Bucket2_Commission">'Interest Schedule'!$D$53</definedName>
    <definedName name="Bucket3_Interest">'Interest Schedule'!$D$54</definedName>
    <definedName name="Bucket4_Cost">'Interest Schedule'!$D$56</definedName>
    <definedName name="CA_Active">'Instructions &amp; Assumptions'!$B$35</definedName>
    <definedName name="CL_Active">'Instructions &amp; Assumptions'!$B$36</definedName>
    <definedName name="CovenantBreached">'Covenant Tracker'!$I$53</definedName>
    <definedName name="CovenantCompliant">'Covenant Tracker'!$I$51</definedName>
    <definedName name="CovenantCount">'Covenant Tracker'!$I$50</definedName>
    <definedName name="CovenantNearBreach">'Covenant Tracker'!$I$52</definedName>
    <definedName name="CovenantPending">'Covenant Tracker'!$I$54</definedName>
    <definedName name="DaysInYear">'Instructions &amp; Assumptions'!$B$8</definedName>
    <definedName name="DCCO_Revised">'Instructions &amp; Assumptions'!$B$10</definedName>
    <definedName name="EBITDA_Active">'Instructions &amp; Assumptions'!$B$30</definedName>
    <definedName name="EBLR_IDFC">'Instructions &amp; Assumptions'!$B$16</definedName>
    <definedName name="EBLR_YBL">'Instructions &amp; Assumptions'!$B$15</definedName>
    <definedName name="FA_Active">'Instructions &amp; Assumptions'!$B$39</definedName>
    <definedName name="FBMainsTotal">'Lender Summary'!$B$21</definedName>
    <definedName name="FDBackedTotal">'Lender Summary'!$B$24</definedName>
    <definedName name="FDRate_HDFC">'Instructions &amp; Assumptions'!$B$21</definedName>
    <definedName name="FinBasis">'Instructions &amp; Assumptions'!$B$9</definedName>
    <definedName name="FixedComm_Zero">'Instructions &amp; Assumptions'!$B$25</definedName>
    <definedName name="FX_USD_INR">'Instructions &amp; Assumptions'!$B$6</definedName>
    <definedName name="HedgeMemo">'Lender Summary'!$B$26</definedName>
    <definedName name="IB_TL_Maturity">'Instructions &amp; Assumptions'!$B$67</definedName>
    <definedName name="IB_TL_PrincOS">'Repayment Schedule'!$D$75</definedName>
    <definedName name="IB_TL_RepStart">'Instructions &amp; Assumptions'!$B$68</definedName>
    <definedName name="IB_TL_SNo">'Instructions &amp; Assumptions'!$B$81</definedName>
    <definedName name="ICICI_CC_SNo">'Instructions &amp; Assumptions'!$B$85</definedName>
    <definedName name="ICICI_TL_Maturity">'Instructions &amp; Assumptions'!$B$74</definedName>
    <definedName name="ICICI_TL_PrincOS">'Repayment Schedule'!$D$79</definedName>
    <definedName name="ICICI_TL_RepStart">'Instructions &amp; Assumptions'!$B$75</definedName>
    <definedName name="ICICI_TL_SNo">'Instructions &amp; Assumptions'!$B$86</definedName>
    <definedName name="ICICI_TL_Takeover">'Lender Summary'!$B$27</definedName>
    <definedName name="IDFC_TL_Maturity">'Instructions &amp; Assumptions'!$B$72</definedName>
    <definedName name="IDFC_TL_PrincOS">'Repayment Schedule'!$D$78</definedName>
    <definedName name="IDFC_TL_RepStart">'Instructions &amp; Assumptions'!$B$73</definedName>
    <definedName name="IDFC_TL_SNo">'Instructions &amp; Assumptions'!$B$84</definedName>
    <definedName name="IMCLR_ICICI_3M">'Instructions &amp; Assumptions'!$B$17</definedName>
    <definedName name="IMCLR_ICICI_6M">'Instructions &amp; Assumptions'!$B$18</definedName>
    <definedName name="IntExp_Active">'Instructions &amp; Assumptions'!$B$38</definedName>
    <definedName name="MCLR_UBI_1Y">'Instructions &amp; Assumptions'!$B$14</definedName>
    <definedName name="MutAgreed_Rate">'Instructions &amp; Assumptions'!$B$24</definedName>
    <definedName name="NA_Zero">'Instructions &amp; Assumptions'!$B$26</definedName>
    <definedName name="NFBContingent">'Lender Summary'!$B$23</definedName>
    <definedName name="NFBMainsTotal">'Lender Summary'!$B$22</definedName>
    <definedName name="PortfolioCompliancePct">'Covenant Tracker'!$I$55</definedName>
    <definedName name="PrincRep_Active">'Instructions &amp; Assumptions'!$B$43</definedName>
    <definedName name="_xlnm.Print_Area" localSheetId="0">'Cover Page'!$A$1:$C$23</definedName>
    <definedName name="_xlnm.Print_Area" localSheetId="1">Dashboard!$A$1:$Q$57</definedName>
    <definedName name="_xlnm.Print_Area" localSheetId="2">'FY29 Covenant Compliance (TEV)'!$A$1:$L$74</definedName>
    <definedName name="_xlnm.Print_Area" localSheetId="4">'Lender Summary'!$A$1:$G$50</definedName>
    <definedName name="PromStake_Active">'Instructions &amp; Assumptions'!$B$42</definedName>
    <definedName name="Rating_Active">'Instructions &amp; Assumptions'!$B$41</definedName>
    <definedName name="RBL_TL_Maturity">'Instructions &amp; Assumptions'!$B$69</definedName>
    <definedName name="RBL_TL_PrincOS">'Repayment Schedule'!$D$76</definedName>
    <definedName name="RBL_TL_SNo">'Instructions &amp; Assumptions'!$B$82</definedName>
    <definedName name="Repo_HDFC">'Instructions &amp; Assumptions'!$B$19</definedName>
    <definedName name="RepoRate">'Instructions &amp; Assumptions'!$B$20</definedName>
    <definedName name="SanctionedDebt">'Lender Summary'!$B$20</definedName>
    <definedName name="SchedTLRep_Active">'Instructions &amp; Assumptions'!$B$45</definedName>
    <definedName name="SecuredDebt_Active">'Instructions &amp; Assumptions'!$B$40</definedName>
    <definedName name="SOFR_3M">'Instructions &amp; Assumptions'!$B$22</definedName>
    <definedName name="TaxPaid_Active">'Instructions &amp; Assumptions'!$B$44</definedName>
    <definedName name="TBD_Rate">'Instructions &amp; Assumptions'!$B$23</definedName>
    <definedName name="TermDebt_Active">'Instructions &amp; Assumptions'!$B$32</definedName>
    <definedName name="TNW_Active">'Instructions &amp; Assumptions'!$B$33</definedName>
    <definedName name="TOL_Active">'Instructions &amp; Assumptions'!$B$37</definedName>
    <definedName name="Total_TL_PrincOS">'Repayment Schedule'!$D$80</definedName>
    <definedName name="TotalDebt_Active">'Instructions &amp; Assumptions'!$B$31</definedName>
    <definedName name="TotalIntComm">'Interest Schedule'!$D$55</definedName>
    <definedName name="UBI_RTL1_Maturity">'Instructions &amp; Assumptions'!$B$63</definedName>
    <definedName name="UBI_RTL1_PrincOS">'Repayment Schedule'!$D$73</definedName>
    <definedName name="UBI_RTL1_RepStart">'Instructions &amp; Assumptions'!$B$64</definedName>
    <definedName name="UBI_RTL1_SNo">'Instructions &amp; Assumptions'!$B$79</definedName>
    <definedName name="UBI_RTL2_Maturity">'Instructions &amp; Assumptions'!$B$65</definedName>
    <definedName name="UBI_RTL2_PrincOS">'Repayment Schedule'!$D$74</definedName>
    <definedName name="UBI_RTL2_RepStart">'Instructions &amp; Assumptions'!$B$66</definedName>
    <definedName name="UBI_RTL2_SNo">'Instructions &amp; Assumptions'!$B$80</definedName>
    <definedName name="UncommittedMemo">'Lender Summary'!$B$25</definedName>
    <definedName name="UseFullUtil">'Instructions &amp; Assumptions'!$B$7</definedName>
    <definedName name="WtAvgDebtCost">'Interest Schedule'!$C$59</definedName>
    <definedName name="YBL_TL_Maturity">'Instructions &amp; Assumptions'!$B$70</definedName>
    <definedName name="YBL_TL_PrincOS">'Repayment Schedule'!$D$77</definedName>
    <definedName name="YBL_TL_RepStart">'Instructions &amp; Assumptions'!$B$71</definedName>
    <definedName name="YBL_TL_SNo">'Instructions &amp; Assumptions'!$B$83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2" l="1"/>
  <c r="B16" i="2"/>
  <c r="B51" i="4"/>
  <c r="B7" i="18"/>
  <c r="C32" i="16"/>
  <c r="C31" i="16"/>
  <c r="C30" i="16"/>
  <c r="C29" i="16"/>
  <c r="E16" i="16"/>
  <c r="D16" i="16"/>
  <c r="C16" i="16"/>
  <c r="D47" i="15"/>
  <c r="C47" i="15"/>
  <c r="A47" i="15"/>
  <c r="D46" i="15"/>
  <c r="C46" i="15"/>
  <c r="A46" i="15"/>
  <c r="F45" i="15"/>
  <c r="G45" i="15" s="1"/>
  <c r="H45" i="15" s="1"/>
  <c r="E45" i="15"/>
  <c r="D45" i="15"/>
  <c r="C45" i="15"/>
  <c r="B45" i="15"/>
  <c r="A45" i="15"/>
  <c r="F44" i="15"/>
  <c r="G44" i="15" s="1"/>
  <c r="H44" i="15" s="1"/>
  <c r="E44" i="15"/>
  <c r="D44" i="15"/>
  <c r="C44" i="15"/>
  <c r="A44" i="15"/>
  <c r="F43" i="15"/>
  <c r="G43" i="15" s="1"/>
  <c r="H43" i="15" s="1"/>
  <c r="E43" i="15"/>
  <c r="D43" i="15"/>
  <c r="C43" i="15"/>
  <c r="A43" i="15"/>
  <c r="F42" i="15"/>
  <c r="G42" i="15" s="1"/>
  <c r="H42" i="15" s="1"/>
  <c r="E42" i="15"/>
  <c r="D42" i="15"/>
  <c r="C42" i="15"/>
  <c r="A42" i="15"/>
  <c r="F41" i="15"/>
  <c r="G41" i="15" s="1"/>
  <c r="H41" i="15" s="1"/>
  <c r="E41" i="15"/>
  <c r="D41" i="15"/>
  <c r="C41" i="15"/>
  <c r="A41" i="15"/>
  <c r="F40" i="15"/>
  <c r="G40" i="15" s="1"/>
  <c r="H40" i="15" s="1"/>
  <c r="E40" i="15"/>
  <c r="D40" i="15"/>
  <c r="C40" i="15"/>
  <c r="A40" i="15"/>
  <c r="F39" i="15"/>
  <c r="G39" i="15" s="1"/>
  <c r="H39" i="15" s="1"/>
  <c r="E39" i="15"/>
  <c r="D39" i="15"/>
  <c r="C39" i="15"/>
  <c r="A39" i="15"/>
  <c r="H38" i="15"/>
  <c r="G38" i="15"/>
  <c r="F38" i="15"/>
  <c r="E38" i="15"/>
  <c r="D38" i="15"/>
  <c r="C38" i="15"/>
  <c r="A38" i="15"/>
  <c r="G37" i="15"/>
  <c r="H37" i="15" s="1"/>
  <c r="F37" i="15"/>
  <c r="E37" i="15"/>
  <c r="D37" i="15"/>
  <c r="C37" i="15"/>
  <c r="B37" i="15"/>
  <c r="A37" i="15"/>
  <c r="F36" i="15"/>
  <c r="G36" i="15" s="1"/>
  <c r="H36" i="15" s="1"/>
  <c r="E36" i="15"/>
  <c r="D36" i="15"/>
  <c r="C36" i="15"/>
  <c r="A36" i="15"/>
  <c r="F35" i="15"/>
  <c r="G35" i="15" s="1"/>
  <c r="H35" i="15" s="1"/>
  <c r="E35" i="15"/>
  <c r="D35" i="15"/>
  <c r="C35" i="15"/>
  <c r="A35" i="15"/>
  <c r="F34" i="15"/>
  <c r="G34" i="15" s="1"/>
  <c r="H34" i="15" s="1"/>
  <c r="E34" i="15"/>
  <c r="D34" i="15"/>
  <c r="C34" i="15"/>
  <c r="A34" i="15"/>
  <c r="H33" i="15"/>
  <c r="G33" i="15"/>
  <c r="F33" i="15"/>
  <c r="E33" i="15"/>
  <c r="D33" i="15"/>
  <c r="C33" i="15"/>
  <c r="A33" i="15"/>
  <c r="G32" i="15"/>
  <c r="H32" i="15" s="1"/>
  <c r="F32" i="15"/>
  <c r="E32" i="15"/>
  <c r="D32" i="15"/>
  <c r="C32" i="15"/>
  <c r="A32" i="15"/>
  <c r="G31" i="15"/>
  <c r="H31" i="15" s="1"/>
  <c r="F31" i="15"/>
  <c r="E31" i="15"/>
  <c r="D31" i="15"/>
  <c r="C31" i="15"/>
  <c r="A31" i="15"/>
  <c r="G30" i="15"/>
  <c r="H30" i="15" s="1"/>
  <c r="F30" i="15"/>
  <c r="E30" i="15"/>
  <c r="D30" i="15"/>
  <c r="C30" i="15"/>
  <c r="A30" i="15"/>
  <c r="G29" i="15"/>
  <c r="H29" i="15" s="1"/>
  <c r="F29" i="15"/>
  <c r="E29" i="15"/>
  <c r="D29" i="15"/>
  <c r="C29" i="15"/>
  <c r="A29" i="15"/>
  <c r="G28" i="15"/>
  <c r="H28" i="15" s="1"/>
  <c r="F28" i="15"/>
  <c r="E28" i="15"/>
  <c r="D28" i="15"/>
  <c r="C28" i="15"/>
  <c r="A28" i="15"/>
  <c r="F27" i="15"/>
  <c r="G27" i="15" s="1"/>
  <c r="H27" i="15" s="1"/>
  <c r="E27" i="15"/>
  <c r="D27" i="15"/>
  <c r="C27" i="15"/>
  <c r="A27" i="15"/>
  <c r="F26" i="15"/>
  <c r="G26" i="15" s="1"/>
  <c r="H26" i="15" s="1"/>
  <c r="E26" i="15"/>
  <c r="D26" i="15"/>
  <c r="C26" i="15"/>
  <c r="A26" i="15"/>
  <c r="F25" i="15"/>
  <c r="G25" i="15" s="1"/>
  <c r="H25" i="15" s="1"/>
  <c r="E25" i="15"/>
  <c r="D25" i="15"/>
  <c r="C25" i="15"/>
  <c r="A25" i="15"/>
  <c r="F24" i="15"/>
  <c r="G24" i="15" s="1"/>
  <c r="H24" i="15" s="1"/>
  <c r="E24" i="15"/>
  <c r="D24" i="15"/>
  <c r="C24" i="15"/>
  <c r="A24" i="15"/>
  <c r="F23" i="15"/>
  <c r="G23" i="15" s="1"/>
  <c r="H23" i="15" s="1"/>
  <c r="E23" i="15"/>
  <c r="D23" i="15"/>
  <c r="C23" i="15"/>
  <c r="A23" i="15"/>
  <c r="F22" i="15"/>
  <c r="G22" i="15" s="1"/>
  <c r="H22" i="15" s="1"/>
  <c r="E22" i="15"/>
  <c r="D22" i="15"/>
  <c r="C22" i="15"/>
  <c r="B22" i="15"/>
  <c r="A22" i="15"/>
  <c r="F21" i="15"/>
  <c r="G21" i="15" s="1"/>
  <c r="H21" i="15" s="1"/>
  <c r="E21" i="15"/>
  <c r="D21" i="15"/>
  <c r="C21" i="15"/>
  <c r="A21" i="15"/>
  <c r="F20" i="15"/>
  <c r="G20" i="15" s="1"/>
  <c r="H20" i="15" s="1"/>
  <c r="E20" i="15"/>
  <c r="D20" i="15"/>
  <c r="C20" i="15"/>
  <c r="A20" i="15"/>
  <c r="F19" i="15"/>
  <c r="G19" i="15" s="1"/>
  <c r="H19" i="15" s="1"/>
  <c r="E19" i="15"/>
  <c r="D19" i="15"/>
  <c r="C19" i="15"/>
  <c r="A19" i="15"/>
  <c r="F18" i="15"/>
  <c r="G18" i="15" s="1"/>
  <c r="H18" i="15" s="1"/>
  <c r="E18" i="15"/>
  <c r="D18" i="15"/>
  <c r="C18" i="15"/>
  <c r="B18" i="15"/>
  <c r="A18" i="15"/>
  <c r="F17" i="15"/>
  <c r="G17" i="15" s="1"/>
  <c r="H17" i="15" s="1"/>
  <c r="E17" i="15"/>
  <c r="D17" i="15"/>
  <c r="C17" i="15"/>
  <c r="A17" i="15"/>
  <c r="F16" i="15"/>
  <c r="G16" i="15" s="1"/>
  <c r="H16" i="15" s="1"/>
  <c r="E16" i="15"/>
  <c r="D16" i="15"/>
  <c r="C16" i="15"/>
  <c r="A16" i="15"/>
  <c r="F15" i="15"/>
  <c r="G15" i="15" s="1"/>
  <c r="H15" i="15" s="1"/>
  <c r="E15" i="15"/>
  <c r="D15" i="15"/>
  <c r="C15" i="15"/>
  <c r="B15" i="15"/>
  <c r="A15" i="15"/>
  <c r="D14" i="15"/>
  <c r="C14" i="15"/>
  <c r="A14" i="15"/>
  <c r="G13" i="15"/>
  <c r="H13" i="15" s="1"/>
  <c r="F13" i="15"/>
  <c r="E13" i="15"/>
  <c r="D13" i="15"/>
  <c r="C13" i="15"/>
  <c r="B13" i="15"/>
  <c r="A13" i="15"/>
  <c r="G12" i="15"/>
  <c r="H12" i="15" s="1"/>
  <c r="F12" i="15"/>
  <c r="E12" i="15"/>
  <c r="D12" i="15"/>
  <c r="C12" i="15"/>
  <c r="A12" i="15"/>
  <c r="G11" i="15"/>
  <c r="H11" i="15" s="1"/>
  <c r="F11" i="15"/>
  <c r="E11" i="15"/>
  <c r="D11" i="15"/>
  <c r="C11" i="15"/>
  <c r="A11" i="15"/>
  <c r="G10" i="15"/>
  <c r="H10" i="15" s="1"/>
  <c r="F10" i="15"/>
  <c r="E10" i="15"/>
  <c r="D10" i="15"/>
  <c r="C10" i="15"/>
  <c r="B10" i="15"/>
  <c r="A10" i="15"/>
  <c r="F9" i="15"/>
  <c r="G9" i="15" s="1"/>
  <c r="H9" i="15" s="1"/>
  <c r="E9" i="15"/>
  <c r="D9" i="15"/>
  <c r="C9" i="15"/>
  <c r="B9" i="15"/>
  <c r="A9" i="15"/>
  <c r="F8" i="15"/>
  <c r="G8" i="15" s="1"/>
  <c r="H8" i="15" s="1"/>
  <c r="E8" i="15"/>
  <c r="D8" i="15"/>
  <c r="C8" i="15"/>
  <c r="A8" i="15"/>
  <c r="F7" i="15"/>
  <c r="G7" i="15" s="1"/>
  <c r="H7" i="15" s="1"/>
  <c r="E7" i="15"/>
  <c r="D7" i="15"/>
  <c r="C7" i="15"/>
  <c r="A7" i="15"/>
  <c r="F6" i="15"/>
  <c r="G6" i="15" s="1"/>
  <c r="H6" i="15" s="1"/>
  <c r="E6" i="15"/>
  <c r="D6" i="15"/>
  <c r="C6" i="15"/>
  <c r="A6" i="15"/>
  <c r="F5" i="15"/>
  <c r="G5" i="15" s="1"/>
  <c r="H5" i="15" s="1"/>
  <c r="E5" i="15"/>
  <c r="D5" i="15"/>
  <c r="C5" i="15"/>
  <c r="A5" i="15"/>
  <c r="F4" i="15"/>
  <c r="G4" i="15" s="1"/>
  <c r="H4" i="15" s="1"/>
  <c r="E4" i="15"/>
  <c r="D4" i="15"/>
  <c r="C4" i="15"/>
  <c r="B4" i="15"/>
  <c r="A4" i="15"/>
  <c r="C47" i="14"/>
  <c r="A47" i="14"/>
  <c r="C46" i="14"/>
  <c r="A46" i="14"/>
  <c r="H45" i="14"/>
  <c r="I45" i="14" s="1"/>
  <c r="C45" i="14"/>
  <c r="B45" i="14"/>
  <c r="A45" i="14"/>
  <c r="H44" i="14"/>
  <c r="I44" i="14" s="1"/>
  <c r="C44" i="14"/>
  <c r="A44" i="14"/>
  <c r="I43" i="14"/>
  <c r="H43" i="14"/>
  <c r="C43" i="14"/>
  <c r="A43" i="14"/>
  <c r="I42" i="14"/>
  <c r="H42" i="14"/>
  <c r="C42" i="14"/>
  <c r="A42" i="14"/>
  <c r="H41" i="14"/>
  <c r="I41" i="14" s="1"/>
  <c r="C41" i="14"/>
  <c r="A41" i="14"/>
  <c r="I40" i="14"/>
  <c r="H40" i="14"/>
  <c r="C40" i="14"/>
  <c r="A40" i="14"/>
  <c r="I39" i="14"/>
  <c r="H39" i="14"/>
  <c r="C39" i="14"/>
  <c r="A39" i="14"/>
  <c r="H38" i="14"/>
  <c r="I38" i="14" s="1"/>
  <c r="C38" i="14"/>
  <c r="A38" i="14"/>
  <c r="I37" i="14"/>
  <c r="H37" i="14"/>
  <c r="C37" i="14"/>
  <c r="B37" i="14"/>
  <c r="A37" i="14"/>
  <c r="H36" i="14"/>
  <c r="I36" i="14" s="1"/>
  <c r="C36" i="14"/>
  <c r="A36" i="14"/>
  <c r="I35" i="14"/>
  <c r="H35" i="14"/>
  <c r="C35" i="14"/>
  <c r="A35" i="14"/>
  <c r="I34" i="14"/>
  <c r="H34" i="14"/>
  <c r="C34" i="14"/>
  <c r="A34" i="14"/>
  <c r="H33" i="14"/>
  <c r="I33" i="14" s="1"/>
  <c r="C33" i="14"/>
  <c r="A33" i="14"/>
  <c r="I32" i="14"/>
  <c r="H32" i="14"/>
  <c r="C32" i="14"/>
  <c r="A32" i="14"/>
  <c r="I31" i="14"/>
  <c r="H31" i="14"/>
  <c r="C31" i="14"/>
  <c r="A31" i="14"/>
  <c r="H30" i="14"/>
  <c r="I30" i="14" s="1"/>
  <c r="C30" i="14"/>
  <c r="A30" i="14"/>
  <c r="I29" i="14"/>
  <c r="H29" i="14"/>
  <c r="C29" i="14"/>
  <c r="A29" i="14"/>
  <c r="I28" i="14"/>
  <c r="H28" i="14"/>
  <c r="C28" i="14"/>
  <c r="A28" i="14"/>
  <c r="H27" i="14"/>
  <c r="I27" i="14" s="1"/>
  <c r="C27" i="14"/>
  <c r="A27" i="14"/>
  <c r="I26" i="14"/>
  <c r="H26" i="14"/>
  <c r="C26" i="14"/>
  <c r="A26" i="14"/>
  <c r="I25" i="14"/>
  <c r="H25" i="14"/>
  <c r="C25" i="14"/>
  <c r="A25" i="14"/>
  <c r="H24" i="14"/>
  <c r="I24" i="14" s="1"/>
  <c r="C24" i="14"/>
  <c r="A24" i="14"/>
  <c r="I23" i="14"/>
  <c r="H23" i="14"/>
  <c r="C23" i="14"/>
  <c r="A23" i="14"/>
  <c r="I22" i="14"/>
  <c r="H22" i="14"/>
  <c r="C22" i="14"/>
  <c r="B22" i="14"/>
  <c r="A22" i="14"/>
  <c r="I21" i="14"/>
  <c r="H21" i="14"/>
  <c r="C21" i="14"/>
  <c r="A21" i="14"/>
  <c r="H20" i="14"/>
  <c r="I20" i="14" s="1"/>
  <c r="C20" i="14"/>
  <c r="A20" i="14"/>
  <c r="H19" i="14"/>
  <c r="I19" i="14" s="1"/>
  <c r="C19" i="14"/>
  <c r="A19" i="14"/>
  <c r="I18" i="14"/>
  <c r="H18" i="14"/>
  <c r="C18" i="14"/>
  <c r="B18" i="14"/>
  <c r="A18" i="14"/>
  <c r="H17" i="14"/>
  <c r="I17" i="14" s="1"/>
  <c r="C17" i="14"/>
  <c r="A17" i="14"/>
  <c r="I16" i="14"/>
  <c r="H16" i="14"/>
  <c r="C16" i="14"/>
  <c r="A16" i="14"/>
  <c r="H15" i="14"/>
  <c r="I15" i="14" s="1"/>
  <c r="C15" i="14"/>
  <c r="B15" i="14"/>
  <c r="A15" i="14"/>
  <c r="C14" i="14"/>
  <c r="A14" i="14"/>
  <c r="H13" i="14"/>
  <c r="I13" i="14" s="1"/>
  <c r="C13" i="14"/>
  <c r="B13" i="14"/>
  <c r="A13" i="14"/>
  <c r="I12" i="14"/>
  <c r="H12" i="14"/>
  <c r="C12" i="14"/>
  <c r="A12" i="14"/>
  <c r="H11" i="14"/>
  <c r="I11" i="14" s="1"/>
  <c r="C11" i="14"/>
  <c r="A11" i="14"/>
  <c r="I10" i="14"/>
  <c r="H10" i="14"/>
  <c r="C10" i="14"/>
  <c r="B10" i="14"/>
  <c r="A10" i="14"/>
  <c r="H9" i="14"/>
  <c r="I9" i="14" s="1"/>
  <c r="C9" i="14"/>
  <c r="B9" i="14"/>
  <c r="A9" i="14"/>
  <c r="H8" i="14"/>
  <c r="I8" i="14" s="1"/>
  <c r="C8" i="14"/>
  <c r="A8" i="14"/>
  <c r="H7" i="14"/>
  <c r="I7" i="14" s="1"/>
  <c r="C7" i="14"/>
  <c r="A7" i="14"/>
  <c r="I6" i="14"/>
  <c r="H6" i="14"/>
  <c r="C6" i="14"/>
  <c r="A6" i="14"/>
  <c r="H5" i="14"/>
  <c r="I5" i="14" s="1"/>
  <c r="C5" i="14"/>
  <c r="A5" i="14"/>
  <c r="H4" i="14"/>
  <c r="I4" i="14" s="1"/>
  <c r="C4" i="14"/>
  <c r="B4" i="14"/>
  <c r="A4" i="14"/>
  <c r="B12" i="13"/>
  <c r="B11" i="13"/>
  <c r="B10" i="13"/>
  <c r="B9" i="13"/>
  <c r="B8" i="13"/>
  <c r="B7" i="13"/>
  <c r="B6" i="13"/>
  <c r="B5" i="13"/>
  <c r="B4" i="13"/>
  <c r="I47" i="12"/>
  <c r="H47" i="12"/>
  <c r="F47" i="12"/>
  <c r="E47" i="12"/>
  <c r="D47" i="12"/>
  <c r="C47" i="12"/>
  <c r="A47" i="12"/>
  <c r="I46" i="12"/>
  <c r="H46" i="12"/>
  <c r="F46" i="12"/>
  <c r="E46" i="12"/>
  <c r="D46" i="12"/>
  <c r="C46" i="12"/>
  <c r="A46" i="12"/>
  <c r="I45" i="12"/>
  <c r="H45" i="12"/>
  <c r="F45" i="12"/>
  <c r="E45" i="12"/>
  <c r="D45" i="12"/>
  <c r="C45" i="12"/>
  <c r="A45" i="12"/>
  <c r="I44" i="12"/>
  <c r="H44" i="12"/>
  <c r="F44" i="12"/>
  <c r="E44" i="12"/>
  <c r="D44" i="12"/>
  <c r="C44" i="12"/>
  <c r="B44" i="12"/>
  <c r="A44" i="12"/>
  <c r="I43" i="12"/>
  <c r="H43" i="12"/>
  <c r="F43" i="12"/>
  <c r="E43" i="12"/>
  <c r="D43" i="12"/>
  <c r="C43" i="12"/>
  <c r="A43" i="12"/>
  <c r="I42" i="12"/>
  <c r="H42" i="12"/>
  <c r="F42" i="12"/>
  <c r="E42" i="12"/>
  <c r="D42" i="12"/>
  <c r="C42" i="12"/>
  <c r="A42" i="12"/>
  <c r="I41" i="12"/>
  <c r="H41" i="12"/>
  <c r="F41" i="12"/>
  <c r="E41" i="12"/>
  <c r="D41" i="12"/>
  <c r="C41" i="12"/>
  <c r="A41" i="12"/>
  <c r="I40" i="12"/>
  <c r="H40" i="12"/>
  <c r="F40" i="12"/>
  <c r="E40" i="12"/>
  <c r="D40" i="12"/>
  <c r="C40" i="12"/>
  <c r="A40" i="12"/>
  <c r="I39" i="12"/>
  <c r="H39" i="12"/>
  <c r="F39" i="12"/>
  <c r="E39" i="12"/>
  <c r="D39" i="12"/>
  <c r="C39" i="12"/>
  <c r="A39" i="12"/>
  <c r="I38" i="12"/>
  <c r="H38" i="12"/>
  <c r="F38" i="12"/>
  <c r="E38" i="12"/>
  <c r="D38" i="12"/>
  <c r="C38" i="12"/>
  <c r="A38" i="12"/>
  <c r="I37" i="12"/>
  <c r="H37" i="12"/>
  <c r="F37" i="12"/>
  <c r="E37" i="12"/>
  <c r="D37" i="12"/>
  <c r="C37" i="12"/>
  <c r="A37" i="12"/>
  <c r="I36" i="12"/>
  <c r="H36" i="12"/>
  <c r="F36" i="12"/>
  <c r="E36" i="12"/>
  <c r="D36" i="12"/>
  <c r="C36" i="12"/>
  <c r="B36" i="12"/>
  <c r="A36" i="12"/>
  <c r="I35" i="12"/>
  <c r="H35" i="12"/>
  <c r="F35" i="12"/>
  <c r="E35" i="12"/>
  <c r="D35" i="12"/>
  <c r="C35" i="12"/>
  <c r="A35" i="12"/>
  <c r="I34" i="12"/>
  <c r="H34" i="12"/>
  <c r="F34" i="12"/>
  <c r="E34" i="12"/>
  <c r="D34" i="12"/>
  <c r="C34" i="12"/>
  <c r="A34" i="12"/>
  <c r="I33" i="12"/>
  <c r="H33" i="12"/>
  <c r="F33" i="12"/>
  <c r="E33" i="12"/>
  <c r="D33" i="12"/>
  <c r="C33" i="12"/>
  <c r="A33" i="12"/>
  <c r="I32" i="12"/>
  <c r="H32" i="12"/>
  <c r="F32" i="12"/>
  <c r="E32" i="12"/>
  <c r="D32" i="12"/>
  <c r="C32" i="12"/>
  <c r="A32" i="12"/>
  <c r="I31" i="12"/>
  <c r="H31" i="12"/>
  <c r="F31" i="12"/>
  <c r="E31" i="12"/>
  <c r="D31" i="12"/>
  <c r="C31" i="12"/>
  <c r="A31" i="12"/>
  <c r="I30" i="12"/>
  <c r="H30" i="12"/>
  <c r="F30" i="12"/>
  <c r="E30" i="12"/>
  <c r="D30" i="12"/>
  <c r="C30" i="12"/>
  <c r="A30" i="12"/>
  <c r="I29" i="12"/>
  <c r="H29" i="12"/>
  <c r="F29" i="12"/>
  <c r="E29" i="12"/>
  <c r="D29" i="12"/>
  <c r="C29" i="12"/>
  <c r="A29" i="12"/>
  <c r="I28" i="12"/>
  <c r="H28" i="12"/>
  <c r="F28" i="12"/>
  <c r="E28" i="12"/>
  <c r="D28" i="12"/>
  <c r="C28" i="12"/>
  <c r="A28" i="12"/>
  <c r="I27" i="12"/>
  <c r="H27" i="12"/>
  <c r="F27" i="12"/>
  <c r="E27" i="12"/>
  <c r="D27" i="12"/>
  <c r="C27" i="12"/>
  <c r="A27" i="12"/>
  <c r="I26" i="12"/>
  <c r="H26" i="12"/>
  <c r="F26" i="12"/>
  <c r="E26" i="12"/>
  <c r="D26" i="12"/>
  <c r="C26" i="12"/>
  <c r="A26" i="12"/>
  <c r="I25" i="12"/>
  <c r="H25" i="12"/>
  <c r="F25" i="12"/>
  <c r="E25" i="12"/>
  <c r="D25" i="12"/>
  <c r="C25" i="12"/>
  <c r="A25" i="12"/>
  <c r="I24" i="12"/>
  <c r="H24" i="12"/>
  <c r="F24" i="12"/>
  <c r="E24" i="12"/>
  <c r="D24" i="12"/>
  <c r="C24" i="12"/>
  <c r="A24" i="12"/>
  <c r="I23" i="12"/>
  <c r="H23" i="12"/>
  <c r="F23" i="12"/>
  <c r="E23" i="12"/>
  <c r="D23" i="12"/>
  <c r="C23" i="12"/>
  <c r="A23" i="12"/>
  <c r="I22" i="12"/>
  <c r="H22" i="12"/>
  <c r="F22" i="12"/>
  <c r="E22" i="12"/>
  <c r="D22" i="12"/>
  <c r="C22" i="12"/>
  <c r="B22" i="12"/>
  <c r="A22" i="12"/>
  <c r="I21" i="12"/>
  <c r="H21" i="12"/>
  <c r="F21" i="12"/>
  <c r="E21" i="12"/>
  <c r="D21" i="12"/>
  <c r="C21" i="12"/>
  <c r="A21" i="12"/>
  <c r="I20" i="12"/>
  <c r="H20" i="12"/>
  <c r="F20" i="12"/>
  <c r="E20" i="12"/>
  <c r="D20" i="12"/>
  <c r="C20" i="12"/>
  <c r="A20" i="12"/>
  <c r="I19" i="12"/>
  <c r="H19" i="12"/>
  <c r="F19" i="12"/>
  <c r="E19" i="12"/>
  <c r="D19" i="12"/>
  <c r="C19" i="12"/>
  <c r="A19" i="12"/>
  <c r="I18" i="12"/>
  <c r="H18" i="12"/>
  <c r="F18" i="12"/>
  <c r="E18" i="12"/>
  <c r="D18" i="12"/>
  <c r="C18" i="12"/>
  <c r="B18" i="12"/>
  <c r="A18" i="12"/>
  <c r="I17" i="12"/>
  <c r="H17" i="12"/>
  <c r="F17" i="12"/>
  <c r="E17" i="12"/>
  <c r="D17" i="12"/>
  <c r="C17" i="12"/>
  <c r="A17" i="12"/>
  <c r="I16" i="12"/>
  <c r="H16" i="12"/>
  <c r="F16" i="12"/>
  <c r="E16" i="12"/>
  <c r="D16" i="12"/>
  <c r="C16" i="12"/>
  <c r="A16" i="12"/>
  <c r="I15" i="12"/>
  <c r="H15" i="12"/>
  <c r="F15" i="12"/>
  <c r="E15" i="12"/>
  <c r="D15" i="12"/>
  <c r="C15" i="12"/>
  <c r="B15" i="12"/>
  <c r="A15" i="12"/>
  <c r="I14" i="12"/>
  <c r="H14" i="12"/>
  <c r="F14" i="12"/>
  <c r="E14" i="12"/>
  <c r="D14" i="12"/>
  <c r="C14" i="12"/>
  <c r="A14" i="12"/>
  <c r="I13" i="12"/>
  <c r="H13" i="12"/>
  <c r="F13" i="12"/>
  <c r="E13" i="12"/>
  <c r="D13" i="12"/>
  <c r="C13" i="12"/>
  <c r="B13" i="12"/>
  <c r="A13" i="12"/>
  <c r="I12" i="12"/>
  <c r="H12" i="12"/>
  <c r="F12" i="12"/>
  <c r="E12" i="12"/>
  <c r="D12" i="12"/>
  <c r="C12" i="12"/>
  <c r="A12" i="12"/>
  <c r="I11" i="12"/>
  <c r="H11" i="12"/>
  <c r="F11" i="12"/>
  <c r="E11" i="12"/>
  <c r="D11" i="12"/>
  <c r="C11" i="12"/>
  <c r="A11" i="12"/>
  <c r="I10" i="12"/>
  <c r="H10" i="12"/>
  <c r="F10" i="12"/>
  <c r="E10" i="12"/>
  <c r="D10" i="12"/>
  <c r="C10" i="12"/>
  <c r="B10" i="12"/>
  <c r="A10" i="12"/>
  <c r="I9" i="12"/>
  <c r="H9" i="12"/>
  <c r="F9" i="12"/>
  <c r="E9" i="12"/>
  <c r="D9" i="12"/>
  <c r="C9" i="12"/>
  <c r="B9" i="12"/>
  <c r="A9" i="12"/>
  <c r="I8" i="12"/>
  <c r="H8" i="12"/>
  <c r="F8" i="12"/>
  <c r="E8" i="12"/>
  <c r="D8" i="12"/>
  <c r="C8" i="12"/>
  <c r="A8" i="12"/>
  <c r="I7" i="12"/>
  <c r="H7" i="12"/>
  <c r="F7" i="12"/>
  <c r="E7" i="12"/>
  <c r="D7" i="12"/>
  <c r="C7" i="12"/>
  <c r="A7" i="12"/>
  <c r="I6" i="12"/>
  <c r="H6" i="12"/>
  <c r="F6" i="12"/>
  <c r="E6" i="12"/>
  <c r="D6" i="12"/>
  <c r="C6" i="12"/>
  <c r="A6" i="12"/>
  <c r="I5" i="12"/>
  <c r="H5" i="12"/>
  <c r="F5" i="12"/>
  <c r="E5" i="12"/>
  <c r="D5" i="12"/>
  <c r="C5" i="12"/>
  <c r="A5" i="12"/>
  <c r="I4" i="12"/>
  <c r="H4" i="12"/>
  <c r="F4" i="12"/>
  <c r="E4" i="12"/>
  <c r="D4" i="12"/>
  <c r="C4" i="12"/>
  <c r="B4" i="12"/>
  <c r="A4" i="12"/>
  <c r="K47" i="11"/>
  <c r="J47" i="11"/>
  <c r="E47" i="11"/>
  <c r="D47" i="11"/>
  <c r="C47" i="11"/>
  <c r="A47" i="11"/>
  <c r="K46" i="11"/>
  <c r="J46" i="11"/>
  <c r="E46" i="11"/>
  <c r="D46" i="11"/>
  <c r="C46" i="11"/>
  <c r="A46" i="11"/>
  <c r="K45" i="11"/>
  <c r="J45" i="11"/>
  <c r="E45" i="11"/>
  <c r="D45" i="11"/>
  <c r="C45" i="11"/>
  <c r="A45" i="11"/>
  <c r="K44" i="11"/>
  <c r="J44" i="11"/>
  <c r="E44" i="11"/>
  <c r="D44" i="11"/>
  <c r="C44" i="11"/>
  <c r="B44" i="11"/>
  <c r="A44" i="11"/>
  <c r="K43" i="11"/>
  <c r="J43" i="11"/>
  <c r="E43" i="11"/>
  <c r="D43" i="11"/>
  <c r="C43" i="11"/>
  <c r="A43" i="11"/>
  <c r="K42" i="11"/>
  <c r="J42" i="11"/>
  <c r="E42" i="11"/>
  <c r="D42" i="11"/>
  <c r="C42" i="11"/>
  <c r="A42" i="11"/>
  <c r="K41" i="11"/>
  <c r="J41" i="11"/>
  <c r="E41" i="11"/>
  <c r="D41" i="11"/>
  <c r="C41" i="11"/>
  <c r="A41" i="11"/>
  <c r="K40" i="11"/>
  <c r="J40" i="11"/>
  <c r="E40" i="11"/>
  <c r="D40" i="11"/>
  <c r="C40" i="11"/>
  <c r="A40" i="11"/>
  <c r="K39" i="11"/>
  <c r="J39" i="11"/>
  <c r="E39" i="11"/>
  <c r="D39" i="11"/>
  <c r="C39" i="11"/>
  <c r="A39" i="11"/>
  <c r="K38" i="11"/>
  <c r="J38" i="11"/>
  <c r="E38" i="11"/>
  <c r="D38" i="11"/>
  <c r="C38" i="11"/>
  <c r="A38" i="11"/>
  <c r="K37" i="11"/>
  <c r="J37" i="11"/>
  <c r="E37" i="11"/>
  <c r="D37" i="11"/>
  <c r="C37" i="11"/>
  <c r="A37" i="11"/>
  <c r="K36" i="11"/>
  <c r="J36" i="11"/>
  <c r="E36" i="11"/>
  <c r="D36" i="11"/>
  <c r="C36" i="11"/>
  <c r="B36" i="11"/>
  <c r="A36" i="11"/>
  <c r="K35" i="11"/>
  <c r="J35" i="11"/>
  <c r="E35" i="11"/>
  <c r="D35" i="11"/>
  <c r="C35" i="11"/>
  <c r="A35" i="11"/>
  <c r="K34" i="11"/>
  <c r="J34" i="11"/>
  <c r="E34" i="11"/>
  <c r="D34" i="11"/>
  <c r="C34" i="11"/>
  <c r="A34" i="11"/>
  <c r="K33" i="11"/>
  <c r="J33" i="11"/>
  <c r="E33" i="11"/>
  <c r="D33" i="11"/>
  <c r="C33" i="11"/>
  <c r="A33" i="11"/>
  <c r="K32" i="11"/>
  <c r="J32" i="11"/>
  <c r="E32" i="11"/>
  <c r="D32" i="11"/>
  <c r="C32" i="11"/>
  <c r="A32" i="11"/>
  <c r="K31" i="11"/>
  <c r="J31" i="11"/>
  <c r="E31" i="11"/>
  <c r="D31" i="11"/>
  <c r="C31" i="11"/>
  <c r="A31" i="11"/>
  <c r="K30" i="11"/>
  <c r="J30" i="11"/>
  <c r="E30" i="11"/>
  <c r="D30" i="11"/>
  <c r="C30" i="11"/>
  <c r="A30" i="11"/>
  <c r="K29" i="11"/>
  <c r="J29" i="11"/>
  <c r="E29" i="11"/>
  <c r="D29" i="11"/>
  <c r="C29" i="11"/>
  <c r="A29" i="11"/>
  <c r="K28" i="11"/>
  <c r="J28" i="11"/>
  <c r="E28" i="11"/>
  <c r="D28" i="11"/>
  <c r="C28" i="11"/>
  <c r="A28" i="11"/>
  <c r="K27" i="11"/>
  <c r="J27" i="11"/>
  <c r="E27" i="11"/>
  <c r="D27" i="11"/>
  <c r="C27" i="11"/>
  <c r="A27" i="11"/>
  <c r="K26" i="11"/>
  <c r="J26" i="11"/>
  <c r="E26" i="11"/>
  <c r="D26" i="11"/>
  <c r="C26" i="11"/>
  <c r="A26" i="11"/>
  <c r="K25" i="11"/>
  <c r="J25" i="11"/>
  <c r="E25" i="11"/>
  <c r="D25" i="11"/>
  <c r="C25" i="11"/>
  <c r="A25" i="11"/>
  <c r="K24" i="11"/>
  <c r="J24" i="11"/>
  <c r="E24" i="11"/>
  <c r="D24" i="11"/>
  <c r="C24" i="11"/>
  <c r="A24" i="11"/>
  <c r="K23" i="11"/>
  <c r="J23" i="11"/>
  <c r="E23" i="11"/>
  <c r="D23" i="11"/>
  <c r="C23" i="11"/>
  <c r="A23" i="11"/>
  <c r="K22" i="11"/>
  <c r="J22" i="11"/>
  <c r="E22" i="11"/>
  <c r="D22" i="11"/>
  <c r="C22" i="11"/>
  <c r="B22" i="11"/>
  <c r="A22" i="11"/>
  <c r="K21" i="11"/>
  <c r="J21" i="11"/>
  <c r="E21" i="11"/>
  <c r="D21" i="11"/>
  <c r="C21" i="11"/>
  <c r="A21" i="11"/>
  <c r="K20" i="11"/>
  <c r="J20" i="11"/>
  <c r="E20" i="11"/>
  <c r="D20" i="11"/>
  <c r="C20" i="11"/>
  <c r="A20" i="11"/>
  <c r="K19" i="11"/>
  <c r="J19" i="11"/>
  <c r="E19" i="11"/>
  <c r="D19" i="11"/>
  <c r="C19" i="11"/>
  <c r="A19" i="11"/>
  <c r="K18" i="11"/>
  <c r="J18" i="11"/>
  <c r="E18" i="11"/>
  <c r="D18" i="11"/>
  <c r="C18" i="11"/>
  <c r="B18" i="11"/>
  <c r="A18" i="11"/>
  <c r="K17" i="11"/>
  <c r="J17" i="11"/>
  <c r="E17" i="11"/>
  <c r="D17" i="11"/>
  <c r="C17" i="11"/>
  <c r="A17" i="11"/>
  <c r="K16" i="11"/>
  <c r="J16" i="11"/>
  <c r="E16" i="11"/>
  <c r="D16" i="11"/>
  <c r="C16" i="11"/>
  <c r="A16" i="11"/>
  <c r="K15" i="11"/>
  <c r="J15" i="11"/>
  <c r="E15" i="11"/>
  <c r="D15" i="11"/>
  <c r="C15" i="11"/>
  <c r="B15" i="11"/>
  <c r="A15" i="11"/>
  <c r="K14" i="11"/>
  <c r="J14" i="11"/>
  <c r="E14" i="11"/>
  <c r="C56" i="11" s="1"/>
  <c r="D14" i="11"/>
  <c r="C14" i="11"/>
  <c r="A14" i="11"/>
  <c r="K13" i="11"/>
  <c r="J13" i="11"/>
  <c r="E13" i="11"/>
  <c r="D13" i="11"/>
  <c r="C13" i="11"/>
  <c r="B13" i="11"/>
  <c r="A13" i="11"/>
  <c r="K12" i="11"/>
  <c r="J12" i="11"/>
  <c r="E12" i="11"/>
  <c r="D12" i="11"/>
  <c r="C12" i="11"/>
  <c r="A12" i="11"/>
  <c r="K11" i="11"/>
  <c r="J11" i="11"/>
  <c r="E11" i="11"/>
  <c r="D11" i="11"/>
  <c r="C11" i="11"/>
  <c r="A11" i="11"/>
  <c r="K10" i="11"/>
  <c r="J10" i="11"/>
  <c r="E10" i="11"/>
  <c r="D10" i="11"/>
  <c r="C10" i="11"/>
  <c r="B10" i="11"/>
  <c r="A10" i="11"/>
  <c r="K9" i="11"/>
  <c r="J9" i="11"/>
  <c r="E9" i="11"/>
  <c r="D9" i="11"/>
  <c r="C9" i="11"/>
  <c r="B9" i="11"/>
  <c r="A9" i="11"/>
  <c r="K8" i="11"/>
  <c r="J8" i="11"/>
  <c r="E8" i="11"/>
  <c r="D8" i="11"/>
  <c r="I8" i="11" s="1"/>
  <c r="C8" i="11"/>
  <c r="A8" i="11"/>
  <c r="K7" i="11"/>
  <c r="J7" i="11"/>
  <c r="E7" i="11"/>
  <c r="D7" i="11"/>
  <c r="C7" i="11"/>
  <c r="A7" i="11"/>
  <c r="K6" i="11"/>
  <c r="J6" i="11"/>
  <c r="E6" i="11"/>
  <c r="D6" i="11"/>
  <c r="C6" i="11"/>
  <c r="A6" i="11"/>
  <c r="K5" i="11"/>
  <c r="J5" i="11"/>
  <c r="E5" i="11"/>
  <c r="D5" i="11"/>
  <c r="C5" i="11"/>
  <c r="A5" i="11"/>
  <c r="K4" i="11"/>
  <c r="J4" i="11"/>
  <c r="E4" i="11"/>
  <c r="D4" i="11"/>
  <c r="C4" i="11"/>
  <c r="B4" i="11"/>
  <c r="A4" i="11"/>
  <c r="B79" i="10"/>
  <c r="B78" i="10"/>
  <c r="B77" i="10"/>
  <c r="B76" i="10"/>
  <c r="B75" i="10"/>
  <c r="B74" i="10"/>
  <c r="B73" i="10"/>
  <c r="AI68" i="10"/>
  <c r="AD68" i="10"/>
  <c r="Y68" i="10"/>
  <c r="U68" i="10"/>
  <c r="T68" i="10"/>
  <c r="P68" i="10"/>
  <c r="O68" i="10"/>
  <c r="J68" i="10"/>
  <c r="E68" i="10"/>
  <c r="AI67" i="10"/>
  <c r="AD67" i="10"/>
  <c r="Y67" i="10"/>
  <c r="U67" i="10"/>
  <c r="T67" i="10"/>
  <c r="O67" i="10"/>
  <c r="J67" i="10"/>
  <c r="E67" i="10"/>
  <c r="AI66" i="10"/>
  <c r="AD66" i="10"/>
  <c r="Y66" i="10"/>
  <c r="U66" i="10"/>
  <c r="T66" i="10"/>
  <c r="O66" i="10"/>
  <c r="J66" i="10"/>
  <c r="E66" i="10"/>
  <c r="AI65" i="10"/>
  <c r="AD65" i="10"/>
  <c r="Y65" i="10"/>
  <c r="U65" i="10"/>
  <c r="T65" i="10"/>
  <c r="O65" i="10"/>
  <c r="J65" i="10"/>
  <c r="E65" i="10"/>
  <c r="AI64" i="10"/>
  <c r="AD64" i="10"/>
  <c r="Y64" i="10"/>
  <c r="U64" i="10"/>
  <c r="T64" i="10"/>
  <c r="O64" i="10"/>
  <c r="J64" i="10"/>
  <c r="E64" i="10"/>
  <c r="AI63" i="10"/>
  <c r="AD63" i="10"/>
  <c r="Y63" i="10"/>
  <c r="U63" i="10"/>
  <c r="T63" i="10"/>
  <c r="O63" i="10"/>
  <c r="J63" i="10"/>
  <c r="E63" i="10"/>
  <c r="AI62" i="10"/>
  <c r="AD62" i="10"/>
  <c r="Y62" i="10"/>
  <c r="U62" i="10"/>
  <c r="T62" i="10"/>
  <c r="O62" i="10"/>
  <c r="J62" i="10"/>
  <c r="E62" i="10"/>
  <c r="AI61" i="10"/>
  <c r="AD61" i="10"/>
  <c r="Y61" i="10"/>
  <c r="U61" i="10"/>
  <c r="T61" i="10"/>
  <c r="O61" i="10"/>
  <c r="J61" i="10"/>
  <c r="E61" i="10"/>
  <c r="AI60" i="10"/>
  <c r="AD60" i="10"/>
  <c r="Y60" i="10"/>
  <c r="U60" i="10"/>
  <c r="T60" i="10"/>
  <c r="O60" i="10"/>
  <c r="J60" i="10"/>
  <c r="E60" i="10"/>
  <c r="AI59" i="10"/>
  <c r="AD59" i="10"/>
  <c r="Y59" i="10"/>
  <c r="U59" i="10"/>
  <c r="T59" i="10"/>
  <c r="O59" i="10"/>
  <c r="J59" i="10"/>
  <c r="E59" i="10"/>
  <c r="AI58" i="10"/>
  <c r="AD58" i="10"/>
  <c r="Y58" i="10"/>
  <c r="U58" i="10"/>
  <c r="T58" i="10"/>
  <c r="O58" i="10"/>
  <c r="J58" i="10"/>
  <c r="E58" i="10"/>
  <c r="AI57" i="10"/>
  <c r="AD57" i="10"/>
  <c r="Y57" i="10"/>
  <c r="U57" i="10"/>
  <c r="T57" i="10"/>
  <c r="O57" i="10"/>
  <c r="J57" i="10"/>
  <c r="E57" i="10"/>
  <c r="AI56" i="10"/>
  <c r="AD56" i="10"/>
  <c r="Y56" i="10"/>
  <c r="U56" i="10"/>
  <c r="T56" i="10"/>
  <c r="O56" i="10"/>
  <c r="J56" i="10"/>
  <c r="E56" i="10"/>
  <c r="AI55" i="10"/>
  <c r="AD55" i="10"/>
  <c r="Y55" i="10"/>
  <c r="U55" i="10"/>
  <c r="T55" i="10"/>
  <c r="O55" i="10"/>
  <c r="J55" i="10"/>
  <c r="E55" i="10"/>
  <c r="AI54" i="10"/>
  <c r="AD54" i="10"/>
  <c r="Y54" i="10"/>
  <c r="U54" i="10"/>
  <c r="T54" i="10"/>
  <c r="O54" i="10"/>
  <c r="J54" i="10"/>
  <c r="E54" i="10"/>
  <c r="AI53" i="10"/>
  <c r="AD53" i="10"/>
  <c r="Y53" i="10"/>
  <c r="U53" i="10"/>
  <c r="T53" i="10"/>
  <c r="O53" i="10"/>
  <c r="J53" i="10"/>
  <c r="E53" i="10"/>
  <c r="AI52" i="10"/>
  <c r="AD52" i="10"/>
  <c r="Y52" i="10"/>
  <c r="U52" i="10"/>
  <c r="T52" i="10"/>
  <c r="O52" i="10"/>
  <c r="J52" i="10"/>
  <c r="E52" i="10"/>
  <c r="AI51" i="10"/>
  <c r="AD51" i="10"/>
  <c r="Y51" i="10"/>
  <c r="U51" i="10"/>
  <c r="T51" i="10"/>
  <c r="O51" i="10"/>
  <c r="J51" i="10"/>
  <c r="E51" i="10"/>
  <c r="AI50" i="10"/>
  <c r="AD50" i="10"/>
  <c r="Y50" i="10"/>
  <c r="U50" i="10"/>
  <c r="T50" i="10"/>
  <c r="O50" i="10"/>
  <c r="J50" i="10"/>
  <c r="E50" i="10"/>
  <c r="AI49" i="10"/>
  <c r="AD49" i="10"/>
  <c r="Y49" i="10"/>
  <c r="U49" i="10"/>
  <c r="T49" i="10"/>
  <c r="O49" i="10"/>
  <c r="J49" i="10"/>
  <c r="E49" i="10"/>
  <c r="AI48" i="10"/>
  <c r="AD48" i="10"/>
  <c r="Y48" i="10"/>
  <c r="U48" i="10"/>
  <c r="T48" i="10"/>
  <c r="O48" i="10"/>
  <c r="J48" i="10"/>
  <c r="E48" i="10"/>
  <c r="AI47" i="10"/>
  <c r="AD47" i="10"/>
  <c r="Y47" i="10"/>
  <c r="U47" i="10"/>
  <c r="T47" i="10"/>
  <c r="O47" i="10"/>
  <c r="J47" i="10"/>
  <c r="E47" i="10"/>
  <c r="AI46" i="10"/>
  <c r="AD46" i="10"/>
  <c r="Y46" i="10"/>
  <c r="U46" i="10"/>
  <c r="T46" i="10"/>
  <c r="O46" i="10"/>
  <c r="J46" i="10"/>
  <c r="E46" i="10"/>
  <c r="AI45" i="10"/>
  <c r="AD45" i="10"/>
  <c r="Y45" i="10"/>
  <c r="U45" i="10"/>
  <c r="T45" i="10"/>
  <c r="O45" i="10"/>
  <c r="J45" i="10"/>
  <c r="E45" i="10"/>
  <c r="AI44" i="10"/>
  <c r="AD44" i="10"/>
  <c r="Y44" i="10"/>
  <c r="U44" i="10"/>
  <c r="T44" i="10"/>
  <c r="O44" i="10"/>
  <c r="J44" i="10"/>
  <c r="E44" i="10"/>
  <c r="AI43" i="10"/>
  <c r="AD43" i="10"/>
  <c r="Y43" i="10"/>
  <c r="U43" i="10"/>
  <c r="T43" i="10"/>
  <c r="O43" i="10"/>
  <c r="J43" i="10"/>
  <c r="E43" i="10"/>
  <c r="AI42" i="10"/>
  <c r="AD42" i="10"/>
  <c r="Y42" i="10"/>
  <c r="U42" i="10"/>
  <c r="T42" i="10"/>
  <c r="O42" i="10"/>
  <c r="J42" i="10"/>
  <c r="E42" i="10"/>
  <c r="AI41" i="10"/>
  <c r="AD41" i="10"/>
  <c r="Y41" i="10"/>
  <c r="U41" i="10"/>
  <c r="T41" i="10"/>
  <c r="O41" i="10"/>
  <c r="J41" i="10"/>
  <c r="E41" i="10"/>
  <c r="AI40" i="10"/>
  <c r="AD40" i="10"/>
  <c r="Y40" i="10"/>
  <c r="U40" i="10"/>
  <c r="T40" i="10"/>
  <c r="O40" i="10"/>
  <c r="J40" i="10"/>
  <c r="E40" i="10"/>
  <c r="AI39" i="10"/>
  <c r="AD39" i="10"/>
  <c r="Y39" i="10"/>
  <c r="U39" i="10"/>
  <c r="T39" i="10"/>
  <c r="P39" i="10"/>
  <c r="O39" i="10"/>
  <c r="J39" i="10"/>
  <c r="E39" i="10"/>
  <c r="AI38" i="10"/>
  <c r="AD38" i="10"/>
  <c r="Y38" i="10"/>
  <c r="U38" i="10"/>
  <c r="T38" i="10"/>
  <c r="O38" i="10"/>
  <c r="J38" i="10"/>
  <c r="E38" i="10"/>
  <c r="AI37" i="10"/>
  <c r="AD37" i="10"/>
  <c r="Y37" i="10"/>
  <c r="U37" i="10"/>
  <c r="T37" i="10"/>
  <c r="O37" i="10"/>
  <c r="J37" i="10"/>
  <c r="E37" i="10"/>
  <c r="AI36" i="10"/>
  <c r="AD36" i="10"/>
  <c r="Y36" i="10"/>
  <c r="U36" i="10"/>
  <c r="T36" i="10"/>
  <c r="O36" i="10"/>
  <c r="J36" i="10"/>
  <c r="E36" i="10"/>
  <c r="AI35" i="10"/>
  <c r="AD35" i="10"/>
  <c r="Y35" i="10"/>
  <c r="U35" i="10"/>
  <c r="T35" i="10"/>
  <c r="O35" i="10"/>
  <c r="J35" i="10"/>
  <c r="E35" i="10"/>
  <c r="AI34" i="10"/>
  <c r="AD34" i="10"/>
  <c r="Y34" i="10"/>
  <c r="U34" i="10"/>
  <c r="T34" i="10"/>
  <c r="O34" i="10"/>
  <c r="J34" i="10"/>
  <c r="E34" i="10"/>
  <c r="AI33" i="10"/>
  <c r="AD33" i="10"/>
  <c r="Y33" i="10"/>
  <c r="U33" i="10"/>
  <c r="T33" i="10"/>
  <c r="O33" i="10"/>
  <c r="J33" i="10"/>
  <c r="E33" i="10"/>
  <c r="AI32" i="10"/>
  <c r="AD32" i="10"/>
  <c r="Y32" i="10"/>
  <c r="U32" i="10"/>
  <c r="T32" i="10"/>
  <c r="O32" i="10"/>
  <c r="J32" i="10"/>
  <c r="E32" i="10"/>
  <c r="AI31" i="10"/>
  <c r="AD31" i="10"/>
  <c r="Y31" i="10"/>
  <c r="U31" i="10"/>
  <c r="T31" i="10"/>
  <c r="O31" i="10"/>
  <c r="J31" i="10"/>
  <c r="E31" i="10"/>
  <c r="AI30" i="10"/>
  <c r="AD30" i="10"/>
  <c r="Y30" i="10"/>
  <c r="U30" i="10"/>
  <c r="T30" i="10"/>
  <c r="O30" i="10"/>
  <c r="J30" i="10"/>
  <c r="E30" i="10"/>
  <c r="AI29" i="10"/>
  <c r="AD29" i="10"/>
  <c r="Y29" i="10"/>
  <c r="U29" i="10"/>
  <c r="T29" i="10"/>
  <c r="O29" i="10"/>
  <c r="J29" i="10"/>
  <c r="E29" i="10"/>
  <c r="AI28" i="10"/>
  <c r="AD28" i="10"/>
  <c r="Y28" i="10"/>
  <c r="U28" i="10"/>
  <c r="T28" i="10"/>
  <c r="O28" i="10"/>
  <c r="J28" i="10"/>
  <c r="E28" i="10"/>
  <c r="AJ27" i="10"/>
  <c r="AI27" i="10"/>
  <c r="AD27" i="10"/>
  <c r="Y27" i="10"/>
  <c r="U27" i="10"/>
  <c r="T27" i="10"/>
  <c r="O27" i="10"/>
  <c r="J27" i="10"/>
  <c r="E27" i="10"/>
  <c r="AI26" i="10"/>
  <c r="AD26" i="10"/>
  <c r="Y26" i="10"/>
  <c r="U26" i="10"/>
  <c r="T26" i="10"/>
  <c r="O26" i="10"/>
  <c r="J26" i="10"/>
  <c r="E26" i="10"/>
  <c r="AI25" i="10"/>
  <c r="AD25" i="10"/>
  <c r="Y25" i="10"/>
  <c r="U25" i="10"/>
  <c r="T25" i="10"/>
  <c r="O25" i="10"/>
  <c r="J25" i="10"/>
  <c r="E25" i="10"/>
  <c r="AI24" i="10"/>
  <c r="AD24" i="10"/>
  <c r="Y24" i="10"/>
  <c r="U24" i="10"/>
  <c r="T24" i="10"/>
  <c r="O24" i="10"/>
  <c r="K24" i="10"/>
  <c r="J24" i="10"/>
  <c r="E24" i="10"/>
  <c r="AI23" i="10"/>
  <c r="AD23" i="10"/>
  <c r="Y23" i="10"/>
  <c r="U23" i="10"/>
  <c r="T23" i="10"/>
  <c r="O23" i="10"/>
  <c r="J23" i="10"/>
  <c r="E23" i="10"/>
  <c r="AI22" i="10"/>
  <c r="AD22" i="10"/>
  <c r="Y22" i="10"/>
  <c r="U22" i="10"/>
  <c r="T22" i="10"/>
  <c r="O22" i="10"/>
  <c r="J22" i="10"/>
  <c r="E22" i="10"/>
  <c r="AI21" i="10"/>
  <c r="AD21" i="10"/>
  <c r="Y21" i="10"/>
  <c r="U21" i="10"/>
  <c r="T21" i="10"/>
  <c r="O21" i="10"/>
  <c r="J21" i="10"/>
  <c r="E21" i="10"/>
  <c r="AJ20" i="10"/>
  <c r="AI20" i="10"/>
  <c r="AE20" i="10"/>
  <c r="AD20" i="10"/>
  <c r="Z20" i="10"/>
  <c r="Y20" i="10"/>
  <c r="U20" i="10"/>
  <c r="T20" i="10"/>
  <c r="O20" i="10"/>
  <c r="K20" i="10"/>
  <c r="J20" i="10"/>
  <c r="F20" i="10"/>
  <c r="E20" i="10"/>
  <c r="AJ19" i="10"/>
  <c r="AI19" i="10"/>
  <c r="AE19" i="10"/>
  <c r="AD19" i="10"/>
  <c r="Z19" i="10"/>
  <c r="Y19" i="10"/>
  <c r="T19" i="10"/>
  <c r="P19" i="10"/>
  <c r="AM19" i="10" s="1"/>
  <c r="O19" i="10"/>
  <c r="K19" i="10"/>
  <c r="J19" i="10"/>
  <c r="F19" i="10"/>
  <c r="E19" i="10"/>
  <c r="AJ18" i="10"/>
  <c r="AI18" i="10"/>
  <c r="AE18" i="10"/>
  <c r="AD18" i="10"/>
  <c r="Z18" i="10"/>
  <c r="Y18" i="10"/>
  <c r="U18" i="10"/>
  <c r="T18" i="10"/>
  <c r="P18" i="10"/>
  <c r="O18" i="10"/>
  <c r="K18" i="10"/>
  <c r="J18" i="10"/>
  <c r="F18" i="10"/>
  <c r="AM18" i="10" s="1"/>
  <c r="E18" i="10"/>
  <c r="AJ17" i="10"/>
  <c r="AI17" i="10"/>
  <c r="AE17" i="10"/>
  <c r="AD17" i="10"/>
  <c r="Z17" i="10"/>
  <c r="Y17" i="10"/>
  <c r="U17" i="10"/>
  <c r="T17" i="10"/>
  <c r="P17" i="10"/>
  <c r="AM17" i="10" s="1"/>
  <c r="O17" i="10"/>
  <c r="K17" i="10"/>
  <c r="J17" i="10"/>
  <c r="F17" i="10"/>
  <c r="E17" i="10"/>
  <c r="AJ16" i="10"/>
  <c r="AE16" i="10"/>
  <c r="Z16" i="10"/>
  <c r="Y16" i="10"/>
  <c r="U16" i="10"/>
  <c r="T16" i="10"/>
  <c r="P16" i="10"/>
  <c r="O16" i="10"/>
  <c r="K16" i="10"/>
  <c r="J16" i="10"/>
  <c r="F16" i="10"/>
  <c r="AM16" i="10" s="1"/>
  <c r="E16" i="10"/>
  <c r="AJ15" i="10"/>
  <c r="AI15" i="10"/>
  <c r="AE15" i="10"/>
  <c r="AD15" i="10"/>
  <c r="Z15" i="10"/>
  <c r="U15" i="10"/>
  <c r="P15" i="10"/>
  <c r="AM15" i="10" s="1"/>
  <c r="O15" i="10"/>
  <c r="K15" i="10"/>
  <c r="J15" i="10"/>
  <c r="F15" i="10"/>
  <c r="E15" i="10"/>
  <c r="AJ14" i="10"/>
  <c r="AI14" i="10"/>
  <c r="AE14" i="10"/>
  <c r="AD14" i="10"/>
  <c r="Z14" i="10"/>
  <c r="Y14" i="10"/>
  <c r="U14" i="10"/>
  <c r="T14" i="10"/>
  <c r="P14" i="10"/>
  <c r="O14" i="10"/>
  <c r="K14" i="10"/>
  <c r="F14" i="10"/>
  <c r="E14" i="10"/>
  <c r="AJ13" i="10"/>
  <c r="AI13" i="10"/>
  <c r="AE13" i="10"/>
  <c r="AD13" i="10"/>
  <c r="Z13" i="10"/>
  <c r="Y13" i="10"/>
  <c r="U13" i="10"/>
  <c r="T13" i="10"/>
  <c r="P13" i="10"/>
  <c r="AM13" i="10" s="1"/>
  <c r="O13" i="10"/>
  <c r="K13" i="10"/>
  <c r="J13" i="10"/>
  <c r="F13" i="10"/>
  <c r="E13" i="10"/>
  <c r="AJ12" i="10"/>
  <c r="AI12" i="10"/>
  <c r="AE12" i="10"/>
  <c r="AD12" i="10"/>
  <c r="Z12" i="10"/>
  <c r="Y12" i="10"/>
  <c r="U12" i="10"/>
  <c r="T12" i="10"/>
  <c r="P12" i="10"/>
  <c r="O12" i="10"/>
  <c r="K12" i="10"/>
  <c r="J12" i="10"/>
  <c r="F12" i="10"/>
  <c r="AM12" i="10" s="1"/>
  <c r="E12" i="10"/>
  <c r="AJ11" i="10"/>
  <c r="AI11" i="10"/>
  <c r="AE11" i="10"/>
  <c r="AD11" i="10"/>
  <c r="Z11" i="10"/>
  <c r="Y11" i="10"/>
  <c r="U11" i="10"/>
  <c r="T11" i="10"/>
  <c r="P11" i="10"/>
  <c r="AM11" i="10" s="1"/>
  <c r="O11" i="10"/>
  <c r="K11" i="10"/>
  <c r="J11" i="10"/>
  <c r="F11" i="10"/>
  <c r="E11" i="10"/>
  <c r="AJ10" i="10"/>
  <c r="AI10" i="10"/>
  <c r="AE10" i="10"/>
  <c r="AD10" i="10"/>
  <c r="Z10" i="10"/>
  <c r="Y10" i="10"/>
  <c r="U10" i="10"/>
  <c r="T10" i="10"/>
  <c r="P10" i="10"/>
  <c r="O10" i="10"/>
  <c r="K10" i="10"/>
  <c r="J10" i="10"/>
  <c r="F10" i="10"/>
  <c r="AM10" i="10" s="1"/>
  <c r="E10" i="10"/>
  <c r="AJ9" i="10"/>
  <c r="AI9" i="10"/>
  <c r="AE9" i="10"/>
  <c r="AD9" i="10"/>
  <c r="Z9" i="10"/>
  <c r="Y9" i="10"/>
  <c r="U9" i="10"/>
  <c r="T9" i="10"/>
  <c r="P9" i="10"/>
  <c r="AM9" i="10" s="1"/>
  <c r="O9" i="10"/>
  <c r="K9" i="10"/>
  <c r="J9" i="10"/>
  <c r="F9" i="10"/>
  <c r="E9" i="10"/>
  <c r="AJ8" i="10"/>
  <c r="AI8" i="10"/>
  <c r="AE8" i="10"/>
  <c r="AD8" i="10"/>
  <c r="Z8" i="10"/>
  <c r="Y8" i="10"/>
  <c r="U8" i="10"/>
  <c r="T8" i="10"/>
  <c r="P8" i="10"/>
  <c r="O8" i="10"/>
  <c r="K8" i="10"/>
  <c r="J8" i="10"/>
  <c r="F8" i="10"/>
  <c r="AM8" i="10" s="1"/>
  <c r="E8" i="10"/>
  <c r="AJ7" i="10"/>
  <c r="AI7" i="10"/>
  <c r="AE7" i="10"/>
  <c r="AD7" i="10"/>
  <c r="Z7" i="10"/>
  <c r="Y7" i="10"/>
  <c r="U7" i="10"/>
  <c r="T7" i="10"/>
  <c r="P7" i="10"/>
  <c r="O7" i="10"/>
  <c r="K7" i="10"/>
  <c r="J7" i="10"/>
  <c r="F7" i="10"/>
  <c r="AM7" i="10" s="1"/>
  <c r="E7" i="10"/>
  <c r="AJ6" i="10"/>
  <c r="AI6" i="10"/>
  <c r="AE6" i="10"/>
  <c r="AD6" i="10"/>
  <c r="Z6" i="10"/>
  <c r="Y6" i="10"/>
  <c r="U6" i="10"/>
  <c r="T6" i="10"/>
  <c r="S6" i="10"/>
  <c r="P6" i="10"/>
  <c r="O6" i="10"/>
  <c r="K6" i="10"/>
  <c r="J6" i="10"/>
  <c r="F6" i="10"/>
  <c r="AM6" i="10" s="1"/>
  <c r="E6" i="10"/>
  <c r="AJ5" i="10"/>
  <c r="AI5" i="10"/>
  <c r="AH5" i="10"/>
  <c r="AE5" i="10"/>
  <c r="AD5" i="10"/>
  <c r="AC5" i="10"/>
  <c r="AB5" i="10"/>
  <c r="X6" i="10" s="1"/>
  <c r="Z5" i="10"/>
  <c r="Y5" i="10"/>
  <c r="X5" i="10"/>
  <c r="V5" i="10"/>
  <c r="U5" i="10"/>
  <c r="T5" i="10"/>
  <c r="S5" i="10"/>
  <c r="W5" i="10" s="1"/>
  <c r="P5" i="10"/>
  <c r="AM5" i="10" s="1"/>
  <c r="N5" i="10"/>
  <c r="K5" i="10"/>
  <c r="J5" i="10"/>
  <c r="I5" i="10"/>
  <c r="F5" i="10"/>
  <c r="D5" i="10"/>
  <c r="N17" i="8"/>
  <c r="L17" i="8"/>
  <c r="K17" i="8"/>
  <c r="F17" i="8"/>
  <c r="E17" i="8"/>
  <c r="D17" i="8"/>
  <c r="C17" i="8"/>
  <c r="B17" i="8"/>
  <c r="A17" i="8"/>
  <c r="N16" i="8"/>
  <c r="M16" i="8"/>
  <c r="L16" i="8"/>
  <c r="K16" i="8"/>
  <c r="G16" i="8"/>
  <c r="F16" i="8"/>
  <c r="E16" i="8"/>
  <c r="D16" i="8"/>
  <c r="C16" i="8"/>
  <c r="B16" i="8"/>
  <c r="A16" i="8"/>
  <c r="N15" i="8"/>
  <c r="L15" i="8"/>
  <c r="K15" i="8"/>
  <c r="G15" i="8"/>
  <c r="F15" i="8"/>
  <c r="D15" i="8"/>
  <c r="C15" i="8"/>
  <c r="B15" i="8"/>
  <c r="A15" i="8"/>
  <c r="N14" i="8"/>
  <c r="L14" i="8"/>
  <c r="K14" i="8"/>
  <c r="F14" i="8"/>
  <c r="E14" i="8"/>
  <c r="D14" i="8"/>
  <c r="C14" i="8"/>
  <c r="B14" i="8"/>
  <c r="A14" i="8"/>
  <c r="N13" i="8"/>
  <c r="M13" i="8"/>
  <c r="L13" i="8"/>
  <c r="K13" i="8"/>
  <c r="G13" i="8"/>
  <c r="F13" i="8"/>
  <c r="D13" i="8"/>
  <c r="C13" i="8"/>
  <c r="B13" i="8"/>
  <c r="A13" i="8"/>
  <c r="N12" i="8"/>
  <c r="L12" i="8"/>
  <c r="K12" i="8"/>
  <c r="F12" i="8"/>
  <c r="D12" i="8"/>
  <c r="C12" i="8"/>
  <c r="B12" i="8"/>
  <c r="A12" i="8"/>
  <c r="N11" i="8"/>
  <c r="L11" i="8"/>
  <c r="K11" i="8"/>
  <c r="F11" i="8"/>
  <c r="E11" i="8"/>
  <c r="D11" i="8"/>
  <c r="C11" i="8"/>
  <c r="B11" i="8"/>
  <c r="A11" i="8"/>
  <c r="N10" i="8"/>
  <c r="M10" i="8"/>
  <c r="L10" i="8"/>
  <c r="K10" i="8"/>
  <c r="F10" i="8"/>
  <c r="D10" i="8"/>
  <c r="C10" i="8"/>
  <c r="B10" i="8"/>
  <c r="A10" i="8"/>
  <c r="N9" i="8"/>
  <c r="L9" i="8"/>
  <c r="K9" i="8"/>
  <c r="F9" i="8"/>
  <c r="D9" i="8"/>
  <c r="C9" i="8"/>
  <c r="B9" i="8"/>
  <c r="A9" i="8"/>
  <c r="N8" i="8"/>
  <c r="L8" i="8"/>
  <c r="K8" i="8"/>
  <c r="H8" i="8"/>
  <c r="F8" i="8"/>
  <c r="E8" i="8"/>
  <c r="D8" i="8"/>
  <c r="C8" i="8"/>
  <c r="B8" i="8"/>
  <c r="A8" i="8"/>
  <c r="N7" i="8"/>
  <c r="L7" i="8"/>
  <c r="K7" i="8"/>
  <c r="G7" i="8"/>
  <c r="F7" i="8"/>
  <c r="D7" i="8"/>
  <c r="C7" i="8"/>
  <c r="B7" i="8"/>
  <c r="A7" i="8"/>
  <c r="N6" i="8"/>
  <c r="M6" i="8"/>
  <c r="L6" i="8"/>
  <c r="K6" i="8"/>
  <c r="F6" i="8"/>
  <c r="D6" i="8"/>
  <c r="C6" i="8"/>
  <c r="B6" i="8"/>
  <c r="A6" i="8"/>
  <c r="N5" i="8"/>
  <c r="L5" i="8"/>
  <c r="K5" i="8"/>
  <c r="F5" i="8"/>
  <c r="D5" i="8"/>
  <c r="C5" i="8"/>
  <c r="B5" i="8"/>
  <c r="A5" i="8"/>
  <c r="N4" i="8"/>
  <c r="M4" i="8"/>
  <c r="L4" i="8"/>
  <c r="K4" i="8"/>
  <c r="F4" i="8"/>
  <c r="D4" i="8"/>
  <c r="C4" i="8"/>
  <c r="B4" i="8"/>
  <c r="A4" i="8"/>
  <c r="B18" i="7"/>
  <c r="F15" i="7"/>
  <c r="D13" i="7"/>
  <c r="G11" i="7"/>
  <c r="D11" i="7"/>
  <c r="D9" i="7"/>
  <c r="C9" i="7"/>
  <c r="D8" i="7"/>
  <c r="I5" i="7"/>
  <c r="I4" i="7"/>
  <c r="AH48" i="6"/>
  <c r="AG48" i="6"/>
  <c r="AB48" i="6"/>
  <c r="Z48" i="6"/>
  <c r="Y48" i="6"/>
  <c r="R48" i="6"/>
  <c r="M48" i="6"/>
  <c r="K48" i="6"/>
  <c r="G48" i="6"/>
  <c r="F48" i="6"/>
  <c r="AH47" i="6"/>
  <c r="AG47" i="6"/>
  <c r="AB47" i="6"/>
  <c r="Z47" i="6"/>
  <c r="Y47" i="6"/>
  <c r="R47" i="6"/>
  <c r="M47" i="6"/>
  <c r="K47" i="6"/>
  <c r="G47" i="6"/>
  <c r="F47" i="6"/>
  <c r="AH46" i="6"/>
  <c r="AG46" i="6"/>
  <c r="AB46" i="6"/>
  <c r="R46" i="6"/>
  <c r="K46" i="6"/>
  <c r="AJ25" i="10" s="1"/>
  <c r="G46" i="6"/>
  <c r="F46" i="6"/>
  <c r="AH45" i="6"/>
  <c r="AG45" i="6"/>
  <c r="Z45" i="6"/>
  <c r="Y45" i="6"/>
  <c r="R45" i="6"/>
  <c r="M45" i="6"/>
  <c r="K45" i="6"/>
  <c r="O45" i="6" s="1"/>
  <c r="G45" i="6"/>
  <c r="F45" i="6"/>
  <c r="AH44" i="6"/>
  <c r="AG44" i="6"/>
  <c r="Z44" i="6"/>
  <c r="Y44" i="6"/>
  <c r="R44" i="6"/>
  <c r="M17" i="8" s="1"/>
  <c r="K44" i="6"/>
  <c r="G44" i="6"/>
  <c r="F44" i="6"/>
  <c r="AH43" i="6"/>
  <c r="AG43" i="6"/>
  <c r="Z43" i="6"/>
  <c r="Y43" i="6"/>
  <c r="R43" i="6"/>
  <c r="O43" i="6"/>
  <c r="J16" i="8" s="1"/>
  <c r="N43" i="6"/>
  <c r="M43" i="6"/>
  <c r="K43" i="6"/>
  <c r="G43" i="6"/>
  <c r="F43" i="6"/>
  <c r="AH42" i="6"/>
  <c r="AG42" i="6"/>
  <c r="Z42" i="6"/>
  <c r="Y42" i="6"/>
  <c r="R42" i="6"/>
  <c r="M42" i="6"/>
  <c r="K42" i="6"/>
  <c r="G42" i="6"/>
  <c r="F42" i="6"/>
  <c r="E15" i="8" s="1"/>
  <c r="AH41" i="6"/>
  <c r="AG41" i="6"/>
  <c r="Z41" i="6"/>
  <c r="Y41" i="6"/>
  <c r="R41" i="6"/>
  <c r="K41" i="6"/>
  <c r="G41" i="6"/>
  <c r="F41" i="6"/>
  <c r="AH40" i="6"/>
  <c r="AG40" i="6"/>
  <c r="Z40" i="6"/>
  <c r="Y40" i="6"/>
  <c r="R40" i="6"/>
  <c r="K40" i="6"/>
  <c r="G14" i="8" s="1"/>
  <c r="G40" i="6"/>
  <c r="F40" i="6"/>
  <c r="AH39" i="6"/>
  <c r="AG39" i="6"/>
  <c r="Z39" i="6"/>
  <c r="Y39" i="6"/>
  <c r="R39" i="6"/>
  <c r="M39" i="6"/>
  <c r="K39" i="6"/>
  <c r="G39" i="6"/>
  <c r="F39" i="6"/>
  <c r="E13" i="8" s="1"/>
  <c r="AH38" i="6"/>
  <c r="AG38" i="6"/>
  <c r="Z38" i="6"/>
  <c r="Y38" i="6"/>
  <c r="R38" i="6"/>
  <c r="K38" i="6"/>
  <c r="G38" i="6"/>
  <c r="F38" i="6"/>
  <c r="AH37" i="6"/>
  <c r="AG37" i="6"/>
  <c r="Z37" i="6"/>
  <c r="Y37" i="6"/>
  <c r="R37" i="6"/>
  <c r="O37" i="6"/>
  <c r="N37" i="6"/>
  <c r="F36" i="14" s="1"/>
  <c r="G36" i="14" s="1"/>
  <c r="M37" i="6"/>
  <c r="K37" i="6"/>
  <c r="G37" i="6"/>
  <c r="F37" i="6"/>
  <c r="AH36" i="6"/>
  <c r="AG36" i="6"/>
  <c r="Z36" i="6"/>
  <c r="Y36" i="6"/>
  <c r="R36" i="6"/>
  <c r="N36" i="6"/>
  <c r="F35" i="14" s="1"/>
  <c r="G35" i="14" s="1"/>
  <c r="M36" i="6"/>
  <c r="K36" i="6"/>
  <c r="G36" i="6"/>
  <c r="F36" i="6"/>
  <c r="AH35" i="6"/>
  <c r="AG35" i="6"/>
  <c r="Z35" i="6"/>
  <c r="Y35" i="6"/>
  <c r="R35" i="6"/>
  <c r="O35" i="6"/>
  <c r="M35" i="6"/>
  <c r="K35" i="6"/>
  <c r="G35" i="6"/>
  <c r="F35" i="6"/>
  <c r="AH34" i="6"/>
  <c r="AG34" i="6"/>
  <c r="Z34" i="6"/>
  <c r="Y34" i="6"/>
  <c r="R34" i="6"/>
  <c r="G33" i="12" s="1"/>
  <c r="K34" i="6"/>
  <c r="G34" i="6"/>
  <c r="F34" i="6"/>
  <c r="AH33" i="6"/>
  <c r="AG33" i="6"/>
  <c r="Z33" i="6"/>
  <c r="Y33" i="6"/>
  <c r="R33" i="6"/>
  <c r="M33" i="6"/>
  <c r="K33" i="6"/>
  <c r="G33" i="6"/>
  <c r="F33" i="6"/>
  <c r="AH32" i="6"/>
  <c r="AG32" i="6"/>
  <c r="Z32" i="6"/>
  <c r="Y32" i="6"/>
  <c r="R32" i="6"/>
  <c r="K32" i="6"/>
  <c r="G32" i="6"/>
  <c r="F32" i="6"/>
  <c r="E12" i="8" s="1"/>
  <c r="AH31" i="6"/>
  <c r="AG31" i="6"/>
  <c r="Z31" i="6"/>
  <c r="Y31" i="6"/>
  <c r="R31" i="6"/>
  <c r="M11" i="8" s="1"/>
  <c r="N31" i="6"/>
  <c r="M31" i="6"/>
  <c r="K31" i="6"/>
  <c r="G31" i="6"/>
  <c r="F31" i="6"/>
  <c r="AH30" i="6"/>
  <c r="AG30" i="6"/>
  <c r="Z30" i="6"/>
  <c r="Y30" i="6"/>
  <c r="R30" i="6"/>
  <c r="M30" i="6"/>
  <c r="K30" i="6"/>
  <c r="G30" i="6"/>
  <c r="F30" i="6"/>
  <c r="AH29" i="6"/>
  <c r="AG29" i="6"/>
  <c r="Z29" i="6"/>
  <c r="Y29" i="6"/>
  <c r="R29" i="6"/>
  <c r="K29" i="6"/>
  <c r="G29" i="6"/>
  <c r="F29" i="6"/>
  <c r="E10" i="8" s="1"/>
  <c r="AH28" i="6"/>
  <c r="AG28" i="6"/>
  <c r="Z28" i="6"/>
  <c r="Y28" i="6"/>
  <c r="R28" i="6"/>
  <c r="H27" i="11" s="1"/>
  <c r="K28" i="6"/>
  <c r="G28" i="6"/>
  <c r="F28" i="6"/>
  <c r="E9" i="8" s="1"/>
  <c r="AH27" i="6"/>
  <c r="AG27" i="6"/>
  <c r="Z27" i="6"/>
  <c r="Y27" i="6"/>
  <c r="R27" i="6"/>
  <c r="G26" i="12" s="1"/>
  <c r="M27" i="6"/>
  <c r="K27" i="6"/>
  <c r="G27" i="6"/>
  <c r="F27" i="6"/>
  <c r="AH26" i="6"/>
  <c r="AG26" i="6"/>
  <c r="Z26" i="6"/>
  <c r="Y26" i="6"/>
  <c r="R26" i="6"/>
  <c r="K26" i="6"/>
  <c r="G26" i="6"/>
  <c r="F26" i="6"/>
  <c r="AH25" i="6"/>
  <c r="AG25" i="6"/>
  <c r="Z25" i="6"/>
  <c r="Y25" i="6"/>
  <c r="R25" i="6"/>
  <c r="M8" i="8" s="1"/>
  <c r="O25" i="6"/>
  <c r="J8" i="8" s="1"/>
  <c r="N25" i="6"/>
  <c r="F24" i="14" s="1"/>
  <c r="G24" i="14" s="1"/>
  <c r="M25" i="6"/>
  <c r="K25" i="6"/>
  <c r="G8" i="8" s="1"/>
  <c r="G25" i="6"/>
  <c r="F25" i="6"/>
  <c r="AH24" i="6"/>
  <c r="AG24" i="6"/>
  <c r="Z24" i="6"/>
  <c r="Y24" i="6"/>
  <c r="R24" i="6"/>
  <c r="M24" i="6"/>
  <c r="K24" i="6"/>
  <c r="G24" i="6"/>
  <c r="F24" i="6"/>
  <c r="E7" i="8" s="1"/>
  <c r="AH23" i="6"/>
  <c r="AG23" i="6"/>
  <c r="Z23" i="6"/>
  <c r="Y23" i="6"/>
  <c r="R23" i="6"/>
  <c r="K23" i="6"/>
  <c r="G23" i="6"/>
  <c r="F23" i="6"/>
  <c r="AH22" i="6"/>
  <c r="AG22" i="6"/>
  <c r="Y22" i="6"/>
  <c r="R22" i="6"/>
  <c r="O22" i="6"/>
  <c r="M22" i="6"/>
  <c r="K22" i="6"/>
  <c r="G22" i="6"/>
  <c r="F22" i="6"/>
  <c r="AH21" i="6"/>
  <c r="AG21" i="6"/>
  <c r="Y21" i="6"/>
  <c r="R21" i="6"/>
  <c r="M21" i="6"/>
  <c r="K21" i="6"/>
  <c r="G21" i="6"/>
  <c r="F21" i="6"/>
  <c r="AH20" i="6"/>
  <c r="AG20" i="6"/>
  <c r="Y20" i="6"/>
  <c r="R20" i="6"/>
  <c r="K20" i="6"/>
  <c r="G20" i="6"/>
  <c r="F20" i="6"/>
  <c r="E6" i="8" s="1"/>
  <c r="AH19" i="6"/>
  <c r="AG19" i="6"/>
  <c r="Y19" i="6"/>
  <c r="R19" i="6"/>
  <c r="M19" i="6"/>
  <c r="K19" i="6"/>
  <c r="G19" i="6"/>
  <c r="F19" i="6"/>
  <c r="E5" i="8" s="1"/>
  <c r="AH18" i="6"/>
  <c r="AG18" i="6"/>
  <c r="Z18" i="6"/>
  <c r="Y18" i="6"/>
  <c r="R18" i="6"/>
  <c r="K18" i="6"/>
  <c r="G18" i="6"/>
  <c r="F18" i="6"/>
  <c r="AH17" i="6"/>
  <c r="AG17" i="6"/>
  <c r="Z17" i="6"/>
  <c r="Y17" i="6"/>
  <c r="R17" i="6"/>
  <c r="O17" i="6"/>
  <c r="N17" i="6"/>
  <c r="F16" i="14" s="1"/>
  <c r="G16" i="14" s="1"/>
  <c r="M17" i="6"/>
  <c r="K17" i="6"/>
  <c r="G17" i="6"/>
  <c r="F17" i="6"/>
  <c r="AH16" i="6"/>
  <c r="AG16" i="6"/>
  <c r="R16" i="6"/>
  <c r="K16" i="6"/>
  <c r="AE44" i="10" s="1"/>
  <c r="G16" i="6"/>
  <c r="F16" i="6"/>
  <c r="AH15" i="6"/>
  <c r="AG15" i="6"/>
  <c r="AB15" i="6"/>
  <c r="Z15" i="6"/>
  <c r="Y15" i="6"/>
  <c r="R15" i="6"/>
  <c r="M15" i="6"/>
  <c r="K15" i="6"/>
  <c r="G15" i="6"/>
  <c r="F15" i="6"/>
  <c r="AH14" i="6"/>
  <c r="AG14" i="6"/>
  <c r="G9" i="5" s="1"/>
  <c r="R14" i="6"/>
  <c r="K14" i="6"/>
  <c r="G14" i="6"/>
  <c r="F14" i="6"/>
  <c r="AH13" i="6"/>
  <c r="AG13" i="6"/>
  <c r="Z13" i="6"/>
  <c r="Y13" i="6"/>
  <c r="R13" i="6"/>
  <c r="K13" i="6"/>
  <c r="B24" i="5" s="1"/>
  <c r="B9" i="2" s="1"/>
  <c r="G13" i="6"/>
  <c r="F13" i="6"/>
  <c r="E4" i="8" s="1"/>
  <c r="AH12" i="6"/>
  <c r="AG12" i="6"/>
  <c r="Z12" i="6"/>
  <c r="Y12" i="6"/>
  <c r="R12" i="6"/>
  <c r="K12" i="6"/>
  <c r="G12" i="6"/>
  <c r="F12" i="6"/>
  <c r="AH11" i="6"/>
  <c r="AG11" i="6"/>
  <c r="G8" i="5" s="1"/>
  <c r="R11" i="6"/>
  <c r="E15" i="7" s="1"/>
  <c r="K11" i="6"/>
  <c r="G11" i="6"/>
  <c r="F11" i="6"/>
  <c r="AH10" i="6"/>
  <c r="AG10" i="6"/>
  <c r="AB10" i="6"/>
  <c r="R10" i="6"/>
  <c r="K10" i="6"/>
  <c r="P31" i="10" s="1"/>
  <c r="G10" i="6"/>
  <c r="F10" i="6"/>
  <c r="AH9" i="6"/>
  <c r="AG9" i="6"/>
  <c r="Z9" i="6"/>
  <c r="Y9" i="6"/>
  <c r="R9" i="6"/>
  <c r="K9" i="6"/>
  <c r="B26" i="5" s="1"/>
  <c r="H9" i="2" s="1"/>
  <c r="G9" i="6"/>
  <c r="F9" i="6"/>
  <c r="AH8" i="6"/>
  <c r="AG8" i="6"/>
  <c r="Z8" i="6"/>
  <c r="Y8" i="6"/>
  <c r="R8" i="6"/>
  <c r="K8" i="6"/>
  <c r="M8" i="6" s="1"/>
  <c r="G8" i="6"/>
  <c r="F8" i="6"/>
  <c r="AH7" i="6"/>
  <c r="AG7" i="6"/>
  <c r="B23" i="5" s="1"/>
  <c r="K7" i="2" s="1"/>
  <c r="Z7" i="6"/>
  <c r="Y7" i="6"/>
  <c r="R7" i="6"/>
  <c r="K7" i="6"/>
  <c r="G7" i="6"/>
  <c r="F7" i="6"/>
  <c r="AH6" i="6"/>
  <c r="AG6" i="6"/>
  <c r="R6" i="6"/>
  <c r="K6" i="6"/>
  <c r="G6" i="6"/>
  <c r="F6" i="6"/>
  <c r="AH5" i="6"/>
  <c r="AG5" i="6"/>
  <c r="R5" i="6"/>
  <c r="K5" i="6"/>
  <c r="F29" i="10" s="1"/>
  <c r="G5" i="6"/>
  <c r="F5" i="6"/>
  <c r="B25" i="5"/>
  <c r="B21" i="5"/>
  <c r="B20" i="5"/>
  <c r="G14" i="5"/>
  <c r="F14" i="5"/>
  <c r="C14" i="5"/>
  <c r="B14" i="5"/>
  <c r="D14" i="5" s="1"/>
  <c r="G13" i="5"/>
  <c r="F13" i="5"/>
  <c r="D13" i="5"/>
  <c r="C13" i="5"/>
  <c r="B13" i="5"/>
  <c r="G12" i="5"/>
  <c r="F12" i="5"/>
  <c r="C12" i="5"/>
  <c r="G11" i="5"/>
  <c r="F11" i="5"/>
  <c r="C11" i="5"/>
  <c r="D11" i="5" s="1"/>
  <c r="B11" i="5"/>
  <c r="G10" i="5"/>
  <c r="F10" i="5"/>
  <c r="D10" i="5"/>
  <c r="E24" i="2" s="1"/>
  <c r="C10" i="5"/>
  <c r="B10" i="5"/>
  <c r="F9" i="5"/>
  <c r="D9" i="5"/>
  <c r="C9" i="5"/>
  <c r="B9" i="5"/>
  <c r="F8" i="5"/>
  <c r="D8" i="5"/>
  <c r="E22" i="2" s="1"/>
  <c r="C8" i="5"/>
  <c r="B8" i="5"/>
  <c r="G7" i="5"/>
  <c r="F7" i="5"/>
  <c r="C7" i="5"/>
  <c r="D7" i="5" s="1"/>
  <c r="B7" i="5"/>
  <c r="G6" i="5"/>
  <c r="F6" i="5"/>
  <c r="C6" i="5"/>
  <c r="C15" i="5" s="1"/>
  <c r="B6" i="5"/>
  <c r="E47" i="4"/>
  <c r="E46" i="4"/>
  <c r="F46" i="4" s="1"/>
  <c r="G46" i="4" s="1"/>
  <c r="H46" i="4" s="1"/>
  <c r="E45" i="4"/>
  <c r="E44" i="4"/>
  <c r="E43" i="4"/>
  <c r="F43" i="4" s="1"/>
  <c r="G43" i="4" s="1"/>
  <c r="H43" i="4" s="1"/>
  <c r="E42" i="4"/>
  <c r="F42" i="4" s="1"/>
  <c r="E41" i="4"/>
  <c r="E40" i="4"/>
  <c r="F40" i="4" s="1"/>
  <c r="G40" i="4" s="1"/>
  <c r="H40" i="4" s="1"/>
  <c r="E39" i="4"/>
  <c r="E38" i="4"/>
  <c r="E37" i="4"/>
  <c r="F37" i="4" s="1"/>
  <c r="G37" i="4" s="1"/>
  <c r="H37" i="4" s="1"/>
  <c r="E36" i="4"/>
  <c r="F36" i="4" s="1"/>
  <c r="E35" i="4"/>
  <c r="E34" i="4"/>
  <c r="F34" i="4" s="1"/>
  <c r="G34" i="4" s="1"/>
  <c r="H34" i="4" s="1"/>
  <c r="E33" i="4"/>
  <c r="F33" i="4" s="1"/>
  <c r="E32" i="4"/>
  <c r="E31" i="4"/>
  <c r="F31" i="4" s="1"/>
  <c r="G31" i="4" s="1"/>
  <c r="H31" i="4" s="1"/>
  <c r="E30" i="4"/>
  <c r="F30" i="4" s="1"/>
  <c r="E29" i="4"/>
  <c r="E28" i="4"/>
  <c r="F28" i="4" s="1"/>
  <c r="G28" i="4" s="1"/>
  <c r="H28" i="4" s="1"/>
  <c r="E27" i="4"/>
  <c r="F27" i="4" s="1"/>
  <c r="E26" i="4"/>
  <c r="E25" i="4"/>
  <c r="F25" i="4" s="1"/>
  <c r="G25" i="4" s="1"/>
  <c r="H25" i="4" s="1"/>
  <c r="E24" i="4"/>
  <c r="F24" i="4" s="1"/>
  <c r="E23" i="4"/>
  <c r="E22" i="4"/>
  <c r="F22" i="4" s="1"/>
  <c r="G22" i="4" s="1"/>
  <c r="H22" i="4" s="1"/>
  <c r="E21" i="4"/>
  <c r="E20" i="4"/>
  <c r="E19" i="4"/>
  <c r="F19" i="4" s="1"/>
  <c r="G19" i="4" s="1"/>
  <c r="H19" i="4" s="1"/>
  <c r="E18" i="4"/>
  <c r="F18" i="4" s="1"/>
  <c r="E17" i="4"/>
  <c r="E16" i="4"/>
  <c r="F16" i="4" s="1"/>
  <c r="G16" i="4" s="1"/>
  <c r="H16" i="4" s="1"/>
  <c r="E15" i="4"/>
  <c r="F15" i="4" s="1"/>
  <c r="E14" i="4"/>
  <c r="E13" i="4"/>
  <c r="F13" i="4" s="1"/>
  <c r="G13" i="4" s="1"/>
  <c r="H13" i="4" s="1"/>
  <c r="E12" i="4"/>
  <c r="F12" i="4" s="1"/>
  <c r="E11" i="4"/>
  <c r="E10" i="4"/>
  <c r="F10" i="4" s="1"/>
  <c r="G10" i="4" s="1"/>
  <c r="H10" i="4" s="1"/>
  <c r="E9" i="4"/>
  <c r="E8" i="4"/>
  <c r="E7" i="4"/>
  <c r="F7" i="4" s="1"/>
  <c r="G7" i="4" s="1"/>
  <c r="H7" i="4" s="1"/>
  <c r="E6" i="4"/>
  <c r="F6" i="4" s="1"/>
  <c r="E5" i="4"/>
  <c r="E4" i="4"/>
  <c r="F4" i="4" s="1"/>
  <c r="G4" i="4" s="1"/>
  <c r="B59" i="3"/>
  <c r="C58" i="3"/>
  <c r="C57" i="3"/>
  <c r="C56" i="3"/>
  <c r="C55" i="3"/>
  <c r="G19" i="3"/>
  <c r="F19" i="3"/>
  <c r="G55" i="2"/>
  <c r="J55" i="2" s="1"/>
  <c r="E55" i="2"/>
  <c r="G54" i="2"/>
  <c r="J54" i="2" s="1"/>
  <c r="E54" i="2"/>
  <c r="G53" i="2"/>
  <c r="J53" i="2" s="1"/>
  <c r="E53" i="2"/>
  <c r="J52" i="2"/>
  <c r="G52" i="2"/>
  <c r="E52" i="2"/>
  <c r="G51" i="2"/>
  <c r="J51" i="2" s="1"/>
  <c r="E51" i="2"/>
  <c r="D33" i="2"/>
  <c r="G33" i="2" s="1"/>
  <c r="D32" i="2"/>
  <c r="G32" i="2" s="1"/>
  <c r="N28" i="2"/>
  <c r="N27" i="2"/>
  <c r="N26" i="2"/>
  <c r="N25" i="2"/>
  <c r="N24" i="2"/>
  <c r="E23" i="2"/>
  <c r="N21" i="2"/>
  <c r="N20" i="2"/>
  <c r="M16" i="2"/>
  <c r="J16" i="2"/>
  <c r="F16" i="2"/>
  <c r="B11" i="2"/>
  <c r="E9" i="2"/>
  <c r="E7" i="2"/>
  <c r="B7" i="2"/>
  <c r="B4" i="1"/>
  <c r="L25" i="9"/>
  <c r="K25" i="9"/>
  <c r="I25" i="9"/>
  <c r="G25" i="9"/>
  <c r="F25" i="9"/>
  <c r="J25" i="9" s="1"/>
  <c r="E25" i="9"/>
  <c r="D25" i="9"/>
  <c r="C25" i="9"/>
  <c r="B25" i="9"/>
  <c r="A25" i="9"/>
  <c r="L24" i="9"/>
  <c r="K24" i="9"/>
  <c r="I24" i="9"/>
  <c r="G24" i="9"/>
  <c r="F24" i="9"/>
  <c r="J24" i="9" s="1"/>
  <c r="E24" i="9"/>
  <c r="D24" i="9"/>
  <c r="C24" i="9"/>
  <c r="B24" i="9"/>
  <c r="A24" i="9"/>
  <c r="L23" i="9"/>
  <c r="K23" i="9"/>
  <c r="I23" i="9"/>
  <c r="G23" i="9"/>
  <c r="F23" i="9"/>
  <c r="J23" i="9" s="1"/>
  <c r="E23" i="9"/>
  <c r="D23" i="9"/>
  <c r="C23" i="9"/>
  <c r="A23" i="9"/>
  <c r="L22" i="9"/>
  <c r="K22" i="9"/>
  <c r="I22" i="9"/>
  <c r="F22" i="9"/>
  <c r="J22" i="9" s="1"/>
  <c r="E22" i="9"/>
  <c r="D22" i="9"/>
  <c r="C22" i="9"/>
  <c r="A22" i="9"/>
  <c r="L21" i="9"/>
  <c r="K21" i="9"/>
  <c r="I21" i="9"/>
  <c r="F21" i="9"/>
  <c r="J21" i="9" s="1"/>
  <c r="E21" i="9"/>
  <c r="D21" i="9"/>
  <c r="C21" i="9"/>
  <c r="B21" i="9"/>
  <c r="A21" i="9"/>
  <c r="L20" i="9"/>
  <c r="K20" i="9"/>
  <c r="I20" i="9"/>
  <c r="H20" i="9"/>
  <c r="G20" i="9"/>
  <c r="F20" i="9"/>
  <c r="J20" i="9" s="1"/>
  <c r="E20" i="9"/>
  <c r="D20" i="9"/>
  <c r="C20" i="9"/>
  <c r="B20" i="9"/>
  <c r="A20" i="9"/>
  <c r="L19" i="9"/>
  <c r="K19" i="9"/>
  <c r="I19" i="9"/>
  <c r="H19" i="9"/>
  <c r="G19" i="9"/>
  <c r="F19" i="9"/>
  <c r="J19" i="9" s="1"/>
  <c r="E19" i="9"/>
  <c r="D19" i="9"/>
  <c r="C19" i="9"/>
  <c r="B19" i="9"/>
  <c r="A19" i="9"/>
  <c r="L18" i="9"/>
  <c r="K18" i="9"/>
  <c r="I18" i="9"/>
  <c r="G18" i="9"/>
  <c r="F18" i="9"/>
  <c r="J18" i="9" s="1"/>
  <c r="E18" i="9"/>
  <c r="D18" i="9"/>
  <c r="C18" i="9"/>
  <c r="B18" i="9"/>
  <c r="A18" i="9"/>
  <c r="L17" i="9"/>
  <c r="K17" i="9"/>
  <c r="I17" i="9"/>
  <c r="F17" i="9"/>
  <c r="J17" i="9" s="1"/>
  <c r="E17" i="9"/>
  <c r="D17" i="9"/>
  <c r="C17" i="9"/>
  <c r="B17" i="9"/>
  <c r="A17" i="9"/>
  <c r="L16" i="9"/>
  <c r="K16" i="9"/>
  <c r="I16" i="9"/>
  <c r="G16" i="9"/>
  <c r="F16" i="9"/>
  <c r="J16" i="9" s="1"/>
  <c r="E16" i="9"/>
  <c r="D16" i="9"/>
  <c r="C16" i="9"/>
  <c r="B16" i="9"/>
  <c r="A16" i="9"/>
  <c r="L15" i="9"/>
  <c r="K15" i="9"/>
  <c r="I15" i="9"/>
  <c r="G15" i="9"/>
  <c r="F15" i="9"/>
  <c r="J15" i="9" s="1"/>
  <c r="E15" i="9"/>
  <c r="D15" i="9"/>
  <c r="C15" i="9"/>
  <c r="B15" i="9"/>
  <c r="A15" i="9"/>
  <c r="L14" i="9"/>
  <c r="K14" i="9"/>
  <c r="I14" i="9"/>
  <c r="G14" i="9"/>
  <c r="F14" i="9"/>
  <c r="J14" i="9" s="1"/>
  <c r="E14" i="9"/>
  <c r="D14" i="9"/>
  <c r="C14" i="9"/>
  <c r="B14" i="9"/>
  <c r="A14" i="9"/>
  <c r="L13" i="9"/>
  <c r="K13" i="9"/>
  <c r="I13" i="9"/>
  <c r="F13" i="9"/>
  <c r="J13" i="9" s="1"/>
  <c r="E13" i="9"/>
  <c r="D13" i="9"/>
  <c r="C13" i="9"/>
  <c r="B13" i="9"/>
  <c r="A13" i="9"/>
  <c r="L12" i="9"/>
  <c r="K12" i="9"/>
  <c r="I12" i="9"/>
  <c r="F12" i="9"/>
  <c r="J12" i="9" s="1"/>
  <c r="E12" i="9"/>
  <c r="D12" i="9"/>
  <c r="C12" i="9"/>
  <c r="B12" i="9"/>
  <c r="A12" i="9"/>
  <c r="L11" i="9"/>
  <c r="K11" i="9"/>
  <c r="I11" i="9"/>
  <c r="G11" i="9"/>
  <c r="F11" i="9"/>
  <c r="J11" i="9" s="1"/>
  <c r="E11" i="9"/>
  <c r="D11" i="9"/>
  <c r="C11" i="9"/>
  <c r="B11" i="9"/>
  <c r="A11" i="9"/>
  <c r="L10" i="9"/>
  <c r="K10" i="9"/>
  <c r="I10" i="9"/>
  <c r="G10" i="9"/>
  <c r="F10" i="9"/>
  <c r="J10" i="9" s="1"/>
  <c r="E10" i="9"/>
  <c r="D10" i="9"/>
  <c r="C10" i="9"/>
  <c r="B10" i="9"/>
  <c r="A10" i="9"/>
  <c r="L9" i="9"/>
  <c r="K9" i="9"/>
  <c r="I9" i="9"/>
  <c r="F9" i="9"/>
  <c r="J9" i="9" s="1"/>
  <c r="E9" i="9"/>
  <c r="D9" i="9"/>
  <c r="C9" i="9"/>
  <c r="B9" i="9"/>
  <c r="A9" i="9"/>
  <c r="L8" i="9"/>
  <c r="K8" i="9"/>
  <c r="I8" i="9"/>
  <c r="H8" i="9"/>
  <c r="G8" i="9"/>
  <c r="F8" i="9"/>
  <c r="J8" i="9" s="1"/>
  <c r="E8" i="9"/>
  <c r="D8" i="9"/>
  <c r="C8" i="9"/>
  <c r="B8" i="9"/>
  <c r="A8" i="9"/>
  <c r="L7" i="9"/>
  <c r="K7" i="9"/>
  <c r="I7" i="9"/>
  <c r="G7" i="9"/>
  <c r="F7" i="9"/>
  <c r="J7" i="9" s="1"/>
  <c r="E7" i="9"/>
  <c r="D7" i="9"/>
  <c r="C7" i="9"/>
  <c r="B7" i="9"/>
  <c r="A7" i="9"/>
  <c r="L6" i="9"/>
  <c r="K6" i="9"/>
  <c r="I6" i="9"/>
  <c r="F6" i="9"/>
  <c r="J6" i="9" s="1"/>
  <c r="E6" i="9"/>
  <c r="D6" i="9"/>
  <c r="C6" i="9"/>
  <c r="B6" i="9"/>
  <c r="A6" i="9"/>
  <c r="L5" i="9"/>
  <c r="K5" i="9"/>
  <c r="I5" i="9"/>
  <c r="F5" i="9"/>
  <c r="J5" i="9" s="1"/>
  <c r="E5" i="9"/>
  <c r="D5" i="9"/>
  <c r="C5" i="9"/>
  <c r="B5" i="9"/>
  <c r="A5" i="9"/>
  <c r="L4" i="9"/>
  <c r="K4" i="9"/>
  <c r="I4" i="9"/>
  <c r="F4" i="9"/>
  <c r="F26" i="9" s="1"/>
  <c r="E4" i="9"/>
  <c r="D4" i="9"/>
  <c r="C4" i="9"/>
  <c r="B4" i="9"/>
  <c r="A4" i="9"/>
  <c r="N23" i="2" l="1"/>
  <c r="G7" i="11"/>
  <c r="E7" i="14"/>
  <c r="G5" i="9"/>
  <c r="N8" i="6"/>
  <c r="H4" i="4"/>
  <c r="N22" i="2"/>
  <c r="N29" i="2" s="1"/>
  <c r="G29" i="4"/>
  <c r="H29" i="4" s="1"/>
  <c r="G41" i="4"/>
  <c r="H41" i="4" s="1"/>
  <c r="E21" i="2"/>
  <c r="G45" i="4"/>
  <c r="H45" i="4" s="1"/>
  <c r="E28" i="2"/>
  <c r="G11" i="4"/>
  <c r="H11" i="4" s="1"/>
  <c r="E25" i="2"/>
  <c r="F15" i="5"/>
  <c r="D11" i="14"/>
  <c r="F11" i="11"/>
  <c r="M12" i="6"/>
  <c r="E32" i="14"/>
  <c r="G32" i="11"/>
  <c r="O33" i="6"/>
  <c r="N33" i="6"/>
  <c r="D37" i="14"/>
  <c r="C11" i="13"/>
  <c r="F37" i="11"/>
  <c r="O38" i="6"/>
  <c r="M38" i="6"/>
  <c r="E41" i="14"/>
  <c r="G41" i="11"/>
  <c r="H15" i="8"/>
  <c r="O42" i="6"/>
  <c r="J15" i="8" s="1"/>
  <c r="N42" i="6"/>
  <c r="L5" i="10"/>
  <c r="AB6" i="10"/>
  <c r="X7" i="10" s="1"/>
  <c r="AA6" i="10"/>
  <c r="F21" i="4"/>
  <c r="G21" i="4" s="1"/>
  <c r="H21" i="4" s="1"/>
  <c r="F39" i="4"/>
  <c r="G39" i="4" s="1"/>
  <c r="H39" i="4" s="1"/>
  <c r="F45" i="4"/>
  <c r="G6" i="4"/>
  <c r="H6" i="4" s="1"/>
  <c r="G12" i="4"/>
  <c r="H12" i="4" s="1"/>
  <c r="G18" i="4"/>
  <c r="H18" i="4" s="1"/>
  <c r="G24" i="4"/>
  <c r="H24" i="4" s="1"/>
  <c r="G27" i="4"/>
  <c r="H27" i="4" s="1"/>
  <c r="G30" i="4"/>
  <c r="H30" i="4" s="1"/>
  <c r="G33" i="4"/>
  <c r="H33" i="4" s="1"/>
  <c r="G42" i="4"/>
  <c r="H42" i="4" s="1"/>
  <c r="G15" i="5"/>
  <c r="G4" i="12"/>
  <c r="H4" i="11"/>
  <c r="B15" i="7"/>
  <c r="D6" i="14"/>
  <c r="F6" i="11"/>
  <c r="D19" i="14"/>
  <c r="F19" i="11"/>
  <c r="G6" i="8"/>
  <c r="M20" i="6"/>
  <c r="E23" i="14"/>
  <c r="G23" i="11"/>
  <c r="O24" i="6"/>
  <c r="J7" i="8" s="1"/>
  <c r="N24" i="6"/>
  <c r="H7" i="8"/>
  <c r="G32" i="12"/>
  <c r="H32" i="11"/>
  <c r="M5" i="10"/>
  <c r="I6" i="10" s="1"/>
  <c r="F9" i="4"/>
  <c r="G9" i="4" s="1"/>
  <c r="H9" i="4" s="1"/>
  <c r="G15" i="4"/>
  <c r="H15" i="4" s="1"/>
  <c r="G36" i="4"/>
  <c r="H36" i="4" s="1"/>
  <c r="M7" i="6"/>
  <c r="G7" i="12"/>
  <c r="H7" i="11"/>
  <c r="O15" i="6"/>
  <c r="O20" i="6"/>
  <c r="J6" i="8" s="1"/>
  <c r="G23" i="12"/>
  <c r="H23" i="11"/>
  <c r="M7" i="8"/>
  <c r="D31" i="14"/>
  <c r="F31" i="11"/>
  <c r="G12" i="8"/>
  <c r="M32" i="6"/>
  <c r="D40" i="14"/>
  <c r="F40" i="11"/>
  <c r="M41" i="6"/>
  <c r="W6" i="10"/>
  <c r="S7" i="10" s="1"/>
  <c r="V6" i="10"/>
  <c r="B27" i="5"/>
  <c r="N11" i="2" s="1"/>
  <c r="E14" i="14"/>
  <c r="G14" i="11"/>
  <c r="D22" i="14"/>
  <c r="C10" i="13"/>
  <c r="F22" i="11"/>
  <c r="M23" i="6"/>
  <c r="H6" i="11"/>
  <c r="G6" i="12"/>
  <c r="C6" i="13"/>
  <c r="D10" i="14"/>
  <c r="C76" i="10"/>
  <c r="F10" i="11"/>
  <c r="U19" i="10"/>
  <c r="T15" i="10"/>
  <c r="N15" i="6"/>
  <c r="G15" i="12"/>
  <c r="H15" i="11"/>
  <c r="G15" i="7"/>
  <c r="O23" i="6"/>
  <c r="AL5" i="10"/>
  <c r="AH6" i="10" s="1"/>
  <c r="AK5" i="10"/>
  <c r="B12" i="5"/>
  <c r="D12" i="5" s="1"/>
  <c r="H14" i="11"/>
  <c r="G14" i="12"/>
  <c r="E26" i="14"/>
  <c r="G26" i="11"/>
  <c r="N27" i="6"/>
  <c r="E44" i="14"/>
  <c r="G44" i="11"/>
  <c r="N45" i="6"/>
  <c r="J4" i="9"/>
  <c r="J26" i="9" s="1"/>
  <c r="E27" i="2"/>
  <c r="F5" i="4"/>
  <c r="G5" i="4" s="1"/>
  <c r="F8" i="4"/>
  <c r="G8" i="4" s="1"/>
  <c r="H8" i="4" s="1"/>
  <c r="F11" i="4"/>
  <c r="F14" i="4"/>
  <c r="G14" i="4" s="1"/>
  <c r="H14" i="4" s="1"/>
  <c r="F17" i="4"/>
  <c r="G17" i="4" s="1"/>
  <c r="H17" i="4" s="1"/>
  <c r="F20" i="4"/>
  <c r="G20" i="4" s="1"/>
  <c r="H20" i="4" s="1"/>
  <c r="F23" i="4"/>
  <c r="G23" i="4" s="1"/>
  <c r="H23" i="4" s="1"/>
  <c r="F26" i="4"/>
  <c r="G26" i="4" s="1"/>
  <c r="H26" i="4" s="1"/>
  <c r="F29" i="4"/>
  <c r="F32" i="4"/>
  <c r="G32" i="4" s="1"/>
  <c r="H32" i="4" s="1"/>
  <c r="F35" i="4"/>
  <c r="G35" i="4" s="1"/>
  <c r="H35" i="4" s="1"/>
  <c r="F38" i="4"/>
  <c r="G38" i="4" s="1"/>
  <c r="H38" i="4" s="1"/>
  <c r="F41" i="4"/>
  <c r="F44" i="4"/>
  <c r="G44" i="4" s="1"/>
  <c r="H44" i="4" s="1"/>
  <c r="F47" i="4"/>
  <c r="G47" i="4" s="1"/>
  <c r="H47" i="4" s="1"/>
  <c r="D5" i="14"/>
  <c r="C74" i="10"/>
  <c r="K66" i="10"/>
  <c r="K62" i="10"/>
  <c r="K58" i="10"/>
  <c r="K56" i="10"/>
  <c r="K52" i="10"/>
  <c r="K64" i="10"/>
  <c r="K59" i="10"/>
  <c r="K61" i="10"/>
  <c r="F5" i="11"/>
  <c r="K55" i="10"/>
  <c r="K51" i="10"/>
  <c r="K47" i="10"/>
  <c r="K43" i="10"/>
  <c r="K60" i="10"/>
  <c r="K67" i="10"/>
  <c r="K57" i="10"/>
  <c r="K63" i="10"/>
  <c r="K53" i="10"/>
  <c r="K36" i="10"/>
  <c r="K41" i="10"/>
  <c r="K40" i="10"/>
  <c r="K68" i="10"/>
  <c r="K50" i="10"/>
  <c r="K48" i="10"/>
  <c r="K44" i="10"/>
  <c r="K39" i="10"/>
  <c r="K35" i="10"/>
  <c r="K31" i="10"/>
  <c r="K27" i="10"/>
  <c r="K23" i="10"/>
  <c r="K42" i="10"/>
  <c r="K38" i="10"/>
  <c r="K34" i="10"/>
  <c r="K54" i="10"/>
  <c r="K49" i="10"/>
  <c r="K46" i="10"/>
  <c r="K69" i="10" s="1"/>
  <c r="K65" i="10"/>
  <c r="K45" i="10"/>
  <c r="K37" i="10"/>
  <c r="K33" i="10"/>
  <c r="K29" i="10"/>
  <c r="K25" i="10"/>
  <c r="K21" i="10"/>
  <c r="K28" i="10"/>
  <c r="K30" i="10"/>
  <c r="K26" i="10"/>
  <c r="J14" i="10"/>
  <c r="J69" i="10" s="1"/>
  <c r="K32" i="10"/>
  <c r="K22" i="10"/>
  <c r="C28" i="16"/>
  <c r="E18" i="14"/>
  <c r="G18" i="11"/>
  <c r="I18" i="11" s="1"/>
  <c r="H5" i="8"/>
  <c r="N19" i="6"/>
  <c r="F30" i="14"/>
  <c r="G30" i="14" s="1"/>
  <c r="I11" i="8"/>
  <c r="H35" i="11"/>
  <c r="G35" i="12"/>
  <c r="AM14" i="10"/>
  <c r="D6" i="5"/>
  <c r="G18" i="12"/>
  <c r="H18" i="11"/>
  <c r="M5" i="8"/>
  <c r="E21" i="14"/>
  <c r="G21" i="11"/>
  <c r="N22" i="6"/>
  <c r="D29" i="14"/>
  <c r="F29" i="11"/>
  <c r="O30" i="6"/>
  <c r="D43" i="14"/>
  <c r="F43" i="11"/>
  <c r="G17" i="8"/>
  <c r="M44" i="6"/>
  <c r="G5" i="12"/>
  <c r="H5" i="11"/>
  <c r="C15" i="7"/>
  <c r="F17" i="11"/>
  <c r="D17" i="14"/>
  <c r="M18" i="6"/>
  <c r="O18" i="6" s="1"/>
  <c r="D25" i="14"/>
  <c r="F25" i="11"/>
  <c r="O26" i="6"/>
  <c r="M26" i="6"/>
  <c r="E29" i="14"/>
  <c r="G29" i="11"/>
  <c r="N30" i="6"/>
  <c r="D8" i="14"/>
  <c r="F8" i="11"/>
  <c r="M9" i="6"/>
  <c r="D12" i="14"/>
  <c r="F12" i="11"/>
  <c r="G4" i="8"/>
  <c r="O13" i="6"/>
  <c r="J4" i="8" s="1"/>
  <c r="H21" i="11"/>
  <c r="G21" i="12"/>
  <c r="G29" i="12"/>
  <c r="H29" i="11"/>
  <c r="E38" i="14"/>
  <c r="G38" i="11"/>
  <c r="I38" i="11" s="1"/>
  <c r="N39" i="6"/>
  <c r="H13" i="8"/>
  <c r="G47" i="12"/>
  <c r="H47" i="11"/>
  <c r="G9" i="12"/>
  <c r="H9" i="11"/>
  <c r="D15" i="7"/>
  <c r="M13" i="6"/>
  <c r="E20" i="14"/>
  <c r="G20" i="11"/>
  <c r="D28" i="14"/>
  <c r="F28" i="11"/>
  <c r="G10" i="8"/>
  <c r="M29" i="6"/>
  <c r="O29" i="6" s="1"/>
  <c r="J10" i="8" s="1"/>
  <c r="F42" i="14"/>
  <c r="G42" i="14" s="1"/>
  <c r="I16" i="8"/>
  <c r="D7" i="14"/>
  <c r="F7" i="11"/>
  <c r="O8" i="6"/>
  <c r="O9" i="6"/>
  <c r="G12" i="12"/>
  <c r="H12" i="11"/>
  <c r="N21" i="6"/>
  <c r="G46" i="12"/>
  <c r="H46" i="11"/>
  <c r="H26" i="11"/>
  <c r="H8" i="11"/>
  <c r="G8" i="12"/>
  <c r="F13" i="11"/>
  <c r="C77" i="10"/>
  <c r="D13" i="14"/>
  <c r="C7" i="13"/>
  <c r="Z65" i="10"/>
  <c r="Z61" i="10"/>
  <c r="Z57" i="10"/>
  <c r="Z67" i="10"/>
  <c r="Z64" i="10"/>
  <c r="Z55" i="10"/>
  <c r="Z51" i="10"/>
  <c r="Z59" i="10"/>
  <c r="Z54" i="10"/>
  <c r="Z50" i="10"/>
  <c r="Z46" i="10"/>
  <c r="Z42" i="10"/>
  <c r="Z66" i="10"/>
  <c r="Z68" i="10"/>
  <c r="Z62" i="10"/>
  <c r="Z49" i="10"/>
  <c r="Z58" i="10"/>
  <c r="Z41" i="10"/>
  <c r="Z39" i="10"/>
  <c r="Z35" i="10"/>
  <c r="Z47" i="10"/>
  <c r="Z44" i="10"/>
  <c r="Z53" i="10"/>
  <c r="Z38" i="10"/>
  <c r="Z34" i="10"/>
  <c r="Z30" i="10"/>
  <c r="Z26" i="10"/>
  <c r="Z22" i="10"/>
  <c r="Z63" i="10"/>
  <c r="Z56" i="10"/>
  <c r="Z48" i="10"/>
  <c r="Z37" i="10"/>
  <c r="Z33" i="10"/>
  <c r="Z52" i="10"/>
  <c r="Z36" i="10"/>
  <c r="Z32" i="10"/>
  <c r="Z28" i="10"/>
  <c r="Z24" i="10"/>
  <c r="F20" i="11"/>
  <c r="D20" i="14"/>
  <c r="G22" i="12"/>
  <c r="H22" i="11"/>
  <c r="D30" i="14"/>
  <c r="F30" i="11"/>
  <c r="G34" i="12"/>
  <c r="H34" i="11"/>
  <c r="F42" i="11"/>
  <c r="D42" i="14"/>
  <c r="P20" i="10"/>
  <c r="AM20" i="10" s="1"/>
  <c r="F25" i="10"/>
  <c r="Z31" i="10"/>
  <c r="G30" i="11"/>
  <c r="E30" i="14"/>
  <c r="D41" i="14"/>
  <c r="F41" i="11"/>
  <c r="G42" i="11"/>
  <c r="E42" i="14"/>
  <c r="H45" i="11"/>
  <c r="G45" i="12"/>
  <c r="AJ23" i="10"/>
  <c r="F26" i="10"/>
  <c r="F31" i="10"/>
  <c r="G44" i="12"/>
  <c r="H44" i="11"/>
  <c r="F46" i="15"/>
  <c r="G46" i="15" s="1"/>
  <c r="H46" i="15" s="1"/>
  <c r="E46" i="15"/>
  <c r="H46" i="14"/>
  <c r="I46" i="14" s="1"/>
  <c r="H47" i="14"/>
  <c r="F47" i="15"/>
  <c r="G47" i="15" s="1"/>
  <c r="H47" i="15" s="1"/>
  <c r="E47" i="15"/>
  <c r="I47" i="14"/>
  <c r="F21" i="10"/>
  <c r="AJ21" i="10"/>
  <c r="AJ69" i="10" s="1"/>
  <c r="F23" i="10"/>
  <c r="Z25" i="10"/>
  <c r="F30" i="10"/>
  <c r="AE34" i="10"/>
  <c r="Z40" i="10"/>
  <c r="O21" i="6"/>
  <c r="D27" i="14"/>
  <c r="F27" i="11"/>
  <c r="O31" i="6"/>
  <c r="J11" i="8" s="1"/>
  <c r="G31" i="12"/>
  <c r="H31" i="11"/>
  <c r="F39" i="11"/>
  <c r="D39" i="14"/>
  <c r="H43" i="11"/>
  <c r="G43" i="12"/>
  <c r="I8" i="8"/>
  <c r="G9" i="8"/>
  <c r="M12" i="8"/>
  <c r="P24" i="10"/>
  <c r="F27" i="10"/>
  <c r="AJ33" i="10"/>
  <c r="F67" i="10"/>
  <c r="F63" i="10"/>
  <c r="F59" i="10"/>
  <c r="C14" i="16" a="1"/>
  <c r="C14" i="16" s="1"/>
  <c r="C73" i="10"/>
  <c r="F65" i="10"/>
  <c r="F61" i="10"/>
  <c r="F57" i="10"/>
  <c r="E14" i="16" a="1"/>
  <c r="E14" i="16" s="1"/>
  <c r="D14" i="16" a="1"/>
  <c r="D14" i="16" s="1"/>
  <c r="F4" i="11"/>
  <c r="F60" i="10"/>
  <c r="F62" i="10"/>
  <c r="AM62" i="10" s="1"/>
  <c r="F53" i="10"/>
  <c r="F49" i="10"/>
  <c r="F64" i="10"/>
  <c r="F56" i="10"/>
  <c r="F52" i="10"/>
  <c r="F48" i="10"/>
  <c r="D4" i="14"/>
  <c r="C4" i="13"/>
  <c r="F55" i="10"/>
  <c r="F51" i="10"/>
  <c r="F47" i="10"/>
  <c r="F68" i="10"/>
  <c r="AM68" i="10" s="1"/>
  <c r="F54" i="10"/>
  <c r="F50" i="10"/>
  <c r="F38" i="10"/>
  <c r="F34" i="10"/>
  <c r="F45" i="10"/>
  <c r="F43" i="10"/>
  <c r="F37" i="10"/>
  <c r="F33" i="10"/>
  <c r="F41" i="10"/>
  <c r="F40" i="10"/>
  <c r="F36" i="10"/>
  <c r="F32" i="10"/>
  <c r="AM32" i="10" s="1"/>
  <c r="F28" i="10"/>
  <c r="F44" i="10"/>
  <c r="F66" i="10"/>
  <c r="F58" i="10"/>
  <c r="F39" i="10"/>
  <c r="F42" i="10"/>
  <c r="G13" i="12"/>
  <c r="H13" i="11"/>
  <c r="G14" i="15"/>
  <c r="H14" i="15" s="1"/>
  <c r="F14" i="15"/>
  <c r="E14" i="15"/>
  <c r="H14" i="14"/>
  <c r="I14" i="14" s="1"/>
  <c r="C9" i="13"/>
  <c r="D18" i="14"/>
  <c r="F18" i="11"/>
  <c r="G20" i="12"/>
  <c r="H20" i="11"/>
  <c r="D26" i="14"/>
  <c r="F26" i="11"/>
  <c r="I26" i="11" s="1"/>
  <c r="M28" i="6"/>
  <c r="G30" i="12"/>
  <c r="H30" i="11"/>
  <c r="D38" i="14"/>
  <c r="F38" i="11"/>
  <c r="M40" i="6"/>
  <c r="H42" i="11"/>
  <c r="G42" i="12"/>
  <c r="O5" i="10"/>
  <c r="O69" i="10" s="1"/>
  <c r="AA5" i="10"/>
  <c r="AD16" i="10"/>
  <c r="AE22" i="10"/>
  <c r="Z29" i="10"/>
  <c r="Z60" i="10"/>
  <c r="G41" i="12"/>
  <c r="H41" i="11"/>
  <c r="Z23" i="10"/>
  <c r="AJ24" i="10"/>
  <c r="Z27" i="10"/>
  <c r="AE30" i="10"/>
  <c r="AJ31" i="10"/>
  <c r="AE38" i="10"/>
  <c r="Z45" i="10"/>
  <c r="G27" i="12"/>
  <c r="G11" i="12"/>
  <c r="H11" i="11"/>
  <c r="I11" i="11" s="1"/>
  <c r="F16" i="11"/>
  <c r="D16" i="14"/>
  <c r="G19" i="12"/>
  <c r="H19" i="11"/>
  <c r="D24" i="14"/>
  <c r="F24" i="11"/>
  <c r="O28" i="6"/>
  <c r="J9" i="8" s="1"/>
  <c r="H28" i="11"/>
  <c r="G28" i="12"/>
  <c r="F36" i="11"/>
  <c r="D36" i="14"/>
  <c r="O40" i="6"/>
  <c r="J14" i="8" s="1"/>
  <c r="H40" i="11"/>
  <c r="G40" i="12"/>
  <c r="H16" i="8"/>
  <c r="E5" i="10"/>
  <c r="E69" i="10" s="1"/>
  <c r="Q5" i="10"/>
  <c r="Z21" i="10"/>
  <c r="Z69" i="10" s="1"/>
  <c r="AE26" i="10"/>
  <c r="H33" i="11"/>
  <c r="B22" i="5"/>
  <c r="H7" i="2" s="1"/>
  <c r="C5" i="13"/>
  <c r="P67" i="10"/>
  <c r="P63" i="10"/>
  <c r="P59" i="10"/>
  <c r="D9" i="14"/>
  <c r="F9" i="11"/>
  <c r="C75" i="10"/>
  <c r="P66" i="10"/>
  <c r="P54" i="10"/>
  <c r="P50" i="10"/>
  <c r="P46" i="10"/>
  <c r="P42" i="10"/>
  <c r="P58" i="10"/>
  <c r="P65" i="10"/>
  <c r="P60" i="10"/>
  <c r="P53" i="10"/>
  <c r="P49" i="10"/>
  <c r="P55" i="10"/>
  <c r="P51" i="10"/>
  <c r="P47" i="10"/>
  <c r="P43" i="10"/>
  <c r="P61" i="10"/>
  <c r="P56" i="10"/>
  <c r="P44" i="10"/>
  <c r="P62" i="10"/>
  <c r="P48" i="10"/>
  <c r="P38" i="10"/>
  <c r="P34" i="10"/>
  <c r="P30" i="10"/>
  <c r="P26" i="10"/>
  <c r="P22" i="10"/>
  <c r="P52" i="10"/>
  <c r="P45" i="10"/>
  <c r="P37" i="10"/>
  <c r="P33" i="10"/>
  <c r="P29" i="10"/>
  <c r="AM29" i="10" s="1"/>
  <c r="P25" i="10"/>
  <c r="P21" i="10"/>
  <c r="P69" i="10" s="1"/>
  <c r="P57" i="10"/>
  <c r="P36" i="10"/>
  <c r="P32" i="10"/>
  <c r="P28" i="10"/>
  <c r="P64" i="10"/>
  <c r="P41" i="10"/>
  <c r="P40" i="10"/>
  <c r="E16" i="14"/>
  <c r="G16" i="11"/>
  <c r="O19" i="6"/>
  <c r="J5" i="8" s="1"/>
  <c r="D23" i="14"/>
  <c r="F23" i="11"/>
  <c r="G24" i="11"/>
  <c r="E24" i="14"/>
  <c r="O27" i="6"/>
  <c r="D35" i="14"/>
  <c r="F35" i="11"/>
  <c r="E36" i="14"/>
  <c r="G36" i="11"/>
  <c r="O39" i="6"/>
  <c r="J13" i="8" s="1"/>
  <c r="H39" i="11"/>
  <c r="G39" i="12"/>
  <c r="D46" i="14"/>
  <c r="F46" i="11"/>
  <c r="I46" i="11" s="1"/>
  <c r="D47" i="14"/>
  <c r="F47" i="11"/>
  <c r="H15" i="7"/>
  <c r="G5" i="8"/>
  <c r="G11" i="8"/>
  <c r="M14" i="8"/>
  <c r="AD69" i="10"/>
  <c r="F35" i="10"/>
  <c r="D34" i="14"/>
  <c r="F34" i="11"/>
  <c r="E35" i="14"/>
  <c r="G35" i="11"/>
  <c r="G38" i="12"/>
  <c r="H38" i="11"/>
  <c r="G46" i="11"/>
  <c r="E46" i="14"/>
  <c r="G47" i="11"/>
  <c r="E47" i="14"/>
  <c r="H11" i="8"/>
  <c r="G5" i="10"/>
  <c r="Y15" i="10"/>
  <c r="Y69" i="10" s="1"/>
  <c r="AJ22" i="10"/>
  <c r="F24" i="10"/>
  <c r="AM24" i="10" s="1"/>
  <c r="Z43" i="10"/>
  <c r="H10" i="11"/>
  <c r="G10" i="12"/>
  <c r="F14" i="11"/>
  <c r="D14" i="14"/>
  <c r="D15" i="14"/>
  <c r="AE66" i="10"/>
  <c r="AE62" i="10"/>
  <c r="AE58" i="10"/>
  <c r="C78" i="10"/>
  <c r="AE61" i="10"/>
  <c r="AE53" i="10"/>
  <c r="AE49" i="10"/>
  <c r="AE45" i="10"/>
  <c r="AE41" i="10"/>
  <c r="AE68" i="10"/>
  <c r="C8" i="13"/>
  <c r="AE63" i="10"/>
  <c r="AE60" i="10"/>
  <c r="AE56" i="10"/>
  <c r="AE52" i="10"/>
  <c r="AE48" i="10"/>
  <c r="AE65" i="10"/>
  <c r="AE67" i="10"/>
  <c r="AE59" i="10"/>
  <c r="AE54" i="10"/>
  <c r="AE50" i="10"/>
  <c r="AE46" i="10"/>
  <c r="AE42" i="10"/>
  <c r="AE51" i="10"/>
  <c r="AE47" i="10"/>
  <c r="AE57" i="10"/>
  <c r="F15" i="11"/>
  <c r="AE37" i="10"/>
  <c r="AE33" i="10"/>
  <c r="AE29" i="10"/>
  <c r="AE25" i="10"/>
  <c r="AE64" i="10"/>
  <c r="AE36" i="10"/>
  <c r="AE32" i="10"/>
  <c r="AE28" i="10"/>
  <c r="AE24" i="10"/>
  <c r="AE40" i="10"/>
  <c r="AE43" i="10"/>
  <c r="AE39" i="10"/>
  <c r="AE35" i="10"/>
  <c r="AE31" i="10"/>
  <c r="AE27" i="10"/>
  <c r="AE55" i="10"/>
  <c r="G17" i="12"/>
  <c r="H17" i="11"/>
  <c r="H25" i="11"/>
  <c r="G25" i="12"/>
  <c r="D33" i="14"/>
  <c r="F33" i="11"/>
  <c r="E34" i="14"/>
  <c r="G34" i="11"/>
  <c r="H37" i="11"/>
  <c r="G37" i="12"/>
  <c r="C12" i="13"/>
  <c r="AJ65" i="10"/>
  <c r="AJ61" i="10"/>
  <c r="AJ57" i="10"/>
  <c r="C79" i="10"/>
  <c r="AJ67" i="10"/>
  <c r="AJ63" i="10"/>
  <c r="AJ59" i="10"/>
  <c r="AJ60" i="10"/>
  <c r="AJ55" i="10"/>
  <c r="AJ51" i="10"/>
  <c r="AJ47" i="10"/>
  <c r="AJ62" i="10"/>
  <c r="AJ64" i="10"/>
  <c r="AJ54" i="10"/>
  <c r="AJ50" i="10"/>
  <c r="AJ46" i="10"/>
  <c r="D45" i="14"/>
  <c r="AJ53" i="10"/>
  <c r="AJ49" i="10"/>
  <c r="AJ45" i="10"/>
  <c r="AJ68" i="10"/>
  <c r="AJ58" i="10"/>
  <c r="AJ56" i="10"/>
  <c r="AJ52" i="10"/>
  <c r="AJ48" i="10"/>
  <c r="AJ36" i="10"/>
  <c r="AJ32" i="10"/>
  <c r="F45" i="11"/>
  <c r="AJ43" i="10"/>
  <c r="AJ40" i="10"/>
  <c r="AJ39" i="10"/>
  <c r="AJ35" i="10"/>
  <c r="AJ41" i="10"/>
  <c r="AJ38" i="10"/>
  <c r="AJ34" i="10"/>
  <c r="AJ30" i="10"/>
  <c r="AJ26" i="10"/>
  <c r="AJ44" i="10"/>
  <c r="AJ42" i="10"/>
  <c r="AJ37" i="10"/>
  <c r="AJ66" i="10"/>
  <c r="N47" i="6"/>
  <c r="N48" i="6"/>
  <c r="M9" i="8"/>
  <c r="M15" i="8"/>
  <c r="T69" i="10"/>
  <c r="AF5" i="10"/>
  <c r="AI16" i="10"/>
  <c r="AI69" i="10" s="1"/>
  <c r="AE21" i="10"/>
  <c r="AE69" i="10" s="1"/>
  <c r="F22" i="10"/>
  <c r="F69" i="10" s="1"/>
  <c r="AE23" i="10"/>
  <c r="F46" i="10"/>
  <c r="G16" i="12"/>
  <c r="H16" i="11"/>
  <c r="F21" i="11"/>
  <c r="I21" i="11" s="1"/>
  <c r="D21" i="14"/>
  <c r="H24" i="11"/>
  <c r="G24" i="12"/>
  <c r="D32" i="14"/>
  <c r="F32" i="11"/>
  <c r="I32" i="11" s="1"/>
  <c r="M34" i="6"/>
  <c r="O34" i="6" s="1"/>
  <c r="N35" i="6"/>
  <c r="O36" i="6"/>
  <c r="H36" i="11"/>
  <c r="I36" i="11" s="1"/>
  <c r="G36" i="12"/>
  <c r="D44" i="14"/>
  <c r="F44" i="11"/>
  <c r="O47" i="6"/>
  <c r="O48" i="6"/>
  <c r="U69" i="10"/>
  <c r="AG5" i="10"/>
  <c r="AC6" i="10" s="1"/>
  <c r="P23" i="10"/>
  <c r="P27" i="10"/>
  <c r="AJ28" i="10"/>
  <c r="AJ29" i="10"/>
  <c r="P35" i="10"/>
  <c r="I25" i="11"/>
  <c r="I29" i="11"/>
  <c r="I22" i="11"/>
  <c r="I17" i="11"/>
  <c r="I33" i="11"/>
  <c r="I40" i="11"/>
  <c r="I47" i="11"/>
  <c r="I14" i="11"/>
  <c r="I42" i="11"/>
  <c r="I6" i="11"/>
  <c r="I44" i="11"/>
  <c r="I35" i="11"/>
  <c r="I16" i="11"/>
  <c r="D56" i="11"/>
  <c r="I23" i="11"/>
  <c r="I34" i="11"/>
  <c r="I7" i="11"/>
  <c r="A50" i="15"/>
  <c r="H5" i="4" l="1"/>
  <c r="B56" i="4"/>
  <c r="C56" i="4" s="1"/>
  <c r="B55" i="4"/>
  <c r="C55" i="4" s="1"/>
  <c r="B54" i="4"/>
  <c r="C54" i="4" s="1"/>
  <c r="B53" i="4"/>
  <c r="C53" i="4" s="1"/>
  <c r="B52" i="4"/>
  <c r="D35" i="2"/>
  <c r="G35" i="2" s="1"/>
  <c r="AM36" i="10"/>
  <c r="AM60" i="10"/>
  <c r="F21" i="14"/>
  <c r="G21" i="14" s="1"/>
  <c r="H11" i="9"/>
  <c r="R5" i="10"/>
  <c r="N6" i="10" s="1"/>
  <c r="W7" i="10"/>
  <c r="S8" i="10" s="1"/>
  <c r="V7" i="10"/>
  <c r="I41" i="11"/>
  <c r="F7" i="14"/>
  <c r="G7" i="14" s="1"/>
  <c r="H5" i="9"/>
  <c r="AM47" i="10"/>
  <c r="AM40" i="10"/>
  <c r="AM51" i="10"/>
  <c r="AM27" i="10"/>
  <c r="AM21" i="10"/>
  <c r="F26" i="14"/>
  <c r="G26" i="14" s="1"/>
  <c r="H14" i="9"/>
  <c r="E22" i="14"/>
  <c r="G22" i="11"/>
  <c r="N23" i="6"/>
  <c r="G12" i="9"/>
  <c r="E40" i="14"/>
  <c r="G40" i="11"/>
  <c r="N41" i="6"/>
  <c r="O41" i="6"/>
  <c r="G22" i="9"/>
  <c r="G18" i="7"/>
  <c r="I15" i="7"/>
  <c r="E11" i="14"/>
  <c r="G11" i="11"/>
  <c r="N12" i="6"/>
  <c r="G6" i="9"/>
  <c r="O12" i="6"/>
  <c r="AN5" i="10"/>
  <c r="AM35" i="10"/>
  <c r="G27" i="11"/>
  <c r="I27" i="11" s="1"/>
  <c r="E27" i="14"/>
  <c r="H9" i="8"/>
  <c r="N28" i="6"/>
  <c r="AM41" i="10"/>
  <c r="AM55" i="10"/>
  <c r="D17" i="16"/>
  <c r="D15" i="16"/>
  <c r="I30" i="11"/>
  <c r="E12" i="14"/>
  <c r="G12" i="11"/>
  <c r="H4" i="8"/>
  <c r="N13" i="6"/>
  <c r="E37" i="14"/>
  <c r="G37" i="11"/>
  <c r="C53" i="11" s="1"/>
  <c r="N38" i="6"/>
  <c r="G21" i="9"/>
  <c r="AM33" i="10"/>
  <c r="E17" i="16"/>
  <c r="E15" i="16"/>
  <c r="AM31" i="10"/>
  <c r="F18" i="14"/>
  <c r="G18" i="14" s="1"/>
  <c r="I5" i="8"/>
  <c r="F14" i="14"/>
  <c r="G14" i="14" s="1"/>
  <c r="H7" i="9"/>
  <c r="G6" i="11"/>
  <c r="E6" i="14"/>
  <c r="N7" i="6"/>
  <c r="G4" i="9"/>
  <c r="G26" i="9" s="1"/>
  <c r="F23" i="14"/>
  <c r="G23" i="14" s="1"/>
  <c r="I7" i="8"/>
  <c r="F47" i="14"/>
  <c r="G47" i="14" s="1"/>
  <c r="H25" i="9"/>
  <c r="F46" i="14"/>
  <c r="G46" i="14" s="1"/>
  <c r="H24" i="9"/>
  <c r="AM37" i="10"/>
  <c r="D48" i="14"/>
  <c r="AM57" i="10"/>
  <c r="AM26" i="10"/>
  <c r="AM25" i="10"/>
  <c r="AM69" i="10" s="1"/>
  <c r="F29" i="14"/>
  <c r="G29" i="14" s="1"/>
  <c r="H15" i="9"/>
  <c r="E31" i="14"/>
  <c r="G31" i="11"/>
  <c r="I31" i="11" s="1"/>
  <c r="H12" i="8"/>
  <c r="N32" i="6"/>
  <c r="O32" i="6"/>
  <c r="J12" i="8" s="1"/>
  <c r="I37" i="11"/>
  <c r="B28" i="5"/>
  <c r="N7" i="2" s="1"/>
  <c r="AM67" i="10"/>
  <c r="AM42" i="10"/>
  <c r="AM43" i="10"/>
  <c r="AM48" i="10"/>
  <c r="AM61" i="10"/>
  <c r="H5" i="10"/>
  <c r="E43" i="14"/>
  <c r="G43" i="11"/>
  <c r="I43" i="11" s="1"/>
  <c r="H17" i="8"/>
  <c r="N44" i="6"/>
  <c r="O44" i="6"/>
  <c r="J17" i="8" s="1"/>
  <c r="AM46" i="10"/>
  <c r="AM39" i="10"/>
  <c r="AM45" i="10"/>
  <c r="AM52" i="10"/>
  <c r="AM65" i="10"/>
  <c r="I20" i="11"/>
  <c r="D53" i="11" s="1"/>
  <c r="E20" i="2"/>
  <c r="D15" i="5"/>
  <c r="E12" i="5" s="1"/>
  <c r="G26" i="2" s="1"/>
  <c r="H26" i="2" s="1"/>
  <c r="E26" i="2"/>
  <c r="G17" i="11"/>
  <c r="E17" i="14"/>
  <c r="N18" i="6"/>
  <c r="G9" i="9"/>
  <c r="F34" i="14"/>
  <c r="G34" i="14" s="1"/>
  <c r="H18" i="9"/>
  <c r="AM58" i="10"/>
  <c r="AM34" i="10"/>
  <c r="AM56" i="10"/>
  <c r="G18" i="8"/>
  <c r="E25" i="14"/>
  <c r="G25" i="11"/>
  <c r="N26" i="6"/>
  <c r="G13" i="9"/>
  <c r="O7" i="6"/>
  <c r="E19" i="14"/>
  <c r="H6" i="8"/>
  <c r="N20" i="6"/>
  <c r="G19" i="11"/>
  <c r="I19" i="11" s="1"/>
  <c r="D57" i="11" s="1"/>
  <c r="AA7" i="10"/>
  <c r="AB7" i="10"/>
  <c r="X8" i="10" s="1"/>
  <c r="F32" i="14"/>
  <c r="G32" i="14" s="1"/>
  <c r="H16" i="9"/>
  <c r="AM23" i="10"/>
  <c r="G33" i="11"/>
  <c r="E33" i="14"/>
  <c r="N34" i="6"/>
  <c r="G17" i="9"/>
  <c r="AM22" i="10"/>
  <c r="AM66" i="10"/>
  <c r="AM38" i="10"/>
  <c r="AM64" i="10"/>
  <c r="C17" i="16"/>
  <c r="C15" i="16"/>
  <c r="F20" i="14"/>
  <c r="G20" i="14" s="1"/>
  <c r="H10" i="9"/>
  <c r="E28" i="14"/>
  <c r="G28" i="11"/>
  <c r="I28" i="11" s="1"/>
  <c r="H10" i="8"/>
  <c r="N29" i="6"/>
  <c r="AL6" i="10"/>
  <c r="AH7" i="10" s="1"/>
  <c r="AK6" i="10"/>
  <c r="G39" i="11"/>
  <c r="I39" i="11" s="1"/>
  <c r="E39" i="14"/>
  <c r="H14" i="8"/>
  <c r="N40" i="6"/>
  <c r="AM44" i="10"/>
  <c r="AM50" i="10"/>
  <c r="AM49" i="10"/>
  <c r="AM59" i="10"/>
  <c r="AM30" i="10"/>
  <c r="D34" i="2"/>
  <c r="F41" i="14"/>
  <c r="G41" i="14" s="1"/>
  <c r="I15" i="8"/>
  <c r="AG6" i="10"/>
  <c r="AC7" i="10" s="1"/>
  <c r="AF6" i="10"/>
  <c r="I24" i="11"/>
  <c r="AM28" i="10"/>
  <c r="AM54" i="10"/>
  <c r="AM53" i="10"/>
  <c r="AM63" i="10"/>
  <c r="F38" i="14"/>
  <c r="G38" i="14" s="1"/>
  <c r="I13" i="8"/>
  <c r="E8" i="14"/>
  <c r="G8" i="11"/>
  <c r="N9" i="6"/>
  <c r="F8" i="14" s="1"/>
  <c r="G8" i="14" s="1"/>
  <c r="F44" i="14"/>
  <c r="G44" i="14" s="1"/>
  <c r="H23" i="9"/>
  <c r="M6" i="10"/>
  <c r="I7" i="10" s="1"/>
  <c r="L6" i="10"/>
  <c r="B15" i="5"/>
  <c r="E29" i="2" l="1"/>
  <c r="AL7" i="10"/>
  <c r="AH8" i="10" s="1"/>
  <c r="AK7" i="10"/>
  <c r="D47" i="2"/>
  <c r="G47" i="2" s="1"/>
  <c r="D46" i="2"/>
  <c r="G46" i="2" s="1"/>
  <c r="D6" i="10"/>
  <c r="AP5" i="10"/>
  <c r="F28" i="14"/>
  <c r="G28" i="14" s="1"/>
  <c r="I10" i="8"/>
  <c r="F11" i="14"/>
  <c r="G11" i="14" s="1"/>
  <c r="H6" i="9"/>
  <c r="F22" i="14"/>
  <c r="G22" i="14" s="1"/>
  <c r="H12" i="9"/>
  <c r="D44" i="2"/>
  <c r="G44" i="2" s="1"/>
  <c r="F33" i="14"/>
  <c r="G33" i="14" s="1"/>
  <c r="H17" i="9"/>
  <c r="D42" i="2"/>
  <c r="G42" i="2" s="1"/>
  <c r="D39" i="2"/>
  <c r="G39" i="2" s="1"/>
  <c r="F17" i="14"/>
  <c r="G17" i="14" s="1"/>
  <c r="H9" i="9"/>
  <c r="D41" i="2"/>
  <c r="G41" i="2" s="1"/>
  <c r="D38" i="2"/>
  <c r="G38" i="2" s="1"/>
  <c r="M7" i="10"/>
  <c r="I8" i="10" s="1"/>
  <c r="L7" i="10"/>
  <c r="F6" i="14"/>
  <c r="G6" i="14" s="1"/>
  <c r="H4" i="9"/>
  <c r="F37" i="14"/>
  <c r="G37" i="14" s="1"/>
  <c r="H21" i="9"/>
  <c r="F27" i="14"/>
  <c r="G27" i="14" s="1"/>
  <c r="I9" i="8"/>
  <c r="G34" i="2"/>
  <c r="D45" i="2"/>
  <c r="G45" i="2" s="1"/>
  <c r="B57" i="4"/>
  <c r="C52" i="4"/>
  <c r="AG7" i="10"/>
  <c r="AC8" i="10" s="1"/>
  <c r="AF7" i="10"/>
  <c r="F19" i="14"/>
  <c r="G19" i="14" s="1"/>
  <c r="I6" i="8"/>
  <c r="D43" i="2"/>
  <c r="G43" i="2" s="1"/>
  <c r="D37" i="2"/>
  <c r="G37" i="2" s="1"/>
  <c r="F25" i="14"/>
  <c r="G25" i="14" s="1"/>
  <c r="H13" i="9"/>
  <c r="W8" i="10"/>
  <c r="S9" i="10" s="1"/>
  <c r="V8" i="10"/>
  <c r="F39" i="14"/>
  <c r="G39" i="14" s="1"/>
  <c r="I14" i="8"/>
  <c r="D36" i="2"/>
  <c r="G36" i="2" s="1"/>
  <c r="R6" i="10"/>
  <c r="N7" i="10" s="1"/>
  <c r="Q6" i="10"/>
  <c r="F43" i="14"/>
  <c r="G43" i="14" s="1"/>
  <c r="I17" i="8"/>
  <c r="D40" i="2"/>
  <c r="G40" i="2" s="1"/>
  <c r="F12" i="14"/>
  <c r="G12" i="14" s="1"/>
  <c r="I4" i="8"/>
  <c r="E7" i="5"/>
  <c r="G21" i="2" s="1"/>
  <c r="H21" i="2" s="1"/>
  <c r="E14" i="5"/>
  <c r="G28" i="2" s="1"/>
  <c r="H28" i="2" s="1"/>
  <c r="E10" i="5"/>
  <c r="G24" i="2" s="1"/>
  <c r="H24" i="2" s="1"/>
  <c r="E8" i="5"/>
  <c r="G22" i="2" s="1"/>
  <c r="H22" i="2" s="1"/>
  <c r="E9" i="5"/>
  <c r="G23" i="2" s="1"/>
  <c r="H23" i="2" s="1"/>
  <c r="E11" i="5"/>
  <c r="G25" i="2" s="1"/>
  <c r="H25" i="2" s="1"/>
  <c r="E13" i="5"/>
  <c r="G27" i="2" s="1"/>
  <c r="H27" i="2" s="1"/>
  <c r="H18" i="8"/>
  <c r="E6" i="5"/>
  <c r="G20" i="2" s="1"/>
  <c r="F31" i="14"/>
  <c r="G31" i="14" s="1"/>
  <c r="I12" i="8"/>
  <c r="I12" i="11"/>
  <c r="D54" i="11" s="1"/>
  <c r="C54" i="11"/>
  <c r="AO5" i="10"/>
  <c r="F40" i="14"/>
  <c r="G40" i="14" s="1"/>
  <c r="H22" i="9"/>
  <c r="AB8" i="10"/>
  <c r="X9" i="10" s="1"/>
  <c r="AA8" i="10"/>
  <c r="R7" i="10" l="1"/>
  <c r="N8" i="10" s="1"/>
  <c r="Q7" i="10"/>
  <c r="G29" i="2"/>
  <c r="H20" i="2"/>
  <c r="AB9" i="10"/>
  <c r="X10" i="10" s="1"/>
  <c r="AA9" i="10"/>
  <c r="D48" i="2"/>
  <c r="L8" i="10"/>
  <c r="M8" i="10"/>
  <c r="I9" i="10" s="1"/>
  <c r="AL8" i="10"/>
  <c r="AH9" i="10" s="1"/>
  <c r="AK8" i="10"/>
  <c r="W9" i="10"/>
  <c r="S10" i="10" s="1"/>
  <c r="V9" i="10"/>
  <c r="AG8" i="10"/>
  <c r="AC9" i="10" s="1"/>
  <c r="AF8" i="10"/>
  <c r="H6" i="10"/>
  <c r="G6" i="10"/>
  <c r="AN6" i="10" l="1"/>
  <c r="AB10" i="10"/>
  <c r="X11" i="10" s="1"/>
  <c r="AA10" i="10"/>
  <c r="M9" i="10"/>
  <c r="I10" i="10" s="1"/>
  <c r="L9" i="10"/>
  <c r="AG9" i="10"/>
  <c r="AC10" i="10" s="1"/>
  <c r="AF9" i="10"/>
  <c r="AP6" i="10"/>
  <c r="D7" i="10"/>
  <c r="W10" i="10"/>
  <c r="S11" i="10" s="1"/>
  <c r="V10" i="10"/>
  <c r="AL9" i="10"/>
  <c r="AH10" i="10" s="1"/>
  <c r="AK9" i="10"/>
  <c r="R8" i="10"/>
  <c r="N9" i="10" s="1"/>
  <c r="Q8" i="10"/>
  <c r="W11" i="10" l="1"/>
  <c r="S12" i="10" s="1"/>
  <c r="V11" i="10"/>
  <c r="H7" i="10"/>
  <c r="G7" i="10"/>
  <c r="R9" i="10"/>
  <c r="N10" i="10" s="1"/>
  <c r="Q9" i="10"/>
  <c r="AA11" i="10"/>
  <c r="AB11" i="10"/>
  <c r="X12" i="10" s="1"/>
  <c r="AL10" i="10"/>
  <c r="AH11" i="10" s="1"/>
  <c r="AK10" i="10"/>
  <c r="AO6" i="10"/>
  <c r="AG10" i="10"/>
  <c r="AC11" i="10" s="1"/>
  <c r="AF10" i="10"/>
  <c r="M10" i="10"/>
  <c r="I11" i="10" s="1"/>
  <c r="L10" i="10"/>
  <c r="AN7" i="10" l="1"/>
  <c r="W12" i="10"/>
  <c r="S13" i="10" s="1"/>
  <c r="V12" i="10"/>
  <c r="M11" i="10"/>
  <c r="I12" i="10" s="1"/>
  <c r="L11" i="10"/>
  <c r="AB12" i="10"/>
  <c r="X13" i="10" s="1"/>
  <c r="AA12" i="10"/>
  <c r="D8" i="10"/>
  <c r="AP7" i="10"/>
  <c r="AG11" i="10"/>
  <c r="AC12" i="10" s="1"/>
  <c r="AF11" i="10"/>
  <c r="AL11" i="10"/>
  <c r="AH12" i="10" s="1"/>
  <c r="AK11" i="10"/>
  <c r="R10" i="10"/>
  <c r="N11" i="10" s="1"/>
  <c r="Q10" i="10"/>
  <c r="AG12" i="10" l="1"/>
  <c r="AC13" i="10" s="1"/>
  <c r="AF12" i="10"/>
  <c r="AB13" i="10"/>
  <c r="X14" i="10" s="1"/>
  <c r="AA13" i="10"/>
  <c r="L12" i="10"/>
  <c r="M12" i="10"/>
  <c r="I13" i="10" s="1"/>
  <c r="R11" i="10"/>
  <c r="N12" i="10" s="1"/>
  <c r="Q11" i="10"/>
  <c r="AL12" i="10"/>
  <c r="AH13" i="10" s="1"/>
  <c r="AK12" i="10"/>
  <c r="H8" i="10"/>
  <c r="G8" i="10"/>
  <c r="W13" i="10"/>
  <c r="S14" i="10" s="1"/>
  <c r="V13" i="10"/>
  <c r="AO7" i="10"/>
  <c r="W14" i="10" l="1"/>
  <c r="S15" i="10" s="1"/>
  <c r="V14" i="10"/>
  <c r="AN8" i="10"/>
  <c r="R12" i="10"/>
  <c r="N13" i="10" s="1"/>
  <c r="Q12" i="10"/>
  <c r="M13" i="10"/>
  <c r="I14" i="10" s="1"/>
  <c r="L13" i="10"/>
  <c r="AG13" i="10"/>
  <c r="AC14" i="10" s="1"/>
  <c r="AF13" i="10"/>
  <c r="D9" i="10"/>
  <c r="AP8" i="10"/>
  <c r="AL13" i="10"/>
  <c r="AH14" i="10" s="1"/>
  <c r="AK13" i="10"/>
  <c r="AB14" i="10"/>
  <c r="X15" i="10" s="1"/>
  <c r="AA14" i="10"/>
  <c r="AG14" i="10" l="1"/>
  <c r="AC15" i="10" s="1"/>
  <c r="AF14" i="10"/>
  <c r="R13" i="10"/>
  <c r="N14" i="10" s="1"/>
  <c r="Q13" i="10"/>
  <c r="M14" i="10"/>
  <c r="I15" i="10" s="1"/>
  <c r="L14" i="10"/>
  <c r="AL14" i="10"/>
  <c r="AH15" i="10" s="1"/>
  <c r="AK14" i="10"/>
  <c r="H9" i="10"/>
  <c r="G9" i="10"/>
  <c r="AA15" i="10"/>
  <c r="AB15" i="10"/>
  <c r="X16" i="10" s="1"/>
  <c r="AO8" i="10"/>
  <c r="W15" i="10"/>
  <c r="S16" i="10" s="1"/>
  <c r="V15" i="10"/>
  <c r="AB16" i="10" l="1"/>
  <c r="X17" i="10" s="1"/>
  <c r="AA16" i="10"/>
  <c r="AN9" i="10"/>
  <c r="D10" i="10"/>
  <c r="AP9" i="10"/>
  <c r="M15" i="10"/>
  <c r="I16" i="10" s="1"/>
  <c r="L15" i="10"/>
  <c r="AG15" i="10"/>
  <c r="AC16" i="10" s="1"/>
  <c r="AF15" i="10"/>
  <c r="W16" i="10"/>
  <c r="S17" i="10" s="1"/>
  <c r="V16" i="10"/>
  <c r="R14" i="10"/>
  <c r="N15" i="10" s="1"/>
  <c r="Q14" i="10"/>
  <c r="AL15" i="10"/>
  <c r="AH16" i="10" s="1"/>
  <c r="AK15" i="10"/>
  <c r="AG16" i="10" l="1"/>
  <c r="AC17" i="10" s="1"/>
  <c r="AF16" i="10"/>
  <c r="L16" i="10"/>
  <c r="M16" i="10"/>
  <c r="I17" i="10" s="1"/>
  <c r="H10" i="10"/>
  <c r="G10" i="10"/>
  <c r="AN10" i="10" s="1"/>
  <c r="AO10" i="10" s="1"/>
  <c r="W17" i="10"/>
  <c r="V17" i="10"/>
  <c r="AL16" i="10"/>
  <c r="AH17" i="10" s="1"/>
  <c r="AK16" i="10"/>
  <c r="AO9" i="10"/>
  <c r="R15" i="10"/>
  <c r="N16" i="10" s="1"/>
  <c r="Q15" i="10"/>
  <c r="AB17" i="10"/>
  <c r="AA17" i="10"/>
  <c r="M17" i="10" l="1"/>
  <c r="L17" i="10"/>
  <c r="AL17" i="10"/>
  <c r="AK17" i="10"/>
  <c r="D76" i="10"/>
  <c r="S18" i="10"/>
  <c r="AP10" i="10"/>
  <c r="D11" i="10"/>
  <c r="D77" i="10"/>
  <c r="X18" i="10"/>
  <c r="R16" i="10"/>
  <c r="N17" i="10" s="1"/>
  <c r="Q16" i="10"/>
  <c r="AG17" i="10"/>
  <c r="AF17" i="10"/>
  <c r="G77" i="10" l="1"/>
  <c r="M14" i="6"/>
  <c r="D79" i="10"/>
  <c r="AH18" i="10"/>
  <c r="G76" i="10"/>
  <c r="M11" i="6"/>
  <c r="R17" i="10"/>
  <c r="Q17" i="10"/>
  <c r="AB18" i="10"/>
  <c r="X19" i="10" s="1"/>
  <c r="AA18" i="10"/>
  <c r="H11" i="10"/>
  <c r="G11" i="10"/>
  <c r="AN11" i="10" s="1"/>
  <c r="AO11" i="10" s="1"/>
  <c r="W18" i="10"/>
  <c r="S19" i="10" s="1"/>
  <c r="V18" i="10"/>
  <c r="D78" i="10"/>
  <c r="AC18" i="10"/>
  <c r="D74" i="10"/>
  <c r="I18" i="10"/>
  <c r="AA19" i="10" l="1"/>
  <c r="AB19" i="10"/>
  <c r="X20" i="10" s="1"/>
  <c r="M18" i="10"/>
  <c r="I19" i="10" s="1"/>
  <c r="L18" i="10"/>
  <c r="G74" i="10"/>
  <c r="M6" i="6"/>
  <c r="E10" i="14"/>
  <c r="G10" i="11"/>
  <c r="I10" i="11" s="1"/>
  <c r="N11" i="6"/>
  <c r="F10" i="14" s="1"/>
  <c r="G10" i="14" s="1"/>
  <c r="O11" i="6"/>
  <c r="AG18" i="10"/>
  <c r="AC19" i="10" s="1"/>
  <c r="AF18" i="10"/>
  <c r="AL18" i="10"/>
  <c r="AH19" i="10" s="1"/>
  <c r="AK18" i="10"/>
  <c r="D75" i="10"/>
  <c r="N18" i="10"/>
  <c r="G79" i="10"/>
  <c r="M46" i="6"/>
  <c r="C25" i="16"/>
  <c r="G13" i="11"/>
  <c r="I13" i="11" s="1"/>
  <c r="E13" i="14"/>
  <c r="N14" i="6"/>
  <c r="F13" i="14" s="1"/>
  <c r="G13" i="14" s="1"/>
  <c r="O14" i="6"/>
  <c r="D12" i="10"/>
  <c r="AP11" i="10"/>
  <c r="G78" i="10"/>
  <c r="M16" i="6"/>
  <c r="W19" i="10"/>
  <c r="S20" i="10" s="1"/>
  <c r="V19" i="10"/>
  <c r="H12" i="10" l="1"/>
  <c r="G12" i="10"/>
  <c r="AN12" i="10" s="1"/>
  <c r="AO12" i="10" s="1"/>
  <c r="G5" i="11"/>
  <c r="I5" i="11" s="1"/>
  <c r="E5" i="14"/>
  <c r="N6" i="6"/>
  <c r="F5" i="14" s="1"/>
  <c r="G5" i="14" s="1"/>
  <c r="O6" i="6"/>
  <c r="AG19" i="10"/>
  <c r="AC20" i="10" s="1"/>
  <c r="AF19" i="10"/>
  <c r="C27" i="16"/>
  <c r="E45" i="14"/>
  <c r="G45" i="11"/>
  <c r="I45" i="11" s="1"/>
  <c r="N46" i="6"/>
  <c r="F45" i="14" s="1"/>
  <c r="G45" i="14" s="1"/>
  <c r="O46" i="6"/>
  <c r="W20" i="10"/>
  <c r="S21" i="10" s="1"/>
  <c r="V20" i="10"/>
  <c r="R18" i="10"/>
  <c r="N19" i="10" s="1"/>
  <c r="Q18" i="10"/>
  <c r="G15" i="11"/>
  <c r="I15" i="11" s="1"/>
  <c r="C26" i="16"/>
  <c r="E15" i="14"/>
  <c r="N16" i="6"/>
  <c r="F15" i="14" s="1"/>
  <c r="G15" i="14" s="1"/>
  <c r="O16" i="6"/>
  <c r="M19" i="10"/>
  <c r="I20" i="10" s="1"/>
  <c r="L19" i="10"/>
  <c r="AA20" i="10"/>
  <c r="AB20" i="10"/>
  <c r="X21" i="10" s="1"/>
  <c r="G75" i="10"/>
  <c r="M10" i="6"/>
  <c r="AL19" i="10"/>
  <c r="AH20" i="10" s="1"/>
  <c r="AK19" i="10"/>
  <c r="AF20" i="10" l="1"/>
  <c r="AG20" i="10"/>
  <c r="AC21" i="10" s="1"/>
  <c r="E9" i="14"/>
  <c r="C24" i="16"/>
  <c r="G9" i="11"/>
  <c r="I9" i="11" s="1"/>
  <c r="N10" i="6"/>
  <c r="F9" i="14" s="1"/>
  <c r="G9" i="14" s="1"/>
  <c r="O10" i="6"/>
  <c r="R19" i="10"/>
  <c r="N20" i="10" s="1"/>
  <c r="Q19" i="10"/>
  <c r="M20" i="10"/>
  <c r="I21" i="10" s="1"/>
  <c r="L20" i="10"/>
  <c r="AL20" i="10"/>
  <c r="AH21" i="10" s="1"/>
  <c r="AK20" i="10"/>
  <c r="AB21" i="10"/>
  <c r="X22" i="10" s="1"/>
  <c r="AA21" i="10"/>
  <c r="W21" i="10"/>
  <c r="S22" i="10" s="1"/>
  <c r="V21" i="10"/>
  <c r="D13" i="10"/>
  <c r="AP12" i="10"/>
  <c r="M21" i="10" l="1"/>
  <c r="I22" i="10" s="1"/>
  <c r="L21" i="10"/>
  <c r="AB22" i="10"/>
  <c r="X23" i="10" s="1"/>
  <c r="AA22" i="10"/>
  <c r="AF21" i="10"/>
  <c r="AG21" i="10"/>
  <c r="AC22" i="10" s="1"/>
  <c r="AL21" i="10"/>
  <c r="AH22" i="10" s="1"/>
  <c r="AK21" i="10"/>
  <c r="R20" i="10"/>
  <c r="N21" i="10" s="1"/>
  <c r="Q20" i="10"/>
  <c r="H13" i="10"/>
  <c r="G13" i="10"/>
  <c r="AN13" i="10" s="1"/>
  <c r="AO13" i="10" s="1"/>
  <c r="W22" i="10"/>
  <c r="S23" i="10" s="1"/>
  <c r="V22" i="10"/>
  <c r="AF22" i="10" l="1"/>
  <c r="AG22" i="10"/>
  <c r="AC23" i="10" s="1"/>
  <c r="D14" i="10"/>
  <c r="AP13" i="10"/>
  <c r="Q21" i="10"/>
  <c r="R21" i="10"/>
  <c r="N22" i="10" s="1"/>
  <c r="AL22" i="10"/>
  <c r="AH23" i="10" s="1"/>
  <c r="AK22" i="10"/>
  <c r="AB23" i="10"/>
  <c r="X24" i="10" s="1"/>
  <c r="AA23" i="10"/>
  <c r="W23" i="10"/>
  <c r="S24" i="10" s="1"/>
  <c r="V23" i="10"/>
  <c r="M22" i="10"/>
  <c r="I23" i="10" s="1"/>
  <c r="L22" i="10"/>
  <c r="AK23" i="10" l="1"/>
  <c r="AL23" i="10"/>
  <c r="AH24" i="10" s="1"/>
  <c r="V24" i="10"/>
  <c r="W24" i="10"/>
  <c r="S25" i="10" s="1"/>
  <c r="AF23" i="10"/>
  <c r="AG23" i="10"/>
  <c r="AC24" i="10" s="1"/>
  <c r="AB24" i="10"/>
  <c r="X25" i="10" s="1"/>
  <c r="AA24" i="10"/>
  <c r="R22" i="10"/>
  <c r="N23" i="10" s="1"/>
  <c r="Q22" i="10"/>
  <c r="H14" i="10"/>
  <c r="G14" i="10"/>
  <c r="AN14" i="10" s="1"/>
  <c r="AO14" i="10" s="1"/>
  <c r="M23" i="10"/>
  <c r="I24" i="10" s="1"/>
  <c r="L23" i="10"/>
  <c r="AL24" i="10" l="1"/>
  <c r="AH25" i="10" s="1"/>
  <c r="AK24" i="10"/>
  <c r="AP14" i="10"/>
  <c r="D15" i="10"/>
  <c r="Q23" i="10"/>
  <c r="R23" i="10"/>
  <c r="N24" i="10" s="1"/>
  <c r="AB25" i="10"/>
  <c r="X26" i="10" s="1"/>
  <c r="AA25" i="10"/>
  <c r="AF24" i="10"/>
  <c r="AG24" i="10"/>
  <c r="AC25" i="10" s="1"/>
  <c r="W25" i="10"/>
  <c r="S26" i="10" s="1"/>
  <c r="V25" i="10"/>
  <c r="M24" i="10"/>
  <c r="I25" i="10" s="1"/>
  <c r="L24" i="10"/>
  <c r="AG25" i="10" l="1"/>
  <c r="AC26" i="10" s="1"/>
  <c r="AF25" i="10"/>
  <c r="R24" i="10"/>
  <c r="N25" i="10" s="1"/>
  <c r="Q24" i="10"/>
  <c r="H15" i="10"/>
  <c r="G15" i="10"/>
  <c r="AN15" i="10" s="1"/>
  <c r="AO15" i="10" s="1"/>
  <c r="W26" i="10"/>
  <c r="S27" i="10" s="1"/>
  <c r="V26" i="10"/>
  <c r="AB26" i="10"/>
  <c r="X27" i="10" s="1"/>
  <c r="AA26" i="10"/>
  <c r="M25" i="10"/>
  <c r="I26" i="10" s="1"/>
  <c r="L25" i="10"/>
  <c r="AL25" i="10"/>
  <c r="AH26" i="10" s="1"/>
  <c r="AK25" i="10"/>
  <c r="AB27" i="10" l="1"/>
  <c r="X28" i="10" s="1"/>
  <c r="AA27" i="10"/>
  <c r="W27" i="10"/>
  <c r="S28" i="10" s="1"/>
  <c r="V27" i="10"/>
  <c r="D16" i="10"/>
  <c r="AP15" i="10"/>
  <c r="Q25" i="10"/>
  <c r="R25" i="10"/>
  <c r="N26" i="10" s="1"/>
  <c r="M26" i="10"/>
  <c r="I27" i="10" s="1"/>
  <c r="L26" i="10"/>
  <c r="AL26" i="10"/>
  <c r="AH27" i="10" s="1"/>
  <c r="AK26" i="10"/>
  <c r="AF26" i="10"/>
  <c r="AG26" i="10"/>
  <c r="AC27" i="10" s="1"/>
  <c r="M27" i="10" l="1"/>
  <c r="I28" i="10" s="1"/>
  <c r="L27" i="10"/>
  <c r="H16" i="10"/>
  <c r="G16" i="10"/>
  <c r="AN16" i="10" s="1"/>
  <c r="AO16" i="10" s="1"/>
  <c r="V28" i="10"/>
  <c r="W28" i="10"/>
  <c r="S29" i="10" s="1"/>
  <c r="AG27" i="10"/>
  <c r="AC28" i="10" s="1"/>
  <c r="AF27" i="10"/>
  <c r="AK27" i="10"/>
  <c r="AL27" i="10"/>
  <c r="AH28" i="10" s="1"/>
  <c r="R26" i="10"/>
  <c r="N27" i="10" s="1"/>
  <c r="Q26" i="10"/>
  <c r="AB28" i="10"/>
  <c r="X29" i="10" s="1"/>
  <c r="AA28" i="10"/>
  <c r="Q27" i="10" l="1"/>
  <c r="R27" i="10"/>
  <c r="N28" i="10" s="1"/>
  <c r="D17" i="10"/>
  <c r="AP16" i="10"/>
  <c r="AL28" i="10"/>
  <c r="AH29" i="10" s="1"/>
  <c r="AK28" i="10"/>
  <c r="AF28" i="10"/>
  <c r="AG28" i="10"/>
  <c r="AC29" i="10" s="1"/>
  <c r="W29" i="10"/>
  <c r="S30" i="10" s="1"/>
  <c r="V29" i="10"/>
  <c r="AB29" i="10"/>
  <c r="X30" i="10" s="1"/>
  <c r="AA29" i="10"/>
  <c r="M28" i="10"/>
  <c r="I29" i="10" s="1"/>
  <c r="L28" i="10"/>
  <c r="AK29" i="10" l="1"/>
  <c r="AL29" i="10"/>
  <c r="AH30" i="10" s="1"/>
  <c r="H17" i="10"/>
  <c r="G17" i="10"/>
  <c r="AN17" i="10" s="1"/>
  <c r="AO17" i="10" s="1"/>
  <c r="AB30" i="10"/>
  <c r="X31" i="10" s="1"/>
  <c r="AA30" i="10"/>
  <c r="R28" i="10"/>
  <c r="N29" i="10" s="1"/>
  <c r="Q28" i="10"/>
  <c r="W30" i="10"/>
  <c r="S31" i="10" s="1"/>
  <c r="V30" i="10"/>
  <c r="AG29" i="10"/>
  <c r="AC30" i="10" s="1"/>
  <c r="AF29" i="10"/>
  <c r="M29" i="10"/>
  <c r="I30" i="10" s="1"/>
  <c r="L29" i="10"/>
  <c r="AF30" i="10" l="1"/>
  <c r="AG30" i="10"/>
  <c r="AC31" i="10" s="1"/>
  <c r="W31" i="10"/>
  <c r="S32" i="10" s="1"/>
  <c r="V31" i="10"/>
  <c r="AB31" i="10"/>
  <c r="X32" i="10" s="1"/>
  <c r="AA31" i="10"/>
  <c r="D73" i="10"/>
  <c r="D18" i="10"/>
  <c r="AP17" i="10"/>
  <c r="AL30" i="10"/>
  <c r="AH31" i="10" s="1"/>
  <c r="AK30" i="10"/>
  <c r="Q29" i="10"/>
  <c r="R29" i="10"/>
  <c r="N30" i="10" s="1"/>
  <c r="M30" i="10"/>
  <c r="I31" i="10" s="1"/>
  <c r="L30" i="10"/>
  <c r="H18" i="10" l="1"/>
  <c r="G18" i="10"/>
  <c r="AN18" i="10" s="1"/>
  <c r="AO18" i="10" s="1"/>
  <c r="AK31" i="10"/>
  <c r="AL31" i="10"/>
  <c r="AH32" i="10" s="1"/>
  <c r="W32" i="10"/>
  <c r="S33" i="10" s="1"/>
  <c r="V32" i="10"/>
  <c r="G73" i="10"/>
  <c r="D80" i="10"/>
  <c r="K11" i="2" s="1"/>
  <c r="M5" i="6"/>
  <c r="AB32" i="10"/>
  <c r="X33" i="10" s="1"/>
  <c r="AA32" i="10"/>
  <c r="M31" i="10"/>
  <c r="I32" i="10" s="1"/>
  <c r="L31" i="10"/>
  <c r="AG31" i="10"/>
  <c r="AC32" i="10" s="1"/>
  <c r="AF31" i="10"/>
  <c r="R30" i="10"/>
  <c r="N31" i="10" s="1"/>
  <c r="Q30" i="10"/>
  <c r="AB33" i="10" l="1"/>
  <c r="X34" i="10" s="1"/>
  <c r="AA33" i="10"/>
  <c r="E4" i="14"/>
  <c r="E48" i="14" s="1"/>
  <c r="C23" i="16"/>
  <c r="C33" i="16" s="1"/>
  <c r="G4" i="11"/>
  <c r="N5" i="6"/>
  <c r="O5" i="6"/>
  <c r="AL32" i="10"/>
  <c r="AH33" i="10" s="1"/>
  <c r="AK32" i="10"/>
  <c r="M32" i="10"/>
  <c r="I33" i="10" s="1"/>
  <c r="L32" i="10"/>
  <c r="Q31" i="10"/>
  <c r="R31" i="10"/>
  <c r="N32" i="10" s="1"/>
  <c r="W33" i="10"/>
  <c r="S34" i="10" s="1"/>
  <c r="V33" i="10"/>
  <c r="AF32" i="10"/>
  <c r="AG32" i="10"/>
  <c r="AC33" i="10" s="1"/>
  <c r="AP18" i="10"/>
  <c r="D19" i="10"/>
  <c r="AL33" i="10" l="1"/>
  <c r="AH34" i="10" s="1"/>
  <c r="AK33" i="10"/>
  <c r="AG33" i="10"/>
  <c r="AC34" i="10" s="1"/>
  <c r="AF33" i="10"/>
  <c r="C52" i="11"/>
  <c r="I4" i="11"/>
  <c r="D52" i="11" s="1"/>
  <c r="H19" i="10"/>
  <c r="G19" i="10"/>
  <c r="AN19" i="10" s="1"/>
  <c r="AO19" i="10" s="1"/>
  <c r="F4" i="14"/>
  <c r="G4" i="14" s="1"/>
  <c r="H11" i="2"/>
  <c r="M33" i="10"/>
  <c r="I34" i="10" s="1"/>
  <c r="L33" i="10"/>
  <c r="W34" i="10"/>
  <c r="S35" i="10" s="1"/>
  <c r="V34" i="10"/>
  <c r="R32" i="10"/>
  <c r="N33" i="10" s="1"/>
  <c r="Q32" i="10"/>
  <c r="AB34" i="10"/>
  <c r="X35" i="10" s="1"/>
  <c r="AA34" i="10"/>
  <c r="D20" i="10" l="1"/>
  <c r="AP19" i="10"/>
  <c r="M34" i="10"/>
  <c r="I35" i="10" s="1"/>
  <c r="L34" i="10"/>
  <c r="AA35" i="10"/>
  <c r="AB35" i="10"/>
  <c r="X36" i="10" s="1"/>
  <c r="D51" i="12"/>
  <c r="C55" i="11"/>
  <c r="R33" i="10"/>
  <c r="N34" i="10" s="1"/>
  <c r="Q33" i="10"/>
  <c r="AF34" i="10"/>
  <c r="AG34" i="10"/>
  <c r="AC35" i="10" s="1"/>
  <c r="D55" i="11"/>
  <c r="N9" i="2" s="1"/>
  <c r="C59" i="11"/>
  <c r="D52" i="12"/>
  <c r="W35" i="10"/>
  <c r="S36" i="10" s="1"/>
  <c r="V35" i="10"/>
  <c r="AL34" i="10"/>
  <c r="AH35" i="10" s="1"/>
  <c r="AK34" i="10"/>
  <c r="AL35" i="10" l="1"/>
  <c r="AH36" i="10" s="1"/>
  <c r="AK35" i="10"/>
  <c r="AB36" i="10"/>
  <c r="X37" i="10" s="1"/>
  <c r="AA36" i="10"/>
  <c r="R34" i="10"/>
  <c r="N35" i="10" s="1"/>
  <c r="Q34" i="10"/>
  <c r="W36" i="10"/>
  <c r="S37" i="10" s="1"/>
  <c r="V36" i="10"/>
  <c r="M35" i="10"/>
  <c r="I36" i="10" s="1"/>
  <c r="L35" i="10"/>
  <c r="AG35" i="10"/>
  <c r="AC36" i="10" s="1"/>
  <c r="AF35" i="10"/>
  <c r="E53" i="12"/>
  <c r="K9" i="2"/>
  <c r="G20" i="10"/>
  <c r="AN20" i="10" s="1"/>
  <c r="AO20" i="10" s="1"/>
  <c r="H20" i="10"/>
  <c r="L36" i="10" l="1"/>
  <c r="M36" i="10"/>
  <c r="I37" i="10" s="1"/>
  <c r="AG36" i="10"/>
  <c r="AC37" i="10" s="1"/>
  <c r="AF36" i="10"/>
  <c r="W37" i="10"/>
  <c r="S38" i="10" s="1"/>
  <c r="V37" i="10"/>
  <c r="Q35" i="10"/>
  <c r="R35" i="10"/>
  <c r="N36" i="10" s="1"/>
  <c r="AB37" i="10"/>
  <c r="X38" i="10" s="1"/>
  <c r="AA37" i="10"/>
  <c r="D21" i="10"/>
  <c r="AP20" i="10"/>
  <c r="AL36" i="10"/>
  <c r="AH37" i="10" s="1"/>
  <c r="AK36" i="10"/>
  <c r="R36" i="10" l="1"/>
  <c r="N37" i="10" s="1"/>
  <c r="Q36" i="10"/>
  <c r="AB38" i="10"/>
  <c r="X39" i="10" s="1"/>
  <c r="AA38" i="10"/>
  <c r="AG37" i="10"/>
  <c r="AC38" i="10" s="1"/>
  <c r="AF37" i="10"/>
  <c r="H21" i="10"/>
  <c r="G21" i="10"/>
  <c r="AN21" i="10" s="1"/>
  <c r="AO21" i="10" s="1"/>
  <c r="M37" i="10"/>
  <c r="I38" i="10" s="1"/>
  <c r="L37" i="10"/>
  <c r="W38" i="10"/>
  <c r="S39" i="10" s="1"/>
  <c r="V38" i="10"/>
  <c r="AL37" i="10"/>
  <c r="AH38" i="10" s="1"/>
  <c r="AK37" i="10"/>
  <c r="AA39" i="10" l="1"/>
  <c r="AB39" i="10"/>
  <c r="X40" i="10" s="1"/>
  <c r="W39" i="10"/>
  <c r="S40" i="10" s="1"/>
  <c r="V39" i="10"/>
  <c r="M38" i="10"/>
  <c r="I39" i="10" s="1"/>
  <c r="L38" i="10"/>
  <c r="D22" i="10"/>
  <c r="AP21" i="10"/>
  <c r="AG38" i="10"/>
  <c r="AC39" i="10" s="1"/>
  <c r="AF38" i="10"/>
  <c r="AL38" i="10"/>
  <c r="AH39" i="10" s="1"/>
  <c r="AK38" i="10"/>
  <c r="R37" i="10"/>
  <c r="N38" i="10" s="1"/>
  <c r="Q37" i="10"/>
  <c r="AL39" i="10" l="1"/>
  <c r="AH40" i="10" s="1"/>
  <c r="AK39" i="10"/>
  <c r="W40" i="10"/>
  <c r="S41" i="10" s="1"/>
  <c r="V40" i="10"/>
  <c r="AB40" i="10"/>
  <c r="X41" i="10" s="1"/>
  <c r="AA40" i="10"/>
  <c r="AG39" i="10"/>
  <c r="AC40" i="10" s="1"/>
  <c r="AF39" i="10"/>
  <c r="H22" i="10"/>
  <c r="G22" i="10"/>
  <c r="AN22" i="10" s="1"/>
  <c r="AO22" i="10" s="1"/>
  <c r="M39" i="10"/>
  <c r="I40" i="10" s="1"/>
  <c r="L39" i="10"/>
  <c r="R38" i="10"/>
  <c r="N39" i="10" s="1"/>
  <c r="Q38" i="10"/>
  <c r="M40" i="10" l="1"/>
  <c r="I41" i="10" s="1"/>
  <c r="L40" i="10"/>
  <c r="W41" i="10"/>
  <c r="S42" i="10" s="1"/>
  <c r="V41" i="10"/>
  <c r="D23" i="10"/>
  <c r="AP22" i="10"/>
  <c r="AA41" i="10"/>
  <c r="AB41" i="10"/>
  <c r="X42" i="10" s="1"/>
  <c r="AF40" i="10"/>
  <c r="AG40" i="10"/>
  <c r="AC41" i="10" s="1"/>
  <c r="R39" i="10"/>
  <c r="N40" i="10" s="1"/>
  <c r="Q39" i="10"/>
  <c r="AL40" i="10"/>
  <c r="AH41" i="10" s="1"/>
  <c r="AK40" i="10"/>
  <c r="AG41" i="10" l="1"/>
  <c r="AC42" i="10" s="1"/>
  <c r="AF41" i="10"/>
  <c r="W42" i="10"/>
  <c r="S43" i="10" s="1"/>
  <c r="V42" i="10"/>
  <c r="R40" i="10"/>
  <c r="N41" i="10" s="1"/>
  <c r="Q40" i="10"/>
  <c r="H23" i="10"/>
  <c r="G23" i="10"/>
  <c r="AN23" i="10" s="1"/>
  <c r="AO23" i="10" s="1"/>
  <c r="AB42" i="10"/>
  <c r="X43" i="10" s="1"/>
  <c r="AA42" i="10"/>
  <c r="AL41" i="10"/>
  <c r="AH42" i="10" s="1"/>
  <c r="AK41" i="10"/>
  <c r="M41" i="10"/>
  <c r="I42" i="10" s="1"/>
  <c r="L41" i="10"/>
  <c r="AB43" i="10" l="1"/>
  <c r="X44" i="10" s="1"/>
  <c r="AA43" i="10"/>
  <c r="AL42" i="10"/>
  <c r="AH43" i="10" s="1"/>
  <c r="AK42" i="10"/>
  <c r="W43" i="10"/>
  <c r="S44" i="10" s="1"/>
  <c r="V43" i="10"/>
  <c r="Q41" i="10"/>
  <c r="R41" i="10"/>
  <c r="N42" i="10" s="1"/>
  <c r="D24" i="10"/>
  <c r="AP23" i="10"/>
  <c r="M42" i="10"/>
  <c r="I43" i="10" s="1"/>
  <c r="L42" i="10"/>
  <c r="AG42" i="10"/>
  <c r="AC43" i="10" s="1"/>
  <c r="AF42" i="10"/>
  <c r="H24" i="10" l="1"/>
  <c r="G24" i="10"/>
  <c r="AN24" i="10" s="1"/>
  <c r="AO24" i="10" s="1"/>
  <c r="AK43" i="10"/>
  <c r="AL43" i="10"/>
  <c r="AH44" i="10" s="1"/>
  <c r="R42" i="10"/>
  <c r="N43" i="10" s="1"/>
  <c r="Q42" i="10"/>
  <c r="V44" i="10"/>
  <c r="W44" i="10"/>
  <c r="S45" i="10" s="1"/>
  <c r="M43" i="10"/>
  <c r="I44" i="10" s="1"/>
  <c r="L43" i="10"/>
  <c r="AG43" i="10"/>
  <c r="AC44" i="10" s="1"/>
  <c r="AF43" i="10"/>
  <c r="AA44" i="10"/>
  <c r="AB44" i="10"/>
  <c r="X45" i="10" s="1"/>
  <c r="M44" i="10" l="1"/>
  <c r="I45" i="10" s="1"/>
  <c r="L44" i="10"/>
  <c r="R43" i="10"/>
  <c r="N44" i="10" s="1"/>
  <c r="Q43" i="10"/>
  <c r="AF44" i="10"/>
  <c r="AG44" i="10"/>
  <c r="AC45" i="10" s="1"/>
  <c r="V45" i="10"/>
  <c r="W45" i="10"/>
  <c r="S46" i="10" s="1"/>
  <c r="AK44" i="10"/>
  <c r="AL44" i="10"/>
  <c r="AH45" i="10" s="1"/>
  <c r="AB45" i="10"/>
  <c r="X46" i="10" s="1"/>
  <c r="AA45" i="10"/>
  <c r="D25" i="10"/>
  <c r="AP24" i="10"/>
  <c r="AL45" i="10" l="1"/>
  <c r="AH46" i="10" s="1"/>
  <c r="AK45" i="10"/>
  <c r="R44" i="10"/>
  <c r="N45" i="10" s="1"/>
  <c r="Q44" i="10"/>
  <c r="AG45" i="10"/>
  <c r="AC46" i="10" s="1"/>
  <c r="AF45" i="10"/>
  <c r="AB46" i="10"/>
  <c r="X47" i="10" s="1"/>
  <c r="AA46" i="10"/>
  <c r="V46" i="10"/>
  <c r="W46" i="10"/>
  <c r="S47" i="10" s="1"/>
  <c r="G25" i="10"/>
  <c r="AN25" i="10" s="1"/>
  <c r="AO25" i="10" s="1"/>
  <c r="H25" i="10"/>
  <c r="L45" i="10"/>
  <c r="M45" i="10"/>
  <c r="I46" i="10" s="1"/>
  <c r="AG46" i="10" l="1"/>
  <c r="AC47" i="10" s="1"/>
  <c r="AF46" i="10"/>
  <c r="Q45" i="10"/>
  <c r="R45" i="10"/>
  <c r="N46" i="10" s="1"/>
  <c r="D26" i="10"/>
  <c r="AP25" i="10"/>
  <c r="W47" i="10"/>
  <c r="S48" i="10" s="1"/>
  <c r="V47" i="10"/>
  <c r="AB47" i="10"/>
  <c r="X48" i="10" s="1"/>
  <c r="AA47" i="10"/>
  <c r="M46" i="10"/>
  <c r="I47" i="10" s="1"/>
  <c r="L46" i="10"/>
  <c r="AL46" i="10"/>
  <c r="AH47" i="10" s="1"/>
  <c r="AK46" i="10"/>
  <c r="M47" i="10" l="1"/>
  <c r="I48" i="10" s="1"/>
  <c r="L47" i="10"/>
  <c r="H26" i="10"/>
  <c r="G26" i="10"/>
  <c r="AN26" i="10" s="1"/>
  <c r="AO26" i="10" s="1"/>
  <c r="V48" i="10"/>
  <c r="W48" i="10"/>
  <c r="S49" i="10" s="1"/>
  <c r="R46" i="10"/>
  <c r="N47" i="10" s="1"/>
  <c r="Q46" i="10"/>
  <c r="AA48" i="10"/>
  <c r="AB48" i="10"/>
  <c r="X49" i="10" s="1"/>
  <c r="AK47" i="10"/>
  <c r="AL47" i="10"/>
  <c r="AH48" i="10" s="1"/>
  <c r="AG47" i="10"/>
  <c r="AC48" i="10" s="1"/>
  <c r="AF47" i="10"/>
  <c r="D27" i="10" l="1"/>
  <c r="AP26" i="10"/>
  <c r="AK48" i="10"/>
  <c r="AL48" i="10"/>
  <c r="AH49" i="10" s="1"/>
  <c r="V49" i="10"/>
  <c r="W49" i="10"/>
  <c r="S50" i="10" s="1"/>
  <c r="AB49" i="10"/>
  <c r="X50" i="10" s="1"/>
  <c r="AA49" i="10"/>
  <c r="R47" i="10"/>
  <c r="N48" i="10" s="1"/>
  <c r="Q47" i="10"/>
  <c r="AG48" i="10"/>
  <c r="AC49" i="10" s="1"/>
  <c r="AF48" i="10"/>
  <c r="M48" i="10"/>
  <c r="I49" i="10" s="1"/>
  <c r="L48" i="10"/>
  <c r="W50" i="10" l="1"/>
  <c r="S51" i="10" s="1"/>
  <c r="V50" i="10"/>
  <c r="R48" i="10"/>
  <c r="N49" i="10" s="1"/>
  <c r="Q48" i="10"/>
  <c r="AG49" i="10"/>
  <c r="AC50" i="10" s="1"/>
  <c r="AF49" i="10"/>
  <c r="AB50" i="10"/>
  <c r="X51" i="10" s="1"/>
  <c r="AA50" i="10"/>
  <c r="AL49" i="10"/>
  <c r="AH50" i="10" s="1"/>
  <c r="AK49" i="10"/>
  <c r="L49" i="10"/>
  <c r="M49" i="10"/>
  <c r="I50" i="10" s="1"/>
  <c r="H27" i="10"/>
  <c r="G27" i="10"/>
  <c r="AN27" i="10" s="1"/>
  <c r="AO27" i="10" s="1"/>
  <c r="M50" i="10" l="1"/>
  <c r="I51" i="10" s="1"/>
  <c r="L50" i="10"/>
  <c r="R49" i="10"/>
  <c r="N50" i="10" s="1"/>
  <c r="Q49" i="10"/>
  <c r="AL50" i="10"/>
  <c r="AH51" i="10" s="1"/>
  <c r="AK50" i="10"/>
  <c r="AG50" i="10"/>
  <c r="AC51" i="10" s="1"/>
  <c r="AF50" i="10"/>
  <c r="AB51" i="10"/>
  <c r="X52" i="10" s="1"/>
  <c r="AA51" i="10"/>
  <c r="D28" i="10"/>
  <c r="AP27" i="10"/>
  <c r="W51" i="10"/>
  <c r="S52" i="10" s="1"/>
  <c r="V51" i="10"/>
  <c r="AA52" i="10" l="1"/>
  <c r="AB52" i="10"/>
  <c r="X53" i="10" s="1"/>
  <c r="AG51" i="10"/>
  <c r="AC52" i="10" s="1"/>
  <c r="AF51" i="10"/>
  <c r="R50" i="10"/>
  <c r="N51" i="10" s="1"/>
  <c r="Q50" i="10"/>
  <c r="H28" i="10"/>
  <c r="G28" i="10"/>
  <c r="AN28" i="10" s="1"/>
  <c r="AO28" i="10" s="1"/>
  <c r="AL51" i="10"/>
  <c r="AH52" i="10" s="1"/>
  <c r="AK51" i="10"/>
  <c r="W52" i="10"/>
  <c r="S53" i="10" s="1"/>
  <c r="V52" i="10"/>
  <c r="M51" i="10"/>
  <c r="I52" i="10" s="1"/>
  <c r="L51" i="10"/>
  <c r="AK52" i="10" l="1"/>
  <c r="AL52" i="10"/>
  <c r="AH53" i="10" s="1"/>
  <c r="R51" i="10"/>
  <c r="N52" i="10" s="1"/>
  <c r="Q51" i="10"/>
  <c r="V53" i="10"/>
  <c r="W53" i="10"/>
  <c r="S54" i="10" s="1"/>
  <c r="AG52" i="10"/>
  <c r="AC53" i="10" s="1"/>
  <c r="AF52" i="10"/>
  <c r="D29" i="10"/>
  <c r="AP28" i="10"/>
  <c r="AB53" i="10"/>
  <c r="X54" i="10" s="1"/>
  <c r="AA53" i="10"/>
  <c r="M52" i="10"/>
  <c r="I53" i="10" s="1"/>
  <c r="L52" i="10"/>
  <c r="W54" i="10" l="1"/>
  <c r="S55" i="10" s="1"/>
  <c r="V54" i="10"/>
  <c r="R52" i="10"/>
  <c r="N53" i="10" s="1"/>
  <c r="Q52" i="10"/>
  <c r="AB54" i="10"/>
  <c r="X55" i="10" s="1"/>
  <c r="AA54" i="10"/>
  <c r="G29" i="10"/>
  <c r="AN29" i="10" s="1"/>
  <c r="AO29" i="10" s="1"/>
  <c r="H29" i="10"/>
  <c r="AF53" i="10"/>
  <c r="AG53" i="10"/>
  <c r="AC54" i="10" s="1"/>
  <c r="AL53" i="10"/>
  <c r="AH54" i="10" s="1"/>
  <c r="AK53" i="10"/>
  <c r="L53" i="10"/>
  <c r="M53" i="10"/>
  <c r="I54" i="10" s="1"/>
  <c r="AL54" i="10" l="1"/>
  <c r="AH55" i="10" s="1"/>
  <c r="AK54" i="10"/>
  <c r="AB55" i="10"/>
  <c r="X56" i="10" s="1"/>
  <c r="AA55" i="10"/>
  <c r="R53" i="10"/>
  <c r="N54" i="10" s="1"/>
  <c r="Q53" i="10"/>
  <c r="AG54" i="10"/>
  <c r="AC55" i="10" s="1"/>
  <c r="AF54" i="10"/>
  <c r="D30" i="10"/>
  <c r="AP29" i="10"/>
  <c r="M54" i="10"/>
  <c r="I55" i="10" s="1"/>
  <c r="L54" i="10"/>
  <c r="W55" i="10"/>
  <c r="S56" i="10" s="1"/>
  <c r="V55" i="10"/>
  <c r="AG55" i="10" l="1"/>
  <c r="AC56" i="10" s="1"/>
  <c r="AF55" i="10"/>
  <c r="Q54" i="10"/>
  <c r="R54" i="10"/>
  <c r="N55" i="10" s="1"/>
  <c r="AA56" i="10"/>
  <c r="AB56" i="10"/>
  <c r="X57" i="10" s="1"/>
  <c r="M55" i="10"/>
  <c r="I56" i="10" s="1"/>
  <c r="L55" i="10"/>
  <c r="H30" i="10"/>
  <c r="G30" i="10"/>
  <c r="AN30" i="10" s="1"/>
  <c r="AO30" i="10" s="1"/>
  <c r="W56" i="10"/>
  <c r="S57" i="10" s="1"/>
  <c r="V56" i="10"/>
  <c r="AL55" i="10"/>
  <c r="AH56" i="10" s="1"/>
  <c r="AK55" i="10"/>
  <c r="M56" i="10" l="1"/>
  <c r="I57" i="10" s="1"/>
  <c r="L56" i="10"/>
  <c r="V57" i="10"/>
  <c r="W57" i="10"/>
  <c r="S58" i="10" s="1"/>
  <c r="AP30" i="10"/>
  <c r="D31" i="10"/>
  <c r="AB57" i="10"/>
  <c r="X58" i="10" s="1"/>
  <c r="AA57" i="10"/>
  <c r="R55" i="10"/>
  <c r="N56" i="10" s="1"/>
  <c r="Q55" i="10"/>
  <c r="AK56" i="10"/>
  <c r="AL56" i="10"/>
  <c r="AH57" i="10" s="1"/>
  <c r="AG56" i="10"/>
  <c r="AC57" i="10" s="1"/>
  <c r="AF56" i="10"/>
  <c r="AL57" i="10" l="1"/>
  <c r="AH58" i="10" s="1"/>
  <c r="AK57" i="10"/>
  <c r="R56" i="10"/>
  <c r="N57" i="10" s="1"/>
  <c r="Q56" i="10"/>
  <c r="H31" i="10"/>
  <c r="G31" i="10"/>
  <c r="AN31" i="10" s="1"/>
  <c r="AO31" i="10" s="1"/>
  <c r="W58" i="10"/>
  <c r="S59" i="10" s="1"/>
  <c r="V58" i="10"/>
  <c r="AA58" i="10"/>
  <c r="AB58" i="10"/>
  <c r="X59" i="10" s="1"/>
  <c r="AG57" i="10"/>
  <c r="AC58" i="10" s="1"/>
  <c r="AF57" i="10"/>
  <c r="L57" i="10"/>
  <c r="M57" i="10"/>
  <c r="I58" i="10" s="1"/>
  <c r="AG58" i="10" l="1"/>
  <c r="AC59" i="10" s="1"/>
  <c r="AF58" i="10"/>
  <c r="AB59" i="10"/>
  <c r="X60" i="10" s="1"/>
  <c r="AA59" i="10"/>
  <c r="W59" i="10"/>
  <c r="S60" i="10" s="1"/>
  <c r="V59" i="10"/>
  <c r="D32" i="10"/>
  <c r="AP31" i="10"/>
  <c r="R57" i="10"/>
  <c r="N58" i="10" s="1"/>
  <c r="Q57" i="10"/>
  <c r="M58" i="10"/>
  <c r="I59" i="10" s="1"/>
  <c r="L58" i="10"/>
  <c r="AK58" i="10"/>
  <c r="AL58" i="10"/>
  <c r="AH59" i="10" s="1"/>
  <c r="H32" i="10" l="1"/>
  <c r="G32" i="10"/>
  <c r="AN32" i="10" s="1"/>
  <c r="AO32" i="10" s="1"/>
  <c r="R58" i="10"/>
  <c r="N59" i="10" s="1"/>
  <c r="Q58" i="10"/>
  <c r="AA60" i="10"/>
  <c r="AB60" i="10"/>
  <c r="X61" i="10" s="1"/>
  <c r="L59" i="10"/>
  <c r="M59" i="10"/>
  <c r="I60" i="10" s="1"/>
  <c r="AL59" i="10"/>
  <c r="AH60" i="10" s="1"/>
  <c r="AK59" i="10"/>
  <c r="W60" i="10"/>
  <c r="S61" i="10" s="1"/>
  <c r="V60" i="10"/>
  <c r="AF59" i="10"/>
  <c r="AG59" i="10"/>
  <c r="AC60" i="10" s="1"/>
  <c r="AK60" i="10" l="1"/>
  <c r="AL60" i="10"/>
  <c r="AH61" i="10" s="1"/>
  <c r="M60" i="10"/>
  <c r="I61" i="10" s="1"/>
  <c r="L60" i="10"/>
  <c r="V61" i="10"/>
  <c r="W61" i="10"/>
  <c r="S62" i="10" s="1"/>
  <c r="R59" i="10"/>
  <c r="N60" i="10" s="1"/>
  <c r="Q59" i="10"/>
  <c r="AG60" i="10"/>
  <c r="AC61" i="10" s="1"/>
  <c r="AF60" i="10"/>
  <c r="AB61" i="10"/>
  <c r="X62" i="10" s="1"/>
  <c r="AA61" i="10"/>
  <c r="D33" i="10"/>
  <c r="AP32" i="10"/>
  <c r="AG61" i="10" l="1"/>
  <c r="AC62" i="10" s="1"/>
  <c r="AF61" i="10"/>
  <c r="W62" i="10"/>
  <c r="S63" i="10" s="1"/>
  <c r="V62" i="10"/>
  <c r="L61" i="10"/>
  <c r="M61" i="10"/>
  <c r="I62" i="10" s="1"/>
  <c r="AA62" i="10"/>
  <c r="AB62" i="10"/>
  <c r="X63" i="10" s="1"/>
  <c r="AL61" i="10"/>
  <c r="AH62" i="10" s="1"/>
  <c r="AK61" i="10"/>
  <c r="Q60" i="10"/>
  <c r="R60" i="10"/>
  <c r="N61" i="10" s="1"/>
  <c r="H33" i="10"/>
  <c r="G33" i="10"/>
  <c r="AN33" i="10" s="1"/>
  <c r="AO33" i="10" s="1"/>
  <c r="R61" i="10" l="1"/>
  <c r="N62" i="10" s="1"/>
  <c r="Q61" i="10"/>
  <c r="AL62" i="10"/>
  <c r="AH63" i="10" s="1"/>
  <c r="AK62" i="10"/>
  <c r="V63" i="10"/>
  <c r="W63" i="10"/>
  <c r="S64" i="10" s="1"/>
  <c r="AB63" i="10"/>
  <c r="X64" i="10" s="1"/>
  <c r="AA63" i="10"/>
  <c r="M62" i="10"/>
  <c r="I63" i="10" s="1"/>
  <c r="L62" i="10"/>
  <c r="D34" i="10"/>
  <c r="AP33" i="10"/>
  <c r="AG62" i="10"/>
  <c r="AC63" i="10" s="1"/>
  <c r="AF62" i="10"/>
  <c r="H34" i="10" l="1"/>
  <c r="G34" i="10"/>
  <c r="AN34" i="10" s="1"/>
  <c r="AO34" i="10" s="1"/>
  <c r="AL63" i="10"/>
  <c r="AH64" i="10" s="1"/>
  <c r="AK63" i="10"/>
  <c r="L63" i="10"/>
  <c r="M63" i="10"/>
  <c r="I64" i="10" s="1"/>
  <c r="AA64" i="10"/>
  <c r="AB64" i="10"/>
  <c r="X65" i="10" s="1"/>
  <c r="W64" i="10"/>
  <c r="S65" i="10" s="1"/>
  <c r="V64" i="10"/>
  <c r="AF63" i="10"/>
  <c r="AG63" i="10"/>
  <c r="AC64" i="10" s="1"/>
  <c r="R62" i="10"/>
  <c r="N63" i="10" s="1"/>
  <c r="Q62" i="10"/>
  <c r="V65" i="10" l="1"/>
  <c r="W65" i="10"/>
  <c r="S66" i="10" s="1"/>
  <c r="AK64" i="10"/>
  <c r="AL64" i="10"/>
  <c r="AH65" i="10" s="1"/>
  <c r="AG64" i="10"/>
  <c r="AC65" i="10" s="1"/>
  <c r="AF64" i="10"/>
  <c r="AB65" i="10"/>
  <c r="X66" i="10" s="1"/>
  <c r="AA65" i="10"/>
  <c r="M64" i="10"/>
  <c r="I65" i="10" s="1"/>
  <c r="L64" i="10"/>
  <c r="R63" i="10"/>
  <c r="N64" i="10" s="1"/>
  <c r="Q63" i="10"/>
  <c r="AP34" i="10"/>
  <c r="D35" i="10"/>
  <c r="Q64" i="10" l="1"/>
  <c r="R64" i="10"/>
  <c r="N65" i="10" s="1"/>
  <c r="L65" i="10"/>
  <c r="M65" i="10"/>
  <c r="I66" i="10" s="1"/>
  <c r="AL65" i="10"/>
  <c r="AH66" i="10" s="1"/>
  <c r="AK65" i="10"/>
  <c r="AG65" i="10"/>
  <c r="AC66" i="10" s="1"/>
  <c r="AF65" i="10"/>
  <c r="H35" i="10"/>
  <c r="G35" i="10"/>
  <c r="AN35" i="10" s="1"/>
  <c r="AO35" i="10" s="1"/>
  <c r="W66" i="10"/>
  <c r="S67" i="10" s="1"/>
  <c r="V66" i="10"/>
  <c r="AA66" i="10"/>
  <c r="AB66" i="10"/>
  <c r="X67" i="10" s="1"/>
  <c r="M66" i="10" l="1"/>
  <c r="I67" i="10" s="1"/>
  <c r="L66" i="10"/>
  <c r="W67" i="10"/>
  <c r="S68" i="10" s="1"/>
  <c r="V67" i="10"/>
  <c r="D36" i="10"/>
  <c r="AP35" i="10"/>
  <c r="AG66" i="10"/>
  <c r="AC67" i="10" s="1"/>
  <c r="AF66" i="10"/>
  <c r="AK66" i="10"/>
  <c r="AL66" i="10"/>
  <c r="AH67" i="10" s="1"/>
  <c r="AB67" i="10"/>
  <c r="X68" i="10" s="1"/>
  <c r="AA67" i="10"/>
  <c r="R65" i="10"/>
  <c r="N66" i="10" s="1"/>
  <c r="Q65" i="10"/>
  <c r="AL67" i="10" l="1"/>
  <c r="AH68" i="10" s="1"/>
  <c r="AK67" i="10"/>
  <c r="AA68" i="10"/>
  <c r="AA69" i="10" s="1"/>
  <c r="AB68" i="10"/>
  <c r="H36" i="10"/>
  <c r="G36" i="10"/>
  <c r="AN36" i="10" s="1"/>
  <c r="AO36" i="10" s="1"/>
  <c r="W68" i="10"/>
  <c r="V68" i="10"/>
  <c r="V69" i="10" s="1"/>
  <c r="AF67" i="10"/>
  <c r="AG67" i="10"/>
  <c r="AC68" i="10" s="1"/>
  <c r="R66" i="10"/>
  <c r="N67" i="10" s="1"/>
  <c r="Q66" i="10"/>
  <c r="L67" i="10"/>
  <c r="M67" i="10"/>
  <c r="I68" i="10" s="1"/>
  <c r="R67" i="10" l="1"/>
  <c r="N68" i="10" s="1"/>
  <c r="Q67" i="10"/>
  <c r="AG68" i="10"/>
  <c r="AF68" i="10"/>
  <c r="AF69" i="10" s="1"/>
  <c r="M68" i="10"/>
  <c r="L68" i="10"/>
  <c r="L69" i="10" s="1"/>
  <c r="D37" i="10"/>
  <c r="AP36" i="10"/>
  <c r="AK68" i="10"/>
  <c r="AK69" i="10" s="1"/>
  <c r="AL68" i="10"/>
  <c r="H37" i="10" l="1"/>
  <c r="G37" i="10"/>
  <c r="AN37" i="10" s="1"/>
  <c r="AO37" i="10" s="1"/>
  <c r="Q68" i="10"/>
  <c r="Q69" i="10" s="1"/>
  <c r="R68" i="10"/>
  <c r="D38" i="10" l="1"/>
  <c r="AP37" i="10"/>
  <c r="H38" i="10" l="1"/>
  <c r="G38" i="10"/>
  <c r="AN38" i="10" s="1"/>
  <c r="AO38" i="10" s="1"/>
  <c r="AP38" i="10" l="1"/>
  <c r="D39" i="10"/>
  <c r="H39" i="10" l="1"/>
  <c r="G39" i="10"/>
  <c r="AN39" i="10" s="1"/>
  <c r="AO39" i="10" s="1"/>
  <c r="D40" i="10" l="1"/>
  <c r="AP39" i="10"/>
  <c r="H40" i="10" l="1"/>
  <c r="G40" i="10"/>
  <c r="AN40" i="10" s="1"/>
  <c r="AO40" i="10" s="1"/>
  <c r="D41" i="10" l="1"/>
  <c r="AP40" i="10"/>
  <c r="G41" i="10" l="1"/>
  <c r="AN41" i="10" s="1"/>
  <c r="AO41" i="10" s="1"/>
  <c r="H41" i="10"/>
  <c r="D42" i="10" l="1"/>
  <c r="AP41" i="10"/>
  <c r="H42" i="10" l="1"/>
  <c r="G42" i="10"/>
  <c r="AN42" i="10" s="1"/>
  <c r="AO42" i="10" s="1"/>
  <c r="D43" i="10" l="1"/>
  <c r="AP42" i="10"/>
  <c r="H43" i="10" l="1"/>
  <c r="G43" i="10"/>
  <c r="AN43" i="10" s="1"/>
  <c r="AO43" i="10" s="1"/>
  <c r="AP43" i="10" l="1"/>
  <c r="D44" i="10"/>
  <c r="H44" i="10" l="1"/>
  <c r="G44" i="10"/>
  <c r="AN44" i="10" s="1"/>
  <c r="AO44" i="10" s="1"/>
  <c r="D45" i="10" l="1"/>
  <c r="AP44" i="10"/>
  <c r="G45" i="10" l="1"/>
  <c r="AN45" i="10" s="1"/>
  <c r="AO45" i="10" s="1"/>
  <c r="H45" i="10"/>
  <c r="D46" i="10" l="1"/>
  <c r="AP45" i="10"/>
  <c r="G46" i="10" l="1"/>
  <c r="AN46" i="10" s="1"/>
  <c r="AO46" i="10" s="1"/>
  <c r="H46" i="10"/>
  <c r="D47" i="10" l="1"/>
  <c r="AP46" i="10"/>
  <c r="H47" i="10" l="1"/>
  <c r="G47" i="10"/>
  <c r="AN47" i="10" s="1"/>
  <c r="AO47" i="10" s="1"/>
  <c r="AP47" i="10" l="1"/>
  <c r="D48" i="10"/>
  <c r="H48" i="10" l="1"/>
  <c r="G48" i="10"/>
  <c r="AN48" i="10" s="1"/>
  <c r="AO48" i="10" s="1"/>
  <c r="D49" i="10" l="1"/>
  <c r="AP48" i="10"/>
  <c r="G49" i="10" l="1"/>
  <c r="AN49" i="10" s="1"/>
  <c r="AO49" i="10" s="1"/>
  <c r="H49" i="10"/>
  <c r="D50" i="10" l="1"/>
  <c r="AP49" i="10"/>
  <c r="G50" i="10" l="1"/>
  <c r="AN50" i="10" s="1"/>
  <c r="AO50" i="10" s="1"/>
  <c r="H50" i="10"/>
  <c r="D51" i="10" l="1"/>
  <c r="AP50" i="10"/>
  <c r="G51" i="10" l="1"/>
  <c r="AN51" i="10" s="1"/>
  <c r="AO51" i="10" s="1"/>
  <c r="H51" i="10"/>
  <c r="AP51" i="10" l="1"/>
  <c r="D52" i="10"/>
  <c r="H52" i="10" l="1"/>
  <c r="G52" i="10"/>
  <c r="AN52" i="10" s="1"/>
  <c r="AO52" i="10" s="1"/>
  <c r="D53" i="10" l="1"/>
  <c r="AP52" i="10"/>
  <c r="H53" i="10" l="1"/>
  <c r="G53" i="10"/>
  <c r="AN53" i="10" s="1"/>
  <c r="AO53" i="10" s="1"/>
  <c r="D54" i="10" l="1"/>
  <c r="AP53" i="10"/>
  <c r="G54" i="10" l="1"/>
  <c r="AN54" i="10" s="1"/>
  <c r="AO54" i="10" s="1"/>
  <c r="H54" i="10"/>
  <c r="D55" i="10" l="1"/>
  <c r="AP54" i="10"/>
  <c r="H55" i="10" l="1"/>
  <c r="G55" i="10"/>
  <c r="AN55" i="10" s="1"/>
  <c r="AO55" i="10" s="1"/>
  <c r="AP55" i="10" l="1"/>
  <c r="D56" i="10"/>
  <c r="H56" i="10" l="1"/>
  <c r="G56" i="10"/>
  <c r="AN56" i="10" s="1"/>
  <c r="AO56" i="10" s="1"/>
  <c r="D57" i="10" l="1"/>
  <c r="AP56" i="10"/>
  <c r="H57" i="10" l="1"/>
  <c r="G57" i="10"/>
  <c r="AN57" i="10" s="1"/>
  <c r="AO57" i="10" s="1"/>
  <c r="AP57" i="10" l="1"/>
  <c r="D58" i="10"/>
  <c r="G58" i="10" l="1"/>
  <c r="AN58" i="10" s="1"/>
  <c r="AO58" i="10" s="1"/>
  <c r="H58" i="10"/>
  <c r="D59" i="10" l="1"/>
  <c r="AP58" i="10"/>
  <c r="H59" i="10" l="1"/>
  <c r="G59" i="10"/>
  <c r="AN59" i="10" s="1"/>
  <c r="AO59" i="10" s="1"/>
  <c r="AP59" i="10" l="1"/>
  <c r="D60" i="10"/>
  <c r="H60" i="10" l="1"/>
  <c r="G60" i="10"/>
  <c r="AN60" i="10" s="1"/>
  <c r="AO60" i="10" s="1"/>
  <c r="D61" i="10" l="1"/>
  <c r="AP60" i="10"/>
  <c r="H61" i="10" l="1"/>
  <c r="G61" i="10"/>
  <c r="AN61" i="10" s="1"/>
  <c r="AO61" i="10" s="1"/>
  <c r="AP61" i="10" l="1"/>
  <c r="D62" i="10"/>
  <c r="G62" i="10" l="1"/>
  <c r="AN62" i="10" s="1"/>
  <c r="AO62" i="10" s="1"/>
  <c r="H62" i="10"/>
  <c r="D63" i="10" l="1"/>
  <c r="AP62" i="10"/>
  <c r="H63" i="10" l="1"/>
  <c r="G63" i="10"/>
  <c r="AN63" i="10" s="1"/>
  <c r="AO63" i="10" s="1"/>
  <c r="AP63" i="10" l="1"/>
  <c r="D64" i="10"/>
  <c r="H64" i="10" l="1"/>
  <c r="G64" i="10"/>
  <c r="AN64" i="10" s="1"/>
  <c r="AO64" i="10" s="1"/>
  <c r="D65" i="10" l="1"/>
  <c r="AP64" i="10"/>
  <c r="H65" i="10" l="1"/>
  <c r="G65" i="10"/>
  <c r="AN65" i="10" s="1"/>
  <c r="AO65" i="10" s="1"/>
  <c r="AP65" i="10" l="1"/>
  <c r="D66" i="10"/>
  <c r="G66" i="10" l="1"/>
  <c r="AN66" i="10" s="1"/>
  <c r="AO66" i="10" s="1"/>
  <c r="H66" i="10"/>
  <c r="D67" i="10" l="1"/>
  <c r="AP66" i="10"/>
  <c r="H67" i="10" l="1"/>
  <c r="G67" i="10"/>
  <c r="AN67" i="10" s="1"/>
  <c r="AO67" i="10" s="1"/>
  <c r="AP67" i="10" l="1"/>
  <c r="D68" i="10"/>
  <c r="H68" i="10" l="1"/>
  <c r="AP68" i="10" s="1"/>
  <c r="AP69" i="10" s="1"/>
  <c r="G68" i="10"/>
  <c r="AN68" i="10" l="1"/>
  <c r="G69" i="10"/>
  <c r="AO68" i="10" l="1"/>
  <c r="AO69" i="10" s="1"/>
  <c r="AN69" i="10"/>
</calcChain>
</file>

<file path=xl/sharedStrings.xml><?xml version="1.0" encoding="utf-8"?>
<sst xmlns="http://schemas.openxmlformats.org/spreadsheetml/2006/main" count="2190" uniqueCount="1184">
  <si>
    <t>JINDAL FERROUS LIMITED - DEBT MONITORING MODEL</t>
  </si>
  <si>
    <t>1. PROJECT OVERVIEW</t>
  </si>
  <si>
    <t>Project</t>
  </si>
  <si>
    <t>2.0 MTPA Greenfield Integrated Steel Plant, Kalinga Nagar, Odisha</t>
  </si>
  <si>
    <t>Sector</t>
  </si>
  <si>
    <t>Iron &amp; Steel (Ferrochrome)</t>
  </si>
  <si>
    <t>Borrower</t>
  </si>
  <si>
    <t>Jindal Ferrous Limited (JFL)</t>
  </si>
  <si>
    <t>Group</t>
  </si>
  <si>
    <t>Jindal Stainless / Ratan Jindal Group</t>
  </si>
  <si>
    <t>Total Proj Cost</t>
  </si>
  <si>
    <t>₹4,083.94 Cr | Debt ₹2,721.43 Cr | Equity ₹1,362.51 Cr</t>
  </si>
  <si>
    <t>D:E Ratio</t>
  </si>
  <si>
    <t>66.64 : 33.36</t>
  </si>
  <si>
    <t>Sanctioned Debt</t>
  </si>
  <si>
    <t>₹4,666 Cr | 9 Lenders | 44 Facilities</t>
  </si>
  <si>
    <t>Adj Consortium</t>
  </si>
  <si>
    <t>₹3,826 Cr (nets out ICICI TL ₹840 Cr takeover)</t>
  </si>
  <si>
    <t>2. KEY FINANCIAL METRICS (TEV FY29, First Covenant Test Year)</t>
  </si>
  <si>
    <t>Metric</t>
  </si>
  <si>
    <t>Value</t>
  </si>
  <si>
    <t>Revenue</t>
  </si>
  <si>
    <t>₹7,541 Cr</t>
  </si>
  <si>
    <t>Project IRR</t>
  </si>
  <si>
    <t>EBITDA</t>
  </si>
  <si>
    <t>₹957 Cr</t>
  </si>
  <si>
    <t>WACC (model)</t>
  </si>
  <si>
    <t>11.2% (TEV: 10.55%)</t>
  </si>
  <si>
    <t>EBITDA Margin</t>
  </si>
  <si>
    <t>NPV</t>
  </si>
  <si>
    <t>₹1,134 Cr</t>
  </si>
  <si>
    <t>PAT</t>
  </si>
  <si>
    <t>₹347 Cr</t>
  </si>
  <si>
    <t>Payback Period</t>
  </si>
  <si>
    <t>5.80 years</t>
  </si>
  <si>
    <t>Min DSCR</t>
  </si>
  <si>
    <t>1.5505x (FY30)</t>
  </si>
  <si>
    <t>Avg DSCR</t>
  </si>
  <si>
    <t>1.9211x</t>
  </si>
  <si>
    <t>ISCR (FY29)</t>
  </si>
  <si>
    <t>3.6549x</t>
  </si>
  <si>
    <t>FACR (FY29)</t>
  </si>
  <si>
    <t>1.5100x</t>
  </si>
  <si>
    <t>3. COVENANT SUMMARY</t>
  </si>
  <si>
    <t>43 of 44 covenants compliant on FY29 TEV projections. ICICI WC rating covenant is at threshold (A-).</t>
  </si>
  <si>
    <t>First formal covenant test year is FY29 post-COD.</t>
  </si>
  <si>
    <t>JINDAL FERROUS LIMITED - DEBT MONITORING DASHBOARD</t>
  </si>
  <si>
    <t>As of 12-May-2026 | 9 Lenders | 44 Facilities</t>
  </si>
  <si>
    <t>A. SANCTIONED DEBT OVERVIEW</t>
  </si>
  <si>
    <t>SANCTIONED DEBT (₹ Cr)</t>
  </si>
  <si>
    <t>FB MAINS (₹ Cr)</t>
  </si>
  <si>
    <t>NFB MAINS (₹ Cr)</t>
  </si>
  <si>
    <t>NFB CONTINGENT (₹ Cr)</t>
  </si>
  <si>
    <t>ADJ CONSORTIUM (₹ Cr)</t>
  </si>
  <si>
    <t>FD-BACKED (₹ Cr)</t>
  </si>
  <si>
    <t>UNCOMMITTED MEMO (₹ Cr)</t>
  </si>
  <si>
    <t>HEDGE MEMO (₹ Cr)</t>
  </si>
  <si>
    <t>WAC OF FB DEBT</t>
  </si>
  <si>
    <t>ANNUAL RUN-RATE INTEREST (₹ Cr)</t>
  </si>
  <si>
    <t>ACTIVE FACILITIES</t>
  </si>
  <si>
    <t>COVENANTS (FY29 TEV)</t>
  </si>
  <si>
    <t>AVG UTILIZATION</t>
  </si>
  <si>
    <t>TOTAL TL PRINCIPAL O/S (₹ Cr)</t>
  </si>
  <si>
    <t>ICICI TL TAKEOVER (₹ Cr)</t>
  </si>
  <si>
    <t>43 of 44 covenants compliant on FY29 TEV; 1 near breach (ICICI WC Rating)</t>
  </si>
  <si>
    <t>B. Covenant Compliance - FY29 TEV Projections</t>
  </si>
  <si>
    <t>TOTAL COVENANTS</t>
  </si>
  <si>
    <t>COMPLIANT (FY29)</t>
  </si>
  <si>
    <t>NEAR BREACH</t>
  </si>
  <si>
    <t>BREACHED</t>
  </si>
  <si>
    <t>Source: FY29 Covenant Compliance (TEV) sheet</t>
  </si>
  <si>
    <t>C. LENDER CONCENTRATION (Sanctioned Debt = B1 + B2, ₹ Cr)</t>
  </si>
  <si>
    <t>Lender</t>
  </si>
  <si>
    <t>Sanctioned (₹ Cr)</t>
  </si>
  <si>
    <t>% Share</t>
  </si>
  <si>
    <t>Concentration Bar (normalised to UBI)</t>
  </si>
  <si>
    <t>NFB Contingent (₹ Cr)</t>
  </si>
  <si>
    <t>UBI</t>
  </si>
  <si>
    <t>Indian Bank</t>
  </si>
  <si>
    <t>RBL Bank</t>
  </si>
  <si>
    <t>YES Bank</t>
  </si>
  <si>
    <t>IDFC First Bank</t>
  </si>
  <si>
    <t>ICICI Bank WC</t>
  </si>
  <si>
    <t>HSBC (200 Cr post-haircut, FB Mains)</t>
  </si>
  <si>
    <t>HDFC Bank</t>
  </si>
  <si>
    <t>ICICI Bank (TL)</t>
  </si>
  <si>
    <t>Grand Total</t>
  </si>
  <si>
    <t>D. Term Loan Maturity Profile (Principal by Fiscal Year, INR Cr, excl. RBL bridge)</t>
  </si>
  <si>
    <t>Fiscal Year</t>
  </si>
  <si>
    <t>Principal (₹ Cr)</t>
  </si>
  <si>
    <t>Repayment Profile Bar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</si>
  <si>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</si>
  <si>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</si>
  <si>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</si>
  <si>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</si>
  <si>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</si>
  <si>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</si>
  <si>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</si>
  <si>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</si>
  <si>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</si>
  <si>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FY33</t>
  </si>
  <si>
    <t>FY34</t>
  </si>
  <si>
    <t>FY35</t>
  </si>
  <si>
    <t>FY36</t>
  </si>
  <si>
    <t>FY37</t>
  </si>
  <si>
    <t>FY38</t>
  </si>
  <si>
    <t>FY39</t>
  </si>
  <si>
    <t>Total (16y)</t>
  </si>
  <si>
    <t>E. FACILITY TYPE MIX</t>
  </si>
  <si>
    <t>Category</t>
  </si>
  <si>
    <t>Count</t>
  </si>
  <si>
    <t>Total Sanctioned (₹ Cr)</t>
  </si>
  <si>
    <t>Composition Bar</t>
  </si>
  <si>
    <t>Term Loans (FB-Term)</t>
  </si>
  <si>
    <t>Working Capital (FB)</t>
  </si>
  <si>
    <t>FD-Backed Facilities</t>
  </si>
  <si>
    <t>Non-Fund Based (NFB)</t>
  </si>
  <si>
    <t>Hedge / Memo</t>
  </si>
  <si>
    <t>FY29 COVENANT COMPLIANCE - TEV PROJECTIONS</t>
  </si>
  <si>
    <t>First post-COD test year. 43 of 44 covenants project compliant.</t>
  </si>
  <si>
    <t>NOTE: All 43 of 44 covenants project COMPLIANT on TEV FY29 projections (first formal test year post-COD). 1 Near Breach: ICICI WC External Rating (at threshold, not breached).</t>
  </si>
  <si>
    <t>#</t>
  </si>
  <si>
    <t>Covenant</t>
  </si>
  <si>
    <t>Op</t>
  </si>
  <si>
    <t>Threshold</t>
  </si>
  <si>
    <t>FY29 Actual</t>
  </si>
  <si>
    <t>Status</t>
  </si>
  <si>
    <t>Headroom</t>
  </si>
  <si>
    <t>Source</t>
  </si>
  <si>
    <t>UBI Consortium</t>
  </si>
  <si>
    <t>DSCR</t>
  </si>
  <si>
    <t>&gt;=</t>
  </si>
  <si>
    <t>Compliant</t>
  </si>
  <si>
    <t>+44%</t>
  </si>
  <si>
    <t>TEV</t>
  </si>
  <si>
    <t>FACR</t>
  </si>
  <si>
    <t>+26%</t>
  </si>
  <si>
    <t>ISCR</t>
  </si>
  <si>
    <t>+83%</t>
  </si>
  <si>
    <t>LTD/EBITDA</t>
  </si>
  <si>
    <t>&lt;=</t>
  </si>
  <si>
    <t>+38%</t>
  </si>
  <si>
    <t>LTD/Equity</t>
  </si>
  <si>
    <t>+45%</t>
  </si>
  <si>
    <t>DSCR (presumed)</t>
  </si>
  <si>
    <t>Cash Sweep Trigger (DSCR)</t>
  </si>
  <si>
    <t>+20%</t>
  </si>
  <si>
    <t>DSCR (IDFC)</t>
  </si>
  <si>
    <t>+64%</t>
  </si>
  <si>
    <t>TEV + IDFC SL p.12 (IDFC-specific DSCR formula)</t>
  </si>
  <si>
    <t>Quasi Equity Cap (₹ Cr)</t>
  </si>
  <si>
    <t>+100%</t>
  </si>
  <si>
    <t>Min Promoter Contribution (₹ Cr)</t>
  </si>
  <si>
    <t>+60%</t>
  </si>
  <si>
    <t>TEV (Equity)</t>
  </si>
  <si>
    <t>JSL FMV Unencumbered / Total Debt</t>
  </si>
  <si>
    <t>+355%</t>
  </si>
  <si>
    <t>NSE market data</t>
  </si>
  <si>
    <t>External Rating ≥ BBB</t>
  </si>
  <si>
    <t>+17%</t>
  </si>
  <si>
    <t>RBL SL p.11</t>
  </si>
  <si>
    <t>ICICI Bank (WC)</t>
  </si>
  <si>
    <t>Total Debt / EBITDA</t>
  </si>
  <si>
    <t>+30%</t>
  </si>
  <si>
    <t>TOL / TNW</t>
  </si>
  <si>
    <t>+31%</t>
  </si>
  <si>
    <t>Current Ratio</t>
  </si>
  <si>
    <t>+72%</t>
  </si>
  <si>
    <t>External Rating ≥ A-</t>
  </si>
  <si>
    <t>Near Breach</t>
  </si>
  <si>
    <t>+0%</t>
  </si>
  <si>
    <t>CRISIL Jan-25</t>
  </si>
  <si>
    <t>JSL FMV / Total Debt Cover</t>
  </si>
  <si>
    <t>Market practice</t>
  </si>
  <si>
    <t>+34%</t>
  </si>
  <si>
    <t>HSBC</t>
  </si>
  <si>
    <t>JSL Listed-Securities Pledge ≤ 40%</t>
  </si>
  <si>
    <t>+69%</t>
  </si>
  <si>
    <t>FACR (presumed)</t>
  </si>
  <si>
    <t>ISCR (presumed)</t>
  </si>
  <si>
    <t>LTD/EBITDA (presumed)</t>
  </si>
  <si>
    <t>LTD/Equity (presumed)</t>
  </si>
  <si>
    <t>SUMMARY</t>
  </si>
  <si>
    <t>Share</t>
  </si>
  <si>
    <t>Breached</t>
  </si>
  <si>
    <t>Pending Input</t>
  </si>
  <si>
    <t>TOTAL</t>
  </si>
  <si>
    <t>COVENANT TRACKER</t>
  </si>
  <si>
    <t>Financial covenant compliance with FinBasis toggle.</t>
  </si>
  <si>
    <t>Actual</t>
  </si>
  <si>
    <t>Risk</t>
  </si>
  <si>
    <t>SL Reference</t>
  </si>
  <si>
    <t>Source Type</t>
  </si>
  <si>
    <t>Frequency</t>
  </si>
  <si>
    <t>First Test</t>
  </si>
  <si>
    <t>DSCR (consortium)</t>
  </si>
  <si>
    <t>UBI SL 20-Sep-2025 | DSCR ≥ 1.25x</t>
  </si>
  <si>
    <t>SL OK</t>
  </si>
  <si>
    <t>Annual</t>
  </si>
  <si>
    <t>FY29 (post-COD)</t>
  </si>
  <si>
    <t>FACR (consortium)</t>
  </si>
  <si>
    <t>UBI SL 20-Sep-2025 | FACR ≥ 1.20x</t>
  </si>
  <si>
    <t>ISCR (consortium)</t>
  </si>
  <si>
    <t>UBI SL 20-Sep-2025 | ISCR ≥ 2.00x</t>
  </si>
  <si>
    <t>LTD / EBITDA (consortium)</t>
  </si>
  <si>
    <t>UBI SL 20-Sep-2025 | LTD/EBITDA ≤ 4.00x</t>
  </si>
  <si>
    <t>LTD / Equity (consortium)</t>
  </si>
  <si>
    <t>UBI SL 20-Sep-2025 | LTD/Equity ≤ 2.00x</t>
  </si>
  <si>
    <t>DSCR (consortium-presumed)</t>
  </si>
  <si>
    <t>Indian Bank 26-Sep-2025 (amendment only). Consortium-standard DSCR assumed, CONFIRM with Indian Bank.</t>
  </si>
  <si>
    <t>MP</t>
  </si>
  <si>
    <t>FY29 (presumed)</t>
  </si>
  <si>
    <t>YBL SL 29-Dec-2025 | DSCR ≥ 1.25x</t>
  </si>
  <si>
    <t>YBL SL 29-Dec-2025 | FACR ≥ 1.20x</t>
  </si>
  <si>
    <t>YBL SL 29-Dec-2025 | ISCR ≥ 2.00x</t>
  </si>
  <si>
    <t>YBL SL 29-Dec-2025 | LTD/EBITDA ≤ 4.00x</t>
  </si>
  <si>
    <t>YBL SL 29-Dec-2025 | LTD/Equity ≤ 2.00x</t>
  </si>
  <si>
    <t>YBL SL 29-Dec-2025 | Cash Sweep: DSCR &gt; 1.5x triggers ₹75 Cr/yr sweep from 01-Apr-2028</t>
  </si>
  <si>
    <t>12-mo rolling</t>
  </si>
  <si>
    <t>01-Apr-2028 (2yr post-COD)</t>
  </si>
  <si>
    <t>DSCR (IDFC-specific)</t>
  </si>
  <si>
    <t>IDFC SL 09-Jan-2026 | DSCR ≥ 1.25x, IDFC-specific formula; first test FY27 (2yr earlier), FLAG</t>
  </si>
  <si>
    <t>FY27 (2yr earlier, FLAG)</t>
  </si>
  <si>
    <t>IDFC SL 09-Jan-2026 | FACR ≥ 1.20x | First test FY27</t>
  </si>
  <si>
    <t>IDFC SL 09-Jan-2026 | ISCR ≥ 2.00x | First test FY27</t>
  </si>
  <si>
    <t>IDFC SL 09-Jan-2026 | LTD/EBITDA ≤ 4.00x | First test FY27</t>
  </si>
  <si>
    <t>IDFC SL 09-Jan-2026 | LTD/Equity ≤ 2.00x | First test FY27</t>
  </si>
  <si>
    <t>Quasi Equity Cap (Cr)</t>
  </si>
  <si>
    <t>IDFC SL 09-Jan-2026 | Quasi-Equity Cap ₹337.5 Cr. Actual ₹856.76 Cr (Audit Note 16+18: Jindal Coke ₹28.15 Cr + JSL ₹701.61 Cr + Virtuous ₹127.00 Cr). ICDs NOT formally subordinated, CONFIRM with IDFC whether bank applies equity-only test.</t>
  </si>
  <si>
    <t>Continuous monitoring</t>
  </si>
  <si>
    <t>Ongoing from disbursement</t>
  </si>
  <si>
    <t>ICICI TL CAL 27-Mar-2026 | DSCR ≥ 1.25x</t>
  </si>
  <si>
    <t>FY29 (within 120d of FY-end)</t>
  </si>
  <si>
    <t>ICICI TL CAL 27-Mar-2026 | FACR ≥ 1.20x</t>
  </si>
  <si>
    <t>ICICI TL CAL 27-Mar-2026 | ISCR ≥ 2.00x</t>
  </si>
  <si>
    <t>ICICI TL CAL 27-Mar-2026 | LTD/EBITDA ≤ 4.00x</t>
  </si>
  <si>
    <t>ICICI TL CAL 27-Mar-2026 | LTD/Equity ≤ 2.00x</t>
  </si>
  <si>
    <t>Min Promoter Contribution (Cr)</t>
  </si>
  <si>
    <t>RBL SL 13-Nov-2025 | Min ₹1,363 Cr promoter contribution. Actual ₹1,850.21 Cr (equity ₹993.45 Cr + ICDs ₹856.76 Cr). CAVEAT: equity-only = ₹993.45 Cr &lt; threshold to potential breach. CONFIRM with RBL.</t>
  </si>
  <si>
    <t>At disbursement &amp; periodic</t>
  </si>
  <si>
    <t>Within 180d of disbursement</t>
  </si>
  <si>
    <t>RBL SL 13-Nov-2025 | JSL FMV (unencumbered) ÷ Total RBL debt ≥ 2.5x. Requires live NSE data.</t>
  </si>
  <si>
    <t>Min External Rating</t>
  </si>
  <si>
    <t>RBL SL p.11 | Rating ≥ BBB (= numeric 10). NOT BBB+ (=12). Within 180d of disbursement.</t>
  </si>
  <si>
    <t>On rating event</t>
  </si>
  <si>
    <t>ICICI Bank</t>
  </si>
  <si>
    <t>Total Debt / EBITDA (WC)</t>
  </si>
  <si>
    <t>ICICI WC CAL 12-Feb-2026 | Total Debt/EBITDA ≤ 4.00x</t>
  </si>
  <si>
    <t>Annual / on review</t>
  </si>
  <si>
    <t>Annual review 03-Feb-2027</t>
  </si>
  <si>
    <t>TOL / TNW (WC)</t>
  </si>
  <si>
    <t>ICICI WC CAL 12-Feb-2026 | TOL/TNW ≤ 2.50x</t>
  </si>
  <si>
    <t>Current Ratio (WC)</t>
  </si>
  <si>
    <t>ICICI WC CAL 12-Feb-2026 | Current Ratio ≥ 1.10x</t>
  </si>
  <si>
    <t>External Rating (WC)</t>
  </si>
  <si>
    <t>ICICI WC CAL 12-Feb-2026 | Rating ≥ A- (= numeric 14). At threshold, Near Breach. Upgrade required to clear.</t>
  </si>
  <si>
    <t>HDFC 26-Mar-2026 | JSL FMV ÷ Total HDFC debt ≥ 2.5x. Requires live NSE data. covenant not confirmed in offer letter, Treasury to verify.</t>
  </si>
  <si>
    <t>HDFC 26-Mar-2026 | DSCR ≥ 1.25x</t>
  </si>
  <si>
    <t>HDFC 26-Mar-2026 | FACR ≥ 1.20x</t>
  </si>
  <si>
    <t>HDFC 26-Mar-2026 | ISCR ≥ 2.00x</t>
  </si>
  <si>
    <t>HDFC 26-Mar-2026 | LTD/EBITDA ≤ 4.00x</t>
  </si>
  <si>
    <t>HDFC 26-Mar-2026 | LTD/Equity ≤ 2.00x</t>
  </si>
  <si>
    <t>HDFC 26-Mar-2026 | Total Debt/EBITDA ≤ 4.25x</t>
  </si>
  <si>
    <t>JSL Listed-Securities Cap (40%)</t>
  </si>
  <si>
    <t>HSBC FL 27-Feb-2026 | Pledge ≤ 40% of JSL FMV. Requires live NSE data.</t>
  </si>
  <si>
    <t>YBL FL 30-Dec-2025 | Total Debt/EBITDA ≤ 4.25x</t>
  </si>
  <si>
    <t>ICICI TL CAL 27-Mar-2026 | Total Debt/EBITDA ≤ 4.25x</t>
  </si>
  <si>
    <t>FACR (consortium-presumed)</t>
  </si>
  <si>
    <t>Indian Bank (amendment only). Consortium-standard FACR assumed, CONFIRM with Indian Bank.</t>
  </si>
  <si>
    <t>ISCR (consortium-presumed)</t>
  </si>
  <si>
    <t>Indian Bank (amendment only). Consortium-standard ISCR assumed.</t>
  </si>
  <si>
    <t>LTD / EBITDA (consortium-presumed)</t>
  </si>
  <si>
    <t>Indian Bank (amendment only). Consortium-standard LTD/EBITDA assumed.</t>
  </si>
  <si>
    <t>LTD / Equity (consortium-presumed)</t>
  </si>
  <si>
    <t>Indian Bank (amendment only). Consortium-standard LTD/Equity assumed.</t>
  </si>
  <si>
    <t>COVENANT SUMMARY</t>
  </si>
  <si>
    <t>Total Covenants</t>
  </si>
  <si>
    <t>-</t>
  </si>
  <si>
    <t>Live, Compliant</t>
  </si>
  <si>
    <t>Live, Near Breach</t>
  </si>
  <si>
    <t>Live, Breached</t>
  </si>
  <si>
    <t>Live, Pending</t>
  </si>
  <si>
    <t>Not Yet Due</t>
  </si>
  <si>
    <t>Live Compliance %</t>
  </si>
  <si>
    <t>LENDER SUMMARY</t>
  </si>
  <si>
    <t>Multi-bucket debt profile by lender.</t>
  </si>
  <si>
    <t>A. SANCTIONED DEBT, Bucket 1 (FB Mains) + Bucket 2 (NFB Mains)</t>
  </si>
  <si>
    <t>FB Mains (₹ Cr)</t>
  </si>
  <si>
    <t>NFB Mains (₹ Cr)</t>
  </si>
  <si>
    <t>% of Total</t>
  </si>
  <si>
    <t>Facilities (B1+B2)</t>
  </si>
  <si>
    <t>ICICI Bank (TL) ₹840 Cr is a takeover of existing consortium TL, netted out in Adjusted Consortium Debt. Specific take-out lender(s) not identified in the CAL.</t>
  </si>
  <si>
    <t>B. KEY KPIs, Dashboard Linkage</t>
  </si>
  <si>
    <t>KPI</t>
  </si>
  <si>
    <t>Amount (₹ Cr)</t>
  </si>
  <si>
    <t>Definition</t>
  </si>
  <si>
    <t>Sanctioned Debt (B1 + B2)</t>
  </si>
  <si>
    <t>Bucket 1 + Bucket 2 main parents, gross of ICICI TL takeover</t>
  </si>
  <si>
    <t>FB Mains Total (Bucket 1)</t>
  </si>
  <si>
    <t>All fund-based main parent facilities</t>
  </si>
  <si>
    <t>NFB Mains Total (Bucket 2)</t>
  </si>
  <si>
    <t>All non-fund-based main parent facilities</t>
  </si>
  <si>
    <t>NFB Contingent Total</t>
  </si>
  <si>
    <t>B2 mains + NFB sub-limits within FB-Main parents</t>
  </si>
  <si>
    <t>FD-Backed Total (Bucket 3)</t>
  </si>
  <si>
    <t>Self-collateralised; economic exposure effectively nil</t>
  </si>
  <si>
    <t>Uncommitted Memo (Bucket 4)</t>
  </si>
  <si>
    <t>HSBC: ₹200 Cr sanctioned (post 20% haircut on ₹1,000 Cr face). Uncommitted on paper; treated as effective committed for modelling. Bank retains right to withdraw.</t>
  </si>
  <si>
    <t>Hedge Memo</t>
  </si>
  <si>
    <t>UBI Forward Contract ₹75 Cr, outside all buckets</t>
  </si>
  <si>
    <t>ICICI TL Takeover (Adjustment)</t>
  </si>
  <si>
    <t>ICICI TL substitutes for existing consortium TL</t>
  </si>
  <si>
    <t>Adjusted Consortium Debt</t>
  </si>
  <si>
    <t>Sanctioned − ICICI TL takeover = ₹4,666 − ₹840 Cr</t>
  </si>
  <si>
    <t>C. FD-BACKED (BUCKET 3), Self-Collateralised</t>
  </si>
  <si>
    <t>FD-Backed (₹ Cr)</t>
  </si>
  <si>
    <t>D. UNCOMMITTED MEMO (BUCKET 4), nil after HSBC reclassification</t>
  </si>
  <si>
    <t>Uncommitted (₹ Cr)</t>
  </si>
  <si>
    <t>Status / Note</t>
  </si>
  <si>
    <t>Reclassified to Bucket 1 (Sanctioned/FB Mains) at ₹200 Cr post 20% haircut.</t>
  </si>
  <si>
    <t>E. HEDGE MEMO, Outside All Buckets</t>
  </si>
  <si>
    <t>Notional (₹ Cr)</t>
  </si>
  <si>
    <t>UBI Forward Contract (memo only), treatment ambiguous; tracked outside all buckets.</t>
  </si>
  <si>
    <t>FACILITY MASTER</t>
  </si>
  <si>
    <t>Source: JFL sanction letters (Sep 2025 to Mar 2026). 44 facilities across 9 lenders. All downstream schedules pull from this sheet.</t>
  </si>
  <si>
    <t>IDENTIFICATION</t>
  </si>
  <si>
    <t>Flags</t>
  </si>
  <si>
    <t>Financial Structure</t>
  </si>
  <si>
    <t>PRICING</t>
  </si>
  <si>
    <t>REPAYMENT</t>
  </si>
  <si>
    <t>DATES</t>
  </si>
  <si>
    <t>REFERENCE &amp; NOTES</t>
  </si>
  <si>
    <t>BUCKET FLAGS</t>
  </si>
  <si>
    <t>S.No</t>
  </si>
  <si>
    <t>Facility</t>
  </si>
  <si>
    <t>Nature</t>
  </si>
  <si>
    <t>Sub-Limit Flag</t>
  </si>
  <si>
    <t>FD-Backed</t>
  </si>
  <si>
    <t>Bucket</t>
  </si>
  <si>
    <t>Currency</t>
  </si>
  <si>
    <t>Sanc Orig Ccy</t>
  </si>
  <si>
    <t>Sanc INR Cr</t>
  </si>
  <si>
    <t>Current O/S</t>
  </si>
  <si>
    <t>Eff O/S</t>
  </si>
  <si>
    <t>Util %</t>
  </si>
  <si>
    <t>Benchmark</t>
  </si>
  <si>
    <t>Spread</t>
  </si>
  <si>
    <t>Eff Rate p.a.</t>
  </si>
  <si>
    <t>Rate Type</t>
  </si>
  <si>
    <t>Moratorium Mths</t>
  </si>
  <si>
    <t>Rep Frequency</t>
  </si>
  <si>
    <t>Tenor Mths</t>
  </si>
  <si>
    <t>No of Instals</t>
  </si>
  <si>
    <t>Drawdown Date</t>
  </si>
  <si>
    <t>Rep Start Date</t>
  </si>
  <si>
    <t>Maturity Date</t>
  </si>
  <si>
    <t>Sanction Date</t>
  </si>
  <si>
    <t>Validity Date</t>
  </si>
  <si>
    <t>Purpose</t>
  </si>
  <si>
    <t>Security Summary</t>
  </si>
  <si>
    <t>Sanction Reference</t>
  </si>
  <si>
    <t>Remarks</t>
  </si>
  <si>
    <t>NFB Contingent Flag</t>
  </si>
  <si>
    <t>Takeover Flag</t>
  </si>
  <si>
    <t>RTL-I (renewal)</t>
  </si>
  <si>
    <t>FB-Term</t>
  </si>
  <si>
    <t>Non-Revolving</t>
  </si>
  <si>
    <t>INR</t>
  </si>
  <si>
    <t>1Y MCLR (UBI)</t>
  </si>
  <si>
    <t>Floating</t>
  </si>
  <si>
    <t>Quarterly</t>
  </si>
  <si>
    <t>Project capex, 2.0 MTPA Greenfield Steel Making at Kalinga Nagar</t>
  </si>
  <si>
    <t>1st p-p on FA (movable+immovable+leasehold 220.68 acres); 1st p-p on intangibles; 2nd p-p on CA; 1st p-p Escrow; Pledge 51% by OPJSTPL; OPJSTPL CG; JCL CG (till perfection); JSL DSU</t>
  </si>
  <si>
    <t>UBI SL 20-Sep-2025, Ref LCBD-I:JFL:2025-26:1726</t>
  </si>
  <si>
    <t>Renewal of existing TL; 1Y MCLR 8.90% per UBI SL p.1 (RTL-I); Spread 0.50% -&gt; effective 9.40% p.a. at present. Next MCLR reset 26-Jun-2026. (RTL-II uses 1Y MCLR 8.60% + 0.50% = 9.10%.)</t>
  </si>
  <si>
    <t>RTL-II (fresh)</t>
  </si>
  <si>
    <t>1Y MCLR (UBI), RTL-II</t>
  </si>
  <si>
    <t>Project capex, fresh facility within UBI 20-Sep-2025 SL</t>
  </si>
  <si>
    <t>1st p-p on FA; 1st p-p on intangibles; 2nd p-p on CA; 1st p-p Escrow; Pledge 51% by OPJSTPL; OPJSTPL CG; JCL CG; JSL DSU</t>
  </si>
  <si>
    <t>Fresh facility; 1Y MCLR 8.60% (reset basis); consortium-aligned 48 quarterly</t>
  </si>
  <si>
    <t>Letter of Credit (Capex LC/UPAS/SBLC)</t>
  </si>
  <si>
    <t>NFB</t>
  </si>
  <si>
    <t>Revolving</t>
  </si>
  <si>
    <t>Fixed commission</t>
  </si>
  <si>
    <t>Fixed</t>
  </si>
  <si>
    <t>On Maturity</t>
  </si>
  <si>
    <t>NFB sub-limit; capex LC and UPAS issuance</t>
  </si>
  <si>
    <t>Same as RTL primary (1st p-p on FA, 2nd on CA, Pledge 51%, OPJSTPL CG, JCL CG, JSL DSU)</t>
  </si>
  <si>
    <t>0.60% p.a. + GST commission; UBI branch SBLC; other-bank SBLC 0.85%</t>
  </si>
  <si>
    <t>Bank Guarantee</t>
  </si>
  <si>
    <t>Performance/financial BG</t>
  </si>
  <si>
    <t>Same as RTL primary</t>
  </si>
  <si>
    <t>0.60% p.a. + GST</t>
  </si>
  <si>
    <t>Forward Contract (credit equivalent)</t>
  </si>
  <si>
    <t>Hedge</t>
  </si>
  <si>
    <t>H</t>
  </si>
  <si>
    <t>N/A</t>
  </si>
  <si>
    <t>On Settlement</t>
  </si>
  <si>
    <t>Hedging exchange risk</t>
  </si>
  <si>
    <t>Unsecured</t>
  </si>
  <si>
    <t>MEMO ONLY. '^' superscript on UBI cover table with no footnote, treatment ambiguous; provisionally classified as hedge memo. Out of all buckets.</t>
  </si>
  <si>
    <t>Term Loan (per amendment ticket)</t>
  </si>
  <si>
    <t>1Y MCLR (Indian Bank)</t>
  </si>
  <si>
    <t>Project capex, long-dated consortium TL</t>
  </si>
  <si>
    <t>Per original Indian Bank SL (NOT in file set). Presumed consortium-standard security.</t>
  </si>
  <si>
    <t>Indian Bank Amendment Ticket 26-Sep-2025, Ref LCB/Del/JFL:2025-26</t>
  </si>
  <si>
    <t>Indian Bank: Loan ₹235 Cr DERIVED from repayment table totals (8Q × ₹2.9375 + 40Q × ₹5.2875 = ₹235 OK). 12-yr tenor; 12-mo moratorium; graduated 1.25%/2.25% quarterly; per amendment ticket 26-Sep-2025.</t>
  </si>
  <si>
    <t>Term Loan (12-month bullet bridge)</t>
  </si>
  <si>
    <t>To be decided</t>
  </si>
  <si>
    <t>TBD</t>
  </si>
  <si>
    <t>Bullet</t>
  </si>
  <si>
    <t>Part-finance 2.0 MTPA capex + repay ICDs from JSL/Jindal Coke</t>
  </si>
  <si>
    <t>Unconditional &amp; Irrevocable CG from OPJSTPL; Shortfall Undertaking from JSL Ltd</t>
  </si>
  <si>
    <t>RBL SL 13-Nov-2025, Ref CAD/DEL/0856/2025-26</t>
  </si>
  <si>
    <t>Bridge facility, 12-month BULLET, NOT consortium amortising. Rate 'to be decided at disbursement' Min promoter contribution ₹1,363 Cr covenant. Min BBB rating within 180 days.</t>
  </si>
  <si>
    <t>Letter of Credit (sub-limit of TL)</t>
  </si>
  <si>
    <t>Procurement of raw material for testing/commissioning phase</t>
  </si>
  <si>
    <t>Same as TL parent</t>
  </si>
  <si>
    <t>Sub-limit within ₹200 Cr TL; 0.50% p.a. commission; no LCs to sister/group companies; 6 months max per LC</t>
  </si>
  <si>
    <t>FDOD (Overdraft against FD)</t>
  </si>
  <si>
    <t>FB-FDbacked</t>
  </si>
  <si>
    <t>On Demand</t>
  </si>
  <si>
    <t>Cash-flow mismatches</t>
  </si>
  <si>
    <t>100% lien on FD held by JFL/JSL/Jindal Coke/JUSL; up to 90% of FD value lien-marked</t>
  </si>
  <si>
    <t>FD-backed; economic exposure nil; rate TBD at disbursement</t>
  </si>
  <si>
    <t>Term Loan (project, new consortium joiner)</t>
  </si>
  <si>
    <t>EBLR (YES Bank)</t>
  </si>
  <si>
    <t>Project capex, new consortium TL</t>
  </si>
  <si>
    <t>1st p-p on FA (incl leasehold rights); 1st p-p on intangibles; 2nd p-p on CA; Pledge 51% by OPJSTPL; DSU JSL; LoC JSL; OPJSTPL CG; JCL CG (extinguished at perfection)</t>
  </si>
  <si>
    <t>YES Bank Final Facility Letter 29-Dec-2025, Ref YBL/DEL/LC/FL/04920/12/2025</t>
  </si>
  <si>
    <t>YBL: EBLR + 3.45% (current EBLR not stated in letter). 160 mo tenor; 12-mo moratorium; quarterly P+I; per FL 30-Dec-2025</t>
  </si>
  <si>
    <t>Capex LC (sub-limit of TL)</t>
  </si>
  <si>
    <t>Capex LC issuance</t>
  </si>
  <si>
    <t>Same as YBL TL primary</t>
  </si>
  <si>
    <t>Sub-limit within ₹650 Cr TL; 0.50% p.a.; 36-month tenor incl 12-month usance; availability till 02-Mar-2026</t>
  </si>
  <si>
    <t>RTL (project, new consortium joiner)</t>
  </si>
  <si>
    <t>EBLR (IDFC First)</t>
  </si>
  <si>
    <t>Consortium-standard: 1st p-p on FA; 2nd p-p on CA; Pledge 51%; OPJSTPL CG; JCL CG; JSL DSU; LoC JSL. Escrow at UBI.</t>
  </si>
  <si>
    <t>IDFC First SL 09-Jan-2026, Ref IDFC/CAD/REF/SL/260131</t>
  </si>
  <si>
    <t>IDFC: EBLR 7.75% + 1.05% spread = ~8.80%. 144-mo tenor; 12-mo moratorium; quarterly P+I; per SL 09-Jan-2026 accepted 14-Jan-2026.</t>
  </si>
  <si>
    <t>NFB, Capex LC/SBLC (A)</t>
  </si>
  <si>
    <t>Capex LC/SBLC issuance</t>
  </si>
  <si>
    <t>Consortium-standard security</t>
  </si>
  <si>
    <t>IDFC NFB-A (Capex LC/SBLC): ₹400 Cr total NFB cap; . Per SL p.2 verbatim 'Sub-Limits under Facility: Rs 400.00 Cr towards non-funded'.</t>
  </si>
  <si>
    <t>NFB, BG / SBLC (B, sub-limit within ₹400 cap)</t>
  </si>
  <si>
    <t>BG / SBLC issuance</t>
  </si>
  <si>
    <t>IDFC NFB-B (BG/SBLC): sub-cap ₹200 Cr within A's ₹400 Cr parent. combined A+B ≤ ₹400 Cr (not additive)</t>
  </si>
  <si>
    <t>Cash Credit (WC)</t>
  </si>
  <si>
    <t>FB</t>
  </si>
  <si>
    <t>6M I-MCLR (ICICI)</t>
  </si>
  <si>
    <t>Working capital, operational</t>
  </si>
  <si>
    <t>1st p-p on CA; 2nd p-p on FA (movable+immovable+leasehold Project Land); 2nd p-p intangibles; Pledge 51%; OPJSTPL CG; JCL CG (till perfection); JSL DSU; LoC JSL</t>
  </si>
  <si>
    <t>ICICI WC CAL 12-Feb-2026, Ref CAL142368928833</t>
  </si>
  <si>
    <t>I-MCLR-6M (8.30%) + 0.20% = ~8.50%. Reset every 6 mo. Interchangeable one-way to LC. Validity 03-Feb-2027.</t>
  </si>
  <si>
    <t>WCDL (sub-limit of CC)</t>
  </si>
  <si>
    <t>Repo Rate</t>
  </si>
  <si>
    <t>Working capital</t>
  </si>
  <si>
    <t>Same as CC parent</t>
  </si>
  <si>
    <t>Repo Rate + Spread (TBD per drawdown). Max 90-day tranche; default 95 days under RBI LDS. Sub of CC.</t>
  </si>
  <si>
    <t>Letter of Credit (WC)</t>
  </si>
  <si>
    <t>Procurement of RM, consumables, spares, capital goods</t>
  </si>
  <si>
    <t>0.60% p.a. commission. Foreign LC max 150 days; Inland 90 days. Group co LC cap 25% (Jindal Coke + JSL combined).</t>
  </si>
  <si>
    <t>BG (F+P, sub-limit of LC)</t>
  </si>
  <si>
    <t>BG performance + financial</t>
  </si>
  <si>
    <t>BG(F) 0.85% ≤1y / 1.00% 1-3y; BG(P) 0.60% / 0.75%. Onerous BG: 12.5% private, 25% PSU. Sub of LC.</t>
  </si>
  <si>
    <t>Combined Limit (Uncommitted)</t>
  </si>
  <si>
    <t>Mutually agreed</t>
  </si>
  <si>
    <t>Various</t>
  </si>
  <si>
    <t>Trade finance + working capital</t>
  </si>
  <si>
    <t>1st p-p on CA; 2nd p-p on movable FA; Pledge 51% (proportionate); JSL DSU. NO charge on immovable FA, FLAG.</t>
  </si>
  <si>
    <t>HSBC Facilities Letter 27-Feb-2026, Ref GBM NDH 260475</t>
  </si>
  <si>
    <t>HSBC: ₹1,000 Cr face UNCOMMITTED Combined Limit. Model carries ₹200 Cr post 20% haircut in Bucket 1 (Sanctioned/FB Mains). Bank retains discretion to cancel. All 14 sub-facilities Bucket 0. Security excludes immovable FA.</t>
  </si>
  <si>
    <t>Working Capital Loan (Uncommitted, sub of #1)</t>
  </si>
  <si>
    <t>Per Combined Limit</t>
  </si>
  <si>
    <t>6-month tenor; rate mutually agreed</t>
  </si>
  <si>
    <t>Overdraft (Uncommitted, sub of WCL)</t>
  </si>
  <si>
    <t>On demand; rate mutually agreed</t>
  </si>
  <si>
    <t>Import Controlling line - 1 (Uncommitted)</t>
  </si>
  <si>
    <t>Import financing</t>
  </si>
  <si>
    <t>Sub of OD; rate TBD</t>
  </si>
  <si>
    <t>TradePay Domestic/Import (Uncommitted)</t>
  </si>
  <si>
    <t>Buyer facility</t>
  </si>
  <si>
    <t>6 months; rate TBD</t>
  </si>
  <si>
    <t>Pre-shipment Buyer Loan (Uncommitted)</t>
  </si>
  <si>
    <t>Pre-shipment finance</t>
  </si>
  <si>
    <t>Post-Shipment Buyer Loan / DPF / LAI (Uncommitted)</t>
  </si>
  <si>
    <t>Post-shipment / domestic purchase finance</t>
  </si>
  <si>
    <t>Export Controlling line (Uncommitted)</t>
  </si>
  <si>
    <t>Export financing</t>
  </si>
  <si>
    <t>INR or FCY equivalent; rate TBD</t>
  </si>
  <si>
    <t>Pre-shipment Seller Loan (Uncommitted)</t>
  </si>
  <si>
    <t>Export pre-shipment</t>
  </si>
  <si>
    <t>6 months; INR or FCY; rate TBD</t>
  </si>
  <si>
    <t>Post-Shipment Seller Loan, Open Account (Uncommitted)</t>
  </si>
  <si>
    <t>Export post-shipment</t>
  </si>
  <si>
    <t>Import Controlling line - 2 (Uncommitted)</t>
  </si>
  <si>
    <t>Headline LC line</t>
  </si>
  <si>
    <t>Headline LC line for Letter of Credit issuance</t>
  </si>
  <si>
    <t>Import Documentary Credit - 12 (Uncommitted)</t>
  </si>
  <si>
    <t>Import DC issuance</t>
  </si>
  <si>
    <t>Sight / 180-day usance with 120-day cover; rate TBD</t>
  </si>
  <si>
    <t>Import Documentary Credit - 13 (Uncommitted)</t>
  </si>
  <si>
    <t>Second LC line, relationship to ₹772.9 Cr line unclear; FLAG</t>
  </si>
  <si>
    <t>Guarantees/Bonds Non-Financial (Uncommitted)</t>
  </si>
  <si>
    <t>Non-financial BG</t>
  </si>
  <si>
    <t>3 years + 12-month claim period</t>
  </si>
  <si>
    <t>Guarantees/Bonds Financial (Uncommitted)</t>
  </si>
  <si>
    <t>Financial BG</t>
  </si>
  <si>
    <t>Letter of Credit (WC parent)</t>
  </si>
  <si>
    <t>WC LC issuance</t>
  </si>
  <si>
    <t>1st p-p on CA; 2nd p-p on FA (incl. immovable + leasehold); 2nd p-p intangibles; Pledge 51%; OPJSTPL CG; JCL CG; JSL DSU; LoC JSL</t>
  </si>
  <si>
    <t>HDFC Bank Offer Letter 26-Mar-2026, Ref CAM012101260020</t>
  </si>
  <si>
    <t>LC 0.50% (daily). Multiple sub-limits within ₹250 Cr cap. Processing 0.12% p.a.; renewal 0.10%. JSL 2.5x cover; HR coil offtake 3mo pre-DCCO.</t>
  </si>
  <si>
    <t>Post Shipment Finance (sub of LC)</t>
  </si>
  <si>
    <t>Post-shipment finance</t>
  </si>
  <si>
    <t>Same as LC parent</t>
  </si>
  <si>
    <t>Rate TBD at drawdown; order-backed</t>
  </si>
  <si>
    <t>Pre-shipment Finance (sub of LC)</t>
  </si>
  <si>
    <t>SBLC (sub of LC)</t>
  </si>
  <si>
    <t>SBLC for Buyers Credit</t>
  </si>
  <si>
    <t>Rate TBD at drawdown</t>
  </si>
  <si>
    <t>Cash Credit (sub of LC)</t>
  </si>
  <si>
    <t>14-day Repo (HDFC)</t>
  </si>
  <si>
    <t>CC = 8.15% linked to 14-day Repo</t>
  </si>
  <si>
    <t>WCDL (sub of LC)</t>
  </si>
  <si>
    <t>Rate TBD; max 90-day tranche</t>
  </si>
  <si>
    <t>FD-OD (FD-Backed)</t>
  </si>
  <si>
    <t>FD Rate (HDFC)</t>
  </si>
  <si>
    <t>Cash flow mismatch</t>
  </si>
  <si>
    <t>100% margin via lien on FD held by JFL/group</t>
  </si>
  <si>
    <t>FD Rate + 1% spread; monthly rests</t>
  </si>
  <si>
    <t>BG (sub of FD-OD)</t>
  </si>
  <si>
    <t>BG within FD-OD</t>
  </si>
  <si>
    <t>100% FD margin</t>
  </si>
  <si>
    <t>Sub of FD-OD; 36 months incl claim</t>
  </si>
  <si>
    <t>Term Loan, TAKEOVER of disbursed consortium</t>
  </si>
  <si>
    <t>3M I-MCLR (ICICI)</t>
  </si>
  <si>
    <t>TAKEOVER of disbursed consortium TL only (excludes cost overrun and undisbursed)</t>
  </si>
  <si>
    <t>Consortium-standard: 1st p-p on FA; 2nd p-p on CA; Pledge 51%; OPJSTPL CG; JCL CG; JSL DSU; LoC JSL; 1st pari-passu Escrow at UBI</t>
  </si>
  <si>
    <t>ICICI TL CAL 27-Mar-2026, Ref CAL504005729787</t>
  </si>
  <si>
    <t>ICICI TL: TAKEOVER of disbursed debt, NOT additive. Adj Cons = ₹4,666 − ₹840 = ₹3,826 Cr. Put Option every 5y from DCCO (first Apr-2031, 90-day notice). Moratorium 31-Mar-2027</t>
  </si>
  <si>
    <t>BG Financial (sub of RTL)</t>
  </si>
  <si>
    <t>Same as RTL parent</t>
  </si>
  <si>
    <t>0.75% commission; min ₹500/instrument; upfront</t>
  </si>
  <si>
    <t>SBLC Buyers Credit (sub of RTL)</t>
  </si>
  <si>
    <t>0.75% commission</t>
  </si>
  <si>
    <t>KPIs to See Lender Summary sheet for all computed KPI totals (Sanctioned Debt, Bucket splits, Adjusted Consortium, WAC, Run-rate interest).</t>
  </si>
  <si>
    <t>TERM LOANS</t>
  </si>
  <si>
    <t>Side-by-side parameter comparison of the seven term loans.</t>
  </si>
  <si>
    <t>Parameter</t>
  </si>
  <si>
    <t>UBI RTL-I</t>
  </si>
  <si>
    <t>UBI RTL-II</t>
  </si>
  <si>
    <t>RBL Bank (Bridge)</t>
  </si>
  <si>
    <t>IDFC First</t>
  </si>
  <si>
    <t>ICICI TL (Takeover)</t>
  </si>
  <si>
    <t>Combined</t>
  </si>
  <si>
    <t>Effective O/S (₹ Cr)</t>
  </si>
  <si>
    <t>Moratorium (Months)</t>
  </si>
  <si>
    <t>Repayment Frequency</t>
  </si>
  <si>
    <t>Tenor (Months)</t>
  </si>
  <si>
    <t>No. of Instalments</t>
  </si>
  <si>
    <t>Benchmark Rate</t>
  </si>
  <si>
    <t>1Y MCLR</t>
  </si>
  <si>
    <t>EBLR</t>
  </si>
  <si>
    <t>3M I-MCLR</t>
  </si>
  <si>
    <t>Spread (p.a.)</t>
  </si>
  <si>
    <t>Effective Rate p.a.</t>
  </si>
  <si>
    <t>UBI SL 20-Sep-2025</t>
  </si>
  <si>
    <t>IB Amend 26-Sep-2025</t>
  </si>
  <si>
    <t>RBL SL 13-Nov-2025</t>
  </si>
  <si>
    <t>YBL FL 29-Dec-2025</t>
  </si>
  <si>
    <t>IDFC SL 09-Jan-2026</t>
  </si>
  <si>
    <t>ICICI TL 27-Mar-2026</t>
  </si>
  <si>
    <t>Combined Total</t>
  </si>
  <si>
    <t>7 TLs</t>
  </si>
  <si>
    <t>48 Instals</t>
  </si>
  <si>
    <t>(excl. RBL bullet)</t>
  </si>
  <si>
    <t>MODEL NOTES</t>
  </si>
  <si>
    <t>Renewal of existing consortium TL (first drawdown 27-Jun-2023). 4-year moratorium ends 26-Jun-2027. 1Y MCLR (UBI) 8.90% + 0.50% = 9.40% p.a.</t>
  </si>
  <si>
    <t>Fresh facility within the 20-Sep-2025 UBI sanction letter. Same consortium 16yr/48-qtr structure. 1Y MCLR (UBI) 8.60% + 0.50% = 9.10% p.a.</t>
  </si>
  <si>
    <t>₹235 Cr DERIVED from 26-Sep-2025 amendment ticket (8Q × ₹2.9375 + 40Q × ₹5.2875 = ₹235 OK). First instalment 31-Mar-2027, ONE QUARTER EARLIER than consortium peers.</t>
  </si>
  <si>
    <t>₹200 Cr 12-MONTH BULLET bridge (NOT amortising). Drawn 13-Nov-2025; matures 13-Nov-2026. Rate TBD at disbursement. REFINANCE EVENT required Q3 FY27.</t>
  </si>
  <si>
    <t>EBLR + 3.45% (current EBLR not stated in letter). Disbursement caps: ₹485 Cr pre-COD / ₹165 Cr post-COD. Cash Sweep: DSCR &gt; 1.5x triggers ₹75 Cr/yr from 01-Apr-2028.</t>
  </si>
  <si>
    <t>EBLR 7.75% + 1.05% = 8.80%. First covenant test FY27, 2 YEARS EARLIER than consortium peers. IDFC-specific DSCR definition differs from consortium standard.</t>
  </si>
  <si>
    <t>ICICI TL</t>
  </si>
  <si>
    <t>₹840 Cr TAKEOVER of disbursed consortium TL (NOT additive). I-MCLR-3M + 0.60% = 8.70%. 5-YEAR PUT OPTION from DCCO (first: 01-Apr-2031). Adjusted Consortium = ₹4,666 − ₹840 = ₹3,826 Cr.</t>
  </si>
  <si>
    <t>WORKING CAPITAL FACILITIES</t>
  </si>
  <si>
    <t>Fund-based WC lines (filtered view of Facility Master).</t>
  </si>
  <si>
    <t>Sub-Limit?</t>
  </si>
  <si>
    <t>Ccy</t>
  </si>
  <si>
    <t>Sanc (₹ Cr)</t>
  </si>
  <si>
    <t>Validity</t>
  </si>
  <si>
    <t>TOTALS</t>
  </si>
  <si>
    <t>HSBC ₹200 Cr (post 20% haircut on ₹1,000 Cr face) is classified in Bucket 1 (Sanctioned / FB Mains). Sub-facilities remain Bucket 0 (sub-limits, not additive). Bank retains unrestricted discretion to cancel.</t>
  </si>
  <si>
    <t>NON-FUND BASED FACILITIES</t>
  </si>
  <si>
    <t>LC, SBLC and BG lines (filtered view of Facility Master).</t>
  </si>
  <si>
    <t>Commission %</t>
  </si>
  <si>
    <t>Annual Comm (₹ Cr)</t>
  </si>
  <si>
    <t>Bucket 2 NFB Mains = ₹550 Cr (ICICI LC ₹300 Cr + HDFC LC ₹250 Cr). All other NFB lines are contingent sub-limits (Bucket 0) or UNCOMMITTED (Bucket 4, HSBC). Annual commission is indicative run-rate at full utilisation.</t>
  </si>
  <si>
    <t>* Sanc/O/S totals above include sub-limits (not additive with parent). Bucket 2 Mains = ₹550 Cr. NFB Contingent (Bucket 0 sub-limits) = ₹2,040 Cr. HSBC ₹200 Cr (post 20% haircut) is classified Bucket 1 . Sub-limits remain Bucket 0.</t>
  </si>
  <si>
    <t>REPAYMENT SCHEDULE</t>
  </si>
  <si>
    <t>Quarterly principal repayment across the seven TLs (Q1 FY24 to Q4 FY39).</t>
  </si>
  <si>
    <t>PERIOD</t>
  </si>
  <si>
    <t>UBI RTL-I | ₹1,125 Cr | 9.40%</t>
  </si>
  <si>
    <t>UBI RTL-II | ₹236 Cr | 9.10%</t>
  </si>
  <si>
    <t>INDIAN BANK | ₹235 Cr | 9.40%</t>
  </si>
  <si>
    <t>RBL BRIDGE | ₹200 Cr | BULLET</t>
  </si>
  <si>
    <t>YES BANK | ₹650 Cr | EBLR+3.45%</t>
  </si>
  <si>
    <t>IDFC FIRST | ₹530 Cr | EBLR+1.05%</t>
  </si>
  <si>
    <t>ICICI TL | ₹840 Cr | TAKEOVER ↺</t>
  </si>
  <si>
    <t>CONSOLIDATED (excl. RBL)</t>
  </si>
  <si>
    <t>Period End</t>
  </si>
  <si>
    <t>Label</t>
  </si>
  <si>
    <t>Opening</t>
  </si>
  <si>
    <t>Drawdown</t>
  </si>
  <si>
    <t>Prin Rep</t>
  </si>
  <si>
    <t>Interest</t>
  </si>
  <si>
    <t>Closing</t>
  </si>
  <si>
    <t>Total Prin</t>
  </si>
  <si>
    <t>Total Int</t>
  </si>
  <si>
    <t>Total DS</t>
  </si>
  <si>
    <t>Combined O/S</t>
  </si>
  <si>
    <t>Q1 FY24</t>
  </si>
  <si>
    <t>Q2 FY24</t>
  </si>
  <si>
    <t>Q3 FY24</t>
  </si>
  <si>
    <t>Q4 FY24</t>
  </si>
  <si>
    <t>Q1 FY25</t>
  </si>
  <si>
    <t>Q2 FY25</t>
  </si>
  <si>
    <t>Q3 FY25</t>
  </si>
  <si>
    <t>Q4 FY25</t>
  </si>
  <si>
    <t>Q1 FY26</t>
  </si>
  <si>
    <t>Q2 FY26</t>
  </si>
  <si>
    <t>Q3 FY26</t>
  </si>
  <si>
    <t>Q4 FY26</t>
  </si>
  <si>
    <t>Q1 FY27</t>
  </si>
  <si>
    <t>Q2 FY27</t>
  </si>
  <si>
    <t>← Q3 FY27 RBL BULLET DUE</t>
  </si>
  <si>
    <t>Q4 FY27</t>
  </si>
  <si>
    <t>Q1 FY28</t>
  </si>
  <si>
    <t>Q2 FY28</t>
  </si>
  <si>
    <t>Q3 FY28</t>
  </si>
  <si>
    <t>Q4 FY28</t>
  </si>
  <si>
    <t>← Q1 FY29 (First Test Year)</t>
  </si>
  <si>
    <t>Q2 FY29</t>
  </si>
  <si>
    <t>Q3 FY29</t>
  </si>
  <si>
    <t>Q4 FY29</t>
  </si>
  <si>
    <t>Q1 FY30</t>
  </si>
  <si>
    <t>Q2 FY30</t>
  </si>
  <si>
    <t>Q3 FY30</t>
  </si>
  <si>
    <t>Q4 FY30</t>
  </si>
  <si>
    <t>Q1 FY31</t>
  </si>
  <si>
    <t>Q2 FY31</t>
  </si>
  <si>
    <t>Q3 FY31</t>
  </si>
  <si>
    <t>Q4 FY31</t>
  </si>
  <si>
    <t>Q1 FY32</t>
  </si>
  <si>
    <t>Q2 FY32</t>
  </si>
  <si>
    <t>Q3 FY32</t>
  </si>
  <si>
    <t>Q4 FY32</t>
  </si>
  <si>
    <t>Q1 FY33</t>
  </si>
  <si>
    <t>Q2 FY33</t>
  </si>
  <si>
    <t>Q3 FY33</t>
  </si>
  <si>
    <t>Q4 FY33</t>
  </si>
  <si>
    <t>Q1 FY34</t>
  </si>
  <si>
    <t>Q2 FY34</t>
  </si>
  <si>
    <t>Q3 FY34</t>
  </si>
  <si>
    <t>Q4 FY34</t>
  </si>
  <si>
    <t>Q1 FY35</t>
  </si>
  <si>
    <t>Q2 FY35</t>
  </si>
  <si>
    <t>Q3 FY35</t>
  </si>
  <si>
    <t>Q4 FY35</t>
  </si>
  <si>
    <t>Q1 FY36</t>
  </si>
  <si>
    <t>Q2 FY36</t>
  </si>
  <si>
    <t>Q3 FY36</t>
  </si>
  <si>
    <t>Q4 FY36</t>
  </si>
  <si>
    <t>Q1 FY37</t>
  </si>
  <si>
    <t>Q2 FY37</t>
  </si>
  <si>
    <t>Q3 FY37</t>
  </si>
  <si>
    <t>Q4 FY37</t>
  </si>
  <si>
    <t>Q1 FY38</t>
  </si>
  <si>
    <t>Q2 FY38</t>
  </si>
  <si>
    <t>Q3 FY38</t>
  </si>
  <si>
    <t>Q4 FY38</t>
  </si>
  <si>
    <t>Q1 FY39</t>
  </si>
  <si>
    <t>Q2 FY39</t>
  </si>
  <si>
    <t>Q3 FY39</t>
  </si>
  <si>
    <t>Q4 FY39</t>
  </si>
  <si>
    <t>CURRENT OUTSTANDING SNAPSHOT, As of AsOfDate (from Instructions &amp; Assumptions)</t>
  </si>
  <si>
    <t>Term Loan</t>
  </si>
  <si>
    <t>Principal O/S at AsOfDate (₹ Cr)</t>
  </si>
  <si>
    <t>RBL Bridge</t>
  </si>
  <si>
    <t>Total TL Principal O/S</t>
  </si>
  <si>
    <t>INTEREST AND COMMISSION SCHEDULE</t>
  </si>
  <si>
    <t>Annual run-rate interest and NFB commission.</t>
  </si>
  <si>
    <t>Eff O/S (₹ Cr)</t>
  </si>
  <si>
    <t>Eff Rate</t>
  </si>
  <si>
    <t>Annual Int/Comm (₹ Cr)</t>
  </si>
  <si>
    <t>CCY</t>
  </si>
  <si>
    <t>SUMMARY, ANNUAL INTEREST &amp; COMMISSION BY BUCKET</t>
  </si>
  <si>
    <t>Description</t>
  </si>
  <si>
    <t>Int/Comm (₹ Cr)</t>
  </si>
  <si>
    <t>Notes</t>
  </si>
  <si>
    <t>FB Mains (Term + WC)</t>
  </si>
  <si>
    <t>Economic run-rate</t>
  </si>
  <si>
    <t>NFB Mains (LC/BG Mains)</t>
  </si>
  <si>
    <t>Commission on sanctioned face</t>
  </si>
  <si>
    <t>FD-Backed (econ. ≈ zero)</t>
  </si>
  <si>
    <t>FD covers exposure</t>
  </si>
  <si>
    <t>★</t>
  </si>
  <si>
    <t>TOTAL ECONOMIC RUN-RATE</t>
  </si>
  <si>
    <t>B1+B2+B3 only</t>
  </si>
  <si>
    <t>Uncommitted (B4, nil after HSBC reclassified to B1)</t>
  </si>
  <si>
    <t>Discretionary; no obligation</t>
  </si>
  <si>
    <t>Sub-limits (already in parent)</t>
  </si>
  <si>
    <t>Not additive, informational only</t>
  </si>
  <si>
    <t>WAC</t>
  </si>
  <si>
    <t>Weighted Avg Cost, FB Economic Debt (B1)</t>
  </si>
  <si>
    <t>Note: B0 sub-limits do NOT add to economic run-rate, they share their parent's capacity. B4 (HSBC uncommitted) is discretionary and excluded from WAC calculation.</t>
  </si>
  <si>
    <t>DEBT PRICING TABLE</t>
  </si>
  <si>
    <t>Benchmark plus spread build-up; ties to Facility Master.</t>
  </si>
  <si>
    <t>Benchmark / Reference Rate</t>
  </si>
  <si>
    <t>Spread (bps)</t>
  </si>
  <si>
    <t>Eff. Rate p.a.</t>
  </si>
  <si>
    <t>WEIGHTED AVERAGE COST SUMMARY</t>
  </si>
  <si>
    <t>Eff. Rate</t>
  </si>
  <si>
    <t>Wt. Interest (₹ Cr)</t>
  </si>
  <si>
    <t>B1</t>
  </si>
  <si>
    <t>FB Mains, Total O/S (₹ Cr)</t>
  </si>
  <si>
    <t>FB Mains, Annual Interest (₹ Cr)</t>
  </si>
  <si>
    <t>WAC, FB Economic Debt (Bucket 1)</t>
  </si>
  <si>
    <t>RATE TYPE LEGEND</t>
  </si>
  <si>
    <t>Rate resets periodically (MCLR / EBLR / Repo). Benchmark listed in col E.</t>
  </si>
  <si>
    <t>Commission or fixed rate, does not reset with market rates.</t>
  </si>
  <si>
    <t>Rate to be decided at disbursement per sanction letter. Shown indicatively at ~9.5%.</t>
  </si>
  <si>
    <t>SECURITY AND CHARGE MATRIX</t>
  </si>
  <si>
    <t>Lender-level collateral structure.</t>
  </si>
  <si>
    <t># Facilities</t>
  </si>
  <si>
    <t>Guarantees</t>
  </si>
  <si>
    <t>Charge Type Summary</t>
  </si>
  <si>
    <t>Full Security Description</t>
  </si>
  <si>
    <t>OPJSTPL CG + JSL DSU</t>
  </si>
  <si>
    <t>1st p-p FA + intangibles + Escrow; 2nd p-p CA; Pledge 51%</t>
  </si>
  <si>
    <t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</si>
  <si>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>Consortium-standard (per original SL)</t>
  </si>
  <si>
    <t>Per consortium structure (original SL not in file set)</t>
  </si>
  <si>
    <t>Original Indian Bank sanction letter is NOT in the file set, security per the 26-Sep-2025 amendment ticket presumed to mirror consortium-standard security with UBI as Lead Bank. Confirm with Indian Bank at next review.</t>
  </si>
  <si>
    <t>OPJSTPL CG + JSL Shortfall Undertaking</t>
  </si>
  <si>
    <t>Unsecured TL with corporate-guarantee back-stop; 100% FD on FDOD</t>
  </si>
  <si>
    <t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</si>
  <si>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>OPJSTPL CG + JSL DSU/LoC + JCL CG (till perfection)</t>
  </si>
  <si>
    <t>1st p-p FA + intangibles; 2nd p-p CA; Pledge 51%</t>
  </si>
  <si>
    <t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</si>
  <si>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>OPJSTPL CG + JSL DSU/LoC + JCL CG + Escrow at UBI</t>
  </si>
  <si>
    <t>Consortium-standard pari-passu</t>
  </si>
  <si>
    <t>Consortium-standard: 1st p-p on FA; 2nd p-p on CA; Pledge of 51%; OPJSTPL CG; JCL CG; JSL DSU; JSL LoC. Escrow at UBI. FY27 first covenant test (2y earlier than peers, FLAG). DIFFERENT DSCR definition, FLAG. Quasi Equity cap ₹337.50 Cr (vs ₹408.60 Cr peers, FLAG).</t>
  </si>
  <si>
    <t>1st p-p CA; 2nd p-p FA</t>
  </si>
  <si>
    <t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</si>
  <si>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>JSL DSU; Pledge 51% (proportionate)</t>
  </si>
  <si>
    <t>NO charge on immovable FA, FLAG</t>
  </si>
  <si>
    <t>UNCOMMITTED ₹1,000 Cr Combined Limit. Security EXCLUDES immovable fixed assets (only consortium lender that does so, FLAG). 1st p-p on CA; 2nd p-p on movable FA; Pledge of 51% (proportionate); JSL DSU. JSL cap 40% of listed-securities value (tightest covenant). External CA cert within 7 days of month-end. NO penal interest per RBI guidelines.</t>
  </si>
  <si>
    <t>OPJSTPL CG + JSL DSU/LoC + JCL CG</t>
  </si>
  <si>
    <t>1st p-p CA; 2nd p-p FA (incl immovable + leasehold)</t>
  </si>
  <si>
    <t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</si>
  <si>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>Consortium-standard: 1st p-p on FA; 2nd p-p on CA; Pledge of 51%; OPJSTPL CG; JCL CG; JSL DSU; JSL LoC; 1st p-p Escrow at UBI. UNIQUE: 5-year put option from DCCO (90-day repayment if invoked). Covenants FY29 first test (120 days of FY end).</t>
  </si>
  <si>
    <t>SECURITY LEGEND &amp; CONSORTIUM NOTES</t>
  </si>
  <si>
    <t>Pari-Passu</t>
  </si>
  <si>
    <t>All consortium TL lenders (UBI, Indian Bank, YES, IDFC, ICICI TL) share 1st p-p on FA and 2nd p-p on CA, inter-se. UBI acts as Lead Bank holding security on behalf of consortium.</t>
  </si>
  <si>
    <t>OPJSTPL CG</t>
  </si>
  <si>
    <t>OP Jindal Stainless &amp; Tinplate Pvt Ltd Corporate Guarantee, promoter entity guarantee backing all consortium and bilateral TL facilities.</t>
  </si>
  <si>
    <t>JSL DSU / LoC</t>
  </si>
  <si>
    <t>JSL Ltd Deficit Service Undertaking (DSU) and Letter of Comfort (LoC), JSL group support mechanism across most lenders.</t>
  </si>
  <si>
    <t>HSBC FLAG</t>
  </si>
  <si>
    <t>HSBC is the ONLY lender with NO charge on immovable fixed assets. Security excludes project land.</t>
  </si>
  <si>
    <t>RBL FLAG</t>
  </si>
  <si>
    <t>RBL ₹200 Cr TL is UNSECURED (no project asset charge), corporate guarantee backstop only. 12-month bullet, refinance risk.</t>
  </si>
  <si>
    <t>UTILIZATION TRACKER</t>
  </si>
  <si>
    <t>Drawn vs sanctioned, with validity countdown to as-of date.</t>
  </si>
  <si>
    <t>Days to Validity</t>
  </si>
  <si>
    <t>Review Flag</t>
  </si>
  <si>
    <t>Rows with negative Days to Validity are past their stated validity date, renew immediately. HSBC is UNCOMMITTED, bank may decline to draw. YES Bank Capex LC availability expired 02-Mar-2026 (per SL).</t>
  </si>
  <si>
    <t>STATUS LEGEND</t>
  </si>
  <si>
    <t>Expiring (≤30d)</t>
  </si>
  <si>
    <t>Validity date is within 30 days or already past. Immediate renewal action required.</t>
  </si>
  <si>
    <t>Maturing (≤1yr)</t>
  </si>
  <si>
    <t>Facility matures within 12 months. Refinance/renewal planning required. See RBL.</t>
  </si>
  <si>
    <t>High (&gt;90%)</t>
  </si>
  <si>
    <t>Utilization is above 90% of sanctioned limit.</t>
  </si>
  <si>
    <t>TL, On Schedule</t>
  </si>
  <si>
    <t>Term loan repaying per amortisation schedule. Days shown = tenor end date.</t>
  </si>
  <si>
    <t>OK</t>
  </si>
  <si>
    <t>No immediate action required.</t>
  </si>
  <si>
    <t>RENEWAL AND REVIEW CALENDAR</t>
  </si>
  <si>
    <t>Sorted by days to validity ascending.</t>
  </si>
  <si>
    <t>Validity / Maturity</t>
  </si>
  <si>
    <t>Days</t>
  </si>
  <si>
    <t>Action Required</t>
  </si>
  <si>
    <t>URGENT ACTIONS REQUIRED</t>
  </si>
  <si>
    <t>🔶 RBL Bank, Term Loan (₹200 Cr bullet) matures in 185 days (13-Nov-2026). Begin refinance planning.</t>
  </si>
  <si>
    <t>SCENARIO ANALYSIS</t>
  </si>
  <si>
    <t>Rate and EBITDA stress applied to FY29E projections.</t>
  </si>
  <si>
    <t>A. Scenario Inputs (editable)</t>
  </si>
  <si>
    <t>Scenario Variable</t>
  </si>
  <si>
    <t>Base</t>
  </si>
  <si>
    <t>Stress</t>
  </si>
  <si>
    <t>Severe Stress</t>
  </si>
  <si>
    <t>Rate Shock (parallel + bps)</t>
  </si>
  <si>
    <t>Spread Increase (+ bps)</t>
  </si>
  <si>
    <t>Utilization Change (%)</t>
  </si>
  <si>
    <t>EBITDA Change (%)</t>
  </si>
  <si>
    <t>Total Debt Change (%)</t>
  </si>
  <si>
    <t>B. Scenario Outputs</t>
  </si>
  <si>
    <t>Output Metric</t>
  </si>
  <si>
    <t>Annual Bucket 1 Interest Cost (₹ Cr)</t>
  </si>
  <si>
    <t>DSCR (Stressed), (EBITDA × (1+EBITDA%) − Tax) / (Interest + Sched TL Rep)</t>
  </si>
  <si>
    <t>Total Debt / EBITDA (Stressed)</t>
  </si>
  <si>
    <t>ICR (Stressed)</t>
  </si>
  <si>
    <t>STRESS INTERPRETATION: Base = FY29E projected financials (TEV Inputs sheet). Stress = +100 bps rate, +25 bps spread, +10% utilization, −15% EBITDA, +10% debt. Severe = double the shocks. Test against UBI/YBL/ICICI consortium covenants: DSCR ≥ 1.25, FACR ≥ 1.20, ISCR ≥ 2.00, LTD/EBITDA ≤ 4.00, LTD/Equity ≤ 2.00.</t>
  </si>
  <si>
    <t>C. Rate Sensitivity, Annual Interest Impact of +100 bps on each benchmark</t>
  </si>
  <si>
    <t>Δ Interest @ +100 bps (₹ Cr)</t>
  </si>
  <si>
    <t>Term SOFR (USD) 3M</t>
  </si>
  <si>
    <t>Total Rate Sensitivity (sum)</t>
  </si>
  <si>
    <t>TEV FINANCIAL MODEL INPUTS</t>
  </si>
  <si>
    <t>Projected P&amp;L, balance sheet, financing schedule and covenant ratios from the TEV model.</t>
  </si>
  <si>
    <t>Particulars (₹ Cr)</t>
  </si>
  <si>
    <t>TEV Source</t>
  </si>
  <si>
    <t>FY23</t>
  </si>
  <si>
    <t>[INCOME STATEMENT]</t>
  </si>
  <si>
    <t>PF!R13</t>
  </si>
  <si>
    <t>Total Operating Cost</t>
  </si>
  <si>
    <t>PF!R22</t>
  </si>
  <si>
    <t>PF!R23</t>
  </si>
  <si>
    <t>Depreciation</t>
  </si>
  <si>
    <t>PF!R24</t>
  </si>
  <si>
    <t>EBIT</t>
  </si>
  <si>
    <t>PF!R25</t>
  </si>
  <si>
    <t>Interest on Working Capital</t>
  </si>
  <si>
    <t>PF!R27</t>
  </si>
  <si>
    <t>Interest on Term Loan</t>
  </si>
  <si>
    <t>PF!R28</t>
  </si>
  <si>
    <t>PBT</t>
  </si>
  <si>
    <t>PF!R29</t>
  </si>
  <si>
    <t>Tax Expense (Current + Deferred)</t>
  </si>
  <si>
    <t>PF!R33</t>
  </si>
  <si>
    <t>PF!R34</t>
  </si>
  <si>
    <t>[BALANCE SHEET]</t>
  </si>
  <si>
    <t>Share Capital / Promoter Contribution</t>
  </si>
  <si>
    <t>PF!R84</t>
  </si>
  <si>
    <t>Reserves and Surplus</t>
  </si>
  <si>
    <t>PF!R85</t>
  </si>
  <si>
    <t>Total Equity (TNW)</t>
  </si>
  <si>
    <t>PF!R86</t>
  </si>
  <si>
    <t>Term Loan (Long Term Debt)</t>
  </si>
  <si>
    <t>PF!R89</t>
  </si>
  <si>
    <t>Deferred Tax Liability</t>
  </si>
  <si>
    <t>PF!R90</t>
  </si>
  <si>
    <t>Short Term Borrowings (WC)</t>
  </si>
  <si>
    <t>PF!R94</t>
  </si>
  <si>
    <t>Trade Payable</t>
  </si>
  <si>
    <t>PF!R95</t>
  </si>
  <si>
    <t>Total Current Liabilities</t>
  </si>
  <si>
    <t>PF!R97</t>
  </si>
  <si>
    <t>Total Equity &amp; Liabilities</t>
  </si>
  <si>
    <t>PF!R99</t>
  </si>
  <si>
    <t>Gross Block</t>
  </si>
  <si>
    <t>PF!R105</t>
  </si>
  <si>
    <t>Accumulated Depreciation</t>
  </si>
  <si>
    <t>PF!R106</t>
  </si>
  <si>
    <t>Net Block (Fixed Assets)</t>
  </si>
  <si>
    <t>PF!R107</t>
  </si>
  <si>
    <t>Capital Work in Progress</t>
  </si>
  <si>
    <t>PF!R108</t>
  </si>
  <si>
    <t>Cash &amp; Cash Equivalents</t>
  </si>
  <si>
    <t>PF!R113</t>
  </si>
  <si>
    <t>Inventories</t>
  </si>
  <si>
    <t>PF!R114</t>
  </si>
  <si>
    <t>Trade Receivables</t>
  </si>
  <si>
    <t>PF!R115</t>
  </si>
  <si>
    <t>Total Current Assets</t>
  </si>
  <si>
    <t>PF!R116</t>
  </si>
  <si>
    <t>Total Assets</t>
  </si>
  <si>
    <t>PF!R118</t>
  </si>
  <si>
    <t>[DEBT SCHEDULE, from Financing (Yrly)]</t>
  </si>
  <si>
    <t>Term Loan Beginning Balance</t>
  </si>
  <si>
    <t>Fin!R117</t>
  </si>
  <si>
    <t>Term Loan Addition (Drawdown)</t>
  </si>
  <si>
    <t>Fin!R118</t>
  </si>
  <si>
    <t>Term Loan Repayment (Principal)</t>
  </si>
  <si>
    <t>Fin!R119</t>
  </si>
  <si>
    <t>Term Loan Closing Balance</t>
  </si>
  <si>
    <t>Fin!R120</t>
  </si>
  <si>
    <t>Interest - Capitalised (IDC)</t>
  </si>
  <si>
    <t>Fin!R121</t>
  </si>
  <si>
    <t>Interest - Charged to P&amp;L</t>
  </si>
  <si>
    <t>Fin!R122</t>
  </si>
  <si>
    <t>[TEV PRE-COMPUTED COVENANT RATIOS]</t>
  </si>
  <si>
    <t>DSCR (TEV formula)</t>
  </si>
  <si>
    <t>Ind!R68</t>
  </si>
  <si>
    <t>ISCR (EBITDA/Total Interest)</t>
  </si>
  <si>
    <t>Ind!R78</t>
  </si>
  <si>
    <t>FACR (NB/LTD)</t>
  </si>
  <si>
    <t>Ind!R95</t>
  </si>
  <si>
    <t>LTD / EBITDA</t>
  </si>
  <si>
    <t>Ind!R87</t>
  </si>
  <si>
    <t>LTD / Equity</t>
  </si>
  <si>
    <t>Ind!R105</t>
  </si>
  <si>
    <t>TEV Total Project Cost 4,083.94 Cr (D:E 33.36:66.64; Term Loan 2,721.43 Cr at 9.40%, 12-yr). Difference vs Sanctioned 4,666 Cr = 1,971 Cr from supplemental facilities outside TEV scope: NFB 550 + FD-Backed 150 + ICICI Takeover 840 + HSBC 200 (post-haircut, FB Mains reclassification) + headroom items. TEV funded debt FY29 = 2,388 LT + 307 ST = 2,694.75 Cr - the economically correct exposure for covenant testing.</t>
  </si>
  <si>
    <t>INSTRUCTIONS &amp; ASSUMPTIONS</t>
  </si>
  <si>
    <t>Core model parameters. Change yellow input cells only; do not edit formulas or structure.</t>
  </si>
  <si>
    <t>A. CORE MODEL PARAMETERS</t>
  </si>
  <si>
    <t>Unit</t>
  </si>
  <si>
    <t>As-of Date</t>
  </si>
  <si>
    <t>date</t>
  </si>
  <si>
    <t>Drives remaining-tenor and covenant-period calculations.</t>
  </si>
  <si>
    <t>USD / INR FX Rate</t>
  </si>
  <si>
    <t>₹/USD</t>
  </si>
  <si>
    <t>Drives INR equivalents of USD-denominated facilities subject to sanction-letter caps.</t>
  </si>
  <si>
    <t>Use Full Utilisation = Sanctioned?</t>
  </si>
  <si>
    <t>TRUE/FALSE</t>
  </si>
  <si>
    <t>If TRUE, Effective Outstanding = Sanctioned. If FALSE, uses Current Outstanding from Facility Master Col N.</t>
  </si>
  <si>
    <t>Days in Year</t>
  </si>
  <si>
    <t>days</t>
  </si>
  <si>
    <t>Day-count convention for interest computation.</t>
  </si>
  <si>
    <t>Financial Basis</t>
  </si>
  <si>
    <t>Audited FY25</t>
  </si>
  <si>
    <t>Basis</t>
  </si>
  <si>
    <t>Single source: JFL audit report by N.C. Aggarwal &amp; Co., signed 28-Aug-2025 (UDIN: 25086622BMIBYO3693). All Section C inputs derive from this audit. Toggle is retired; placeholders (FY24A / FY26E) removed.</t>
  </si>
  <si>
    <t>Revised DCCO</t>
  </si>
  <si>
    <t>Consortium-aligned per UBI 20-Sep-2025 sanction letter.</t>
  </si>
  <si>
    <t>B. BENCHMARK RATES (per JFL sanction letters; flagged where indicative)</t>
  </si>
  <si>
    <t>Current Rate</t>
  </si>
  <si>
    <t>Source / Notes</t>
  </si>
  <si>
    <t>p.a.</t>
  </si>
  <si>
    <t>UBI RTL-I current effective rate basis: 8.90% + 0.50% = 9.40%. RTL-II at 8.60% MCLR + 0.50% = 9.10%.</t>
  </si>
  <si>
    <t>YBL TL: EBLR + 3.45%, current EBLR not stated in letter; placeholder estimate. CONFIRM at next reset.</t>
  </si>
  <si>
    <t>IDFC First sanction letter explicitly states EBLR 7.75%; spread +1.05% = 8.80%.</t>
  </si>
  <si>
    <t>ICICI TL CAL 27-Mar-2026 states I-MCLR-3M 8.10% + spread 0.60% = 8.70%.</t>
  </si>
  <si>
    <t>ICICI WC CAL 12-Feb-2026 states I-MCLR-6M 8.30% + spread 0.20% = 8.50%.</t>
  </si>
  <si>
    <t>HDFC CC effective rate 8.15% (linked to 14-day Repo) per HDFC Offer Letter.</t>
  </si>
  <si>
    <t>RBI Policy Repo Rate, May 2026 (used for ICICI WCDL).</t>
  </si>
  <si>
    <t>Indicative FD rate backing HDFC FD-OD facility.</t>
  </si>
  <si>
    <t>USD reference rate for HSBC FCY facilities (if any drawn in USD).</t>
  </si>
  <si>
    <t>Placeholder for RBL TL, RBL FDOD, HSBC all, HDFC pre/post-shipment/SBLC/WCDL, actual rates pending sanction-letter clarification.</t>
  </si>
  <si>
    <t>Placeholder for HSBC facilities, "mutually agreed at drawdown" per letter.</t>
  </si>
  <si>
    <t>Hedge / memo facilities, no interest applicable</t>
  </si>
  <si>
    <t>UBI RTL-II: 8.60% MCLR + 0.50% = 9.10%</t>
  </si>
  <si>
    <t>Indian Bank 1Y MCLR, assumed consortium-equivalent (~8.90%). Amendment ticket 26-Sep-2025 silent on ROI; defers to original sanction letter (not in file set). Spread 0.50% to effective 9.40% p.a. Treasury to confirm Indian Bank's actual MCLR at next reset and update this cell.</t>
  </si>
  <si>
    <t>C. JFL AUDITED FINANCIALS (FY25), N.C. Aggarwal &amp; Co., UDIN: 25086622BMIBYO3693</t>
  </si>
  <si>
    <t>Financial Item</t>
  </si>
  <si>
    <t>Value (₹ Cr)</t>
  </si>
  <si>
    <t>Source Reference</t>
  </si>
  <si>
    <t>Short Note</t>
  </si>
  <si>
    <t>P&amp;L + Note 39</t>
  </si>
  <si>
    <t>Pre-COD; FY25 is construction phase</t>
  </si>
  <si>
    <t>Total Debt (Gross)</t>
  </si>
  <si>
    <t>Note 36</t>
  </si>
  <si>
    <t>Incl. current maturities of LT debt</t>
  </si>
  <si>
    <t>Term Debt (LTD)</t>
  </si>
  <si>
    <t>Note 16</t>
  </si>
  <si>
    <t>Bank TL + Buyer's Credit; excl. ICDs</t>
  </si>
  <si>
    <t>TNW</t>
  </si>
  <si>
    <t>BS Equity, Note 14E</t>
  </si>
  <si>
    <t>Equity share capital + Other equity</t>
  </si>
  <si>
    <t>Adjusted TNW (ATNW)</t>
  </si>
  <si>
    <t>BS Equity (=TNW)</t>
  </si>
  <si>
    <t>No goodwill; DTA ₹42 L immaterial</t>
  </si>
  <si>
    <t>Current Assets</t>
  </si>
  <si>
    <t>BS, Note 32</t>
  </si>
  <si>
    <t>Excl. Assets-held-for-sale</t>
  </si>
  <si>
    <t>Current Liabilities</t>
  </si>
  <si>
    <t>Excl. Liab-of-held-for-sale</t>
  </si>
  <si>
    <t>TOL</t>
  </si>
  <si>
    <t>BS: Assets − Equity</t>
  </si>
  <si>
    <t>All current + non-current liabilities</t>
  </si>
  <si>
    <t>Interest Expense (TTM)</t>
  </si>
  <si>
    <t>Note 2B CWIP</t>
  </si>
  <si>
    <t>Capitalised under Ind AS 23</t>
  </si>
  <si>
    <t>Note 2A + 2B</t>
  </si>
  <si>
    <t>Pre-COD, dominated by CWIP</t>
  </si>
  <si>
    <t>Secured Debt</t>
  </si>
  <si>
    <t>Secured TL + Buyer's Credit</t>
  </si>
  <si>
    <t>External Rating</t>
  </si>
  <si>
    <t>Pending</t>
  </si>
  <si>
    <t>Treasury input req'd</t>
  </si>
  <si>
    <t>FLAG: not in audit; threshold BBB+/A-</t>
  </si>
  <si>
    <t>Promoter Shareholding</t>
  </si>
  <si>
    <t>Note 14E</t>
  </si>
  <si>
    <t>100% promoter group</t>
  </si>
  <si>
    <t>Principal Repayment (TTM)</t>
  </si>
  <si>
    <t>Repayment commences Jun-2026</t>
  </si>
  <si>
    <t>Tax Paid (TTM)</t>
  </si>
  <si>
    <t>Cash Flow Statement</t>
  </si>
  <si>
    <t>Advance tax / TDS</t>
  </si>
  <si>
    <t>Scheduled TL Repay (next 12M)</t>
  </si>
  <si>
    <t>First repayment Jun-2026 to zero FY25</t>
  </si>
  <si>
    <t>D. SANCTION-LETTER BINDING CAPS (₹ Cr)</t>
  </si>
  <si>
    <t>Cap / Facility</t>
  </si>
  <si>
    <t>UBI Total Project TL</t>
  </si>
  <si>
    <t>UBI NFB Total (LC + BG)</t>
  </si>
  <si>
    <t>Indian Bank TL (derived)</t>
  </si>
  <si>
    <t>RBL Total Sanctioned (ex FD-backed)</t>
  </si>
  <si>
    <t>YES Bank Total Sanctioned</t>
  </si>
  <si>
    <t>IDFC First TL</t>
  </si>
  <si>
    <t>IDFC First NFB (stated headline)</t>
  </si>
  <si>
    <t>ICICI WC Total</t>
  </si>
  <si>
    <t>ICICI TL (Takeover only)</t>
  </si>
  <si>
    <t>HSBC Combined Uncommitted</t>
  </si>
  <si>
    <t>HDFC Total Sanctioned</t>
  </si>
  <si>
    <t>E. TERM LOAN DATE OVERRIDES</t>
  </si>
  <si>
    <t>Date Reference</t>
  </si>
  <si>
    <t>Date</t>
  </si>
  <si>
    <t>UBI RTL-I Maturity</t>
  </si>
  <si>
    <t>UBI RTL-I Rep Start</t>
  </si>
  <si>
    <t>UBI RTL-II Maturity</t>
  </si>
  <si>
    <t>UBI RTL-II Rep Start</t>
  </si>
  <si>
    <t>Indian Bank TL Maturity</t>
  </si>
  <si>
    <t>Indian Bank TL Rep Start</t>
  </si>
  <si>
    <t>RBL TL Maturity (bullet)</t>
  </si>
  <si>
    <t>YBL TL Maturity</t>
  </si>
  <si>
    <t>YBL TL Rep Start</t>
  </si>
  <si>
    <t>IDFC TL Maturity</t>
  </si>
  <si>
    <t>IDFC TL Rep Start</t>
  </si>
  <si>
    <t>ICICI TL Maturity</t>
  </si>
  <si>
    <t>ICICI TL Rep Start</t>
  </si>
  <si>
    <t>F. TERM LOAN S.No REFERENCES (for INDEX/MATCH)</t>
  </si>
  <si>
    <t>UBI RTL-I S.No</t>
  </si>
  <si>
    <t>UBI RTL-II S.No</t>
  </si>
  <si>
    <t>Indian Bank TL S.No</t>
  </si>
  <si>
    <t>RBL TL S.No</t>
  </si>
  <si>
    <t>YBL TL S.No</t>
  </si>
  <si>
    <t>IDFC TL S.No</t>
  </si>
  <si>
    <t>ICICI CC S.No</t>
  </si>
  <si>
    <t>ICICI TL S.No</t>
  </si>
  <si>
    <t>G. RATING-TIER ORDINAL MAP (higher = better rating)</t>
  </si>
  <si>
    <t>Rating Token</t>
  </si>
  <si>
    <t>Ordinal</t>
  </si>
  <si>
    <t>AAA</t>
  </si>
  <si>
    <t>Investment grade, highest</t>
  </si>
  <si>
    <t>AA+</t>
  </si>
  <si>
    <t>AA</t>
  </si>
  <si>
    <t>AA-</t>
  </si>
  <si>
    <t>A+</t>
  </si>
  <si>
    <t>JFL rating context: typically A+ to A range</t>
  </si>
  <si>
    <t>A</t>
  </si>
  <si>
    <t>A-</t>
  </si>
  <si>
    <t>Common minimum rating covenant</t>
  </si>
  <si>
    <t>BBB+</t>
  </si>
  <si>
    <t>RBL TL minimum (180 days)</t>
  </si>
  <si>
    <t>BBB</t>
  </si>
  <si>
    <t>BBB-</t>
  </si>
  <si>
    <t>BB+</t>
  </si>
  <si>
    <t>Below investment grade</t>
  </si>
  <si>
    <t>BB or below</t>
  </si>
  <si>
    <t>MARKET-PRACTICE ASSUMPTIONS</t>
  </si>
  <si>
    <t>Market-practice modelling decisions where source documents are silent or ambiguous.</t>
  </si>
  <si>
    <t>R9, R47, R48, R49, R50</t>
  </si>
  <si>
    <t>Consortium-standard 5-covenant pack (DSCR ≥1.25, FACR ≥1.20, ISCR ≥2.00, LTD/EBITDA ≤4.00, LTD/Equity ≤2.00)</t>
  </si>
  <si>
    <t>Indian Bank's 26-Sep-2025 letter is an AMENDMENT TICKET only (loan amount ₹235 Cr derived from revised repayment schedule). The original Indian Bank sanction letter is NOT in the file set, so specific covenant clauses are unavailable.</t>
  </si>
  <si>
    <t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</si>
  <si>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covenants, materially understating compliance risk.</t>
  </si>
  <si>
    <t>• Lexology, 'In brief: loan document terms in India' (lexology.com, Jun-2025): standard Indian loan-document financial-maintenance covenants are 'DSCR (EBITDA ÷ (Interest + Principal)), net worth ratio, leverage covenants such as debt-to-EBITDA and debt-to-equity.' • Precisa,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</si>
  <si>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>R21</t>
  </si>
  <si>
    <t>Quasi-Equity Cap ≤ ₹337.50 Cr (actual drawn computation)</t>
  </si>
  <si>
    <t>Sanction letter explicitly states cap of ₹337.50 Cr (vs ₹408.60 Cr in other consortium letters,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</si>
  <si>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>Quasi-Equity Drawn = ₹856.76 Cr (sum of all promoter-group ICDs from audit Note 16+18). This EXCEEDS the ₹337.50 Cr cap to covenant breached under market-practice interpretation.</t>
  </si>
  <si>
    <t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treatment, it simply doesn't explicitly classify the ICDs. CAVEAT: A strict legal reading (only formally subordinated debt) would give Quasi-Equity Drawn = 0 to covenant complied. Bank's interpretation is the binding one, CONFIRM with IDFC.</t>
  </si>
  <si>
    <t>• Law Insider,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repaid, i.e., de facto subordinated. • Audit Note 16+18 = primary source for ICD amounts.</t>
  </si>
  <si>
    <t>R27</t>
  </si>
  <si>
    <t>Min Promoter Contribution ≥ ₹1,363 Cr</t>
  </si>
  <si>
    <t>RBL letter specifies the ₹1,363 Cr threshold but does not define 'Promoter Contribution'. Audit Note 14E discloses 100% promoter shareholding (OPJ 82.51% + JSL 17.49% + Virtuous Tradecorp 0.00%) on equity of ₹993.45 Cr. Audit Note 16+18 discloses related-party ICDs as above.</t>
  </si>
  <si>
    <t>Promoter Contribution = Equity (₹993.45 Cr, 100% promoter-held) + promoter-group ICDs (₹856.76 Cr) = ₹1,850.21 Cr. Compared to threshold ₹1,363 Cr to COMPLIANT.</t>
  </si>
  <si>
    <t>Same reasoning as the IDFC Quasi-Equity Cap line above, Law Insider's canonical Promoter Contribution definition includes both equity AND 'subordinate loan or unsecured loan provided by promoters'. Excluding ICDs would mean only ₹993.45 Cr equity counts to covenant breached (₹993.45 &lt; ₹1,363). The market-practice inclusion is defensible per Law Insider; strict legal exclusion would breach. CAVEAT: Same caveat as above, CONFIRM with RBL.</t>
  </si>
  <si>
    <t>Same as above, Law Insider 'Promoter Contribution' definition + Vinod Kothari (MCA Rule 2(1)(c)(xiii)) + Audit Notes 14E, 16, 18 for the underlying amounts.</t>
  </si>
  <si>
    <t>R6, R12, R18, R24, R38, R48 (ISCR rows)</t>
  </si>
  <si>
    <t>All consortium</t>
  </si>
  <si>
    <t>ISCR = EBITDA / Interest Expense (interpretation of 'Interest')</t>
  </si>
  <si>
    <t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</si>
  <si>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>Used 'total interest incurred' = ₹182.96 Cr (capitalised + P&amp;L) as ISCR denominator. This is the actual economic interest burden on the borrower.</t>
  </si>
  <si>
    <t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anyway, using total interest incurred from FY25 is the most representative current-state proxy.</t>
  </si>
  <si>
    <t>• Lexology, Indian loan-doc covenants typically calculated on 'EBITDA and total interest', not just P&amp;L charge. • EvoInfra, 'Debt Service Cover Ratio' primer: DSCR/ISCR for project finance uses CFADS / total scheduled debt service, including capitalised interest pre-COD. • Ind AS 23, Borrowing costs disclosure (Audit Note 2B): JFL capitalises ₹182.96 Cr interest to CWIP during FY25 = the binding economic interest burden.</t>
  </si>
  <si>
    <t>R8, R14, R20, R26, R40, R50 (LTD/Equity rows)</t>
  </si>
  <si>
    <t>LTD/Equity denominator = 'Equity' interpretation</t>
  </si>
  <si>
    <t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</si>
  <si>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>TNW = Total Equity ₹993.45 Cr (i.e., no deductions for intangibles or DTA, since both immaterial/nil).</t>
  </si>
  <si>
    <t>Strict TNW definition (Equity − Intangibles − DTA) would give ₹993.03 Cr, difference is ₹0.42 Cr (0.04% impact on the ratio). Using Total Equity gives the most defensible answer and aligns with how the auditor computed Note 32 Debt-Equity ratio (2.53 = 2,514.42 ÷ 993.45 = matches audit exactly).</t>
  </si>
  <si>
    <t>• Lexology, Indian loan doc 'minimum net worth is calculated as total assets minus total liabilities' i.e., = Total Equity by definition. • Audit Note 32, auditor's own Debt-Equity calc divides by ₹993.45 Cr (matches our denominator).</t>
  </si>
  <si>
    <t>R31</t>
  </si>
  <si>
    <t>TOL definition</t>
  </si>
  <si>
    <t>Sanction letter says 'TOL ÷ TNW ≤ 2.50x' but does not define TOL precisely. Audit BS: Total Assets ₹3,928.47 Cr − Total Equity ₹993.45 Cr = ₹2,935.01 Cr.</t>
  </si>
  <si>
    <t>TOL = Total Liabilities = Total Assets − Total Equity = ₹2,935.01 Cr.</t>
  </si>
  <si>
    <t>Standard Indian banking definition of 'Total Outside Liabilities' = all liabilities to outsiders = all liabilities on the BS net of equity. Lexology confirms this standard. Computed ratio 2.954x vs threshold 2.50x to breached. This is the most expansive (lender-favourable) definition; alternative narrower definitions (excluding payables or provisions) would only INCREASE the ratio.</t>
  </si>
  <si>
    <t>• Lexology, Indian loan-doc primer. • ICAI Guidance Note on Audit (Note 32 of audit report).</t>
  </si>
  <si>
    <t>R21 (Quasi Equity)</t>
  </si>
  <si>
    <t>Quasi Equity FY29 = ₹0 (TEV-consistent)</t>
  </si>
  <si>
    <t>Audit Note 16/18 shows ICDs ₹856.76 Cr at FY25 (JCL + JSL Overseas). TEV financing plan does NOT carry these forward, implicit assumption that ICDs are repaid or converted to equity before COD (Apr-2026). Choosing TEV as means accepting this assumption. Forcing audit values into a TEV-based forward projection would be internally inconsistent.</t>
  </si>
  <si>
    <t>Used in R21 IDFC Quasi-Eq Cap evaluation</t>
  </si>
  <si>
    <t>Quasi Equity = ₹0 vs cap ₹337.5 Cr to COMPLIANT</t>
  </si>
  <si>
    <t>Material, was the only Breached covenant in earlier (pre-V&amp;V) model state; resolves under TEV consistency</t>
  </si>
  <si>
    <t>Management to confirm with IDFC the pre-COD ICD resolution plan (subordination, conversion, or repayment).</t>
  </si>
  <si>
    <t>R28 (RBL) + R35 (HDFC) JSL FMV Cover</t>
  </si>
  <si>
    <t>JSL FMV Cover computed from NSE data with 80% unencumbered assumption</t>
  </si>
  <si>
    <t>JSL share price ₹749.50 (NSE close 18-May-2026); promoter holding 62.05% × 824,419,588 shares = ₹61,790 Cr MCap; promoter value ₹38,341 Cr; unencumbered 80% = ₹30,673 Cr.</t>
  </si>
  <si>
    <t>Used for R28 (RBL) and R35 (HDFC) JSL FMV cover</t>
  </si>
  <si>
    <t>Unencumbered ₹30,673 Cr / JFL Total Debt ₹2,695 Cr = 11.38x vs threshold 2.50x to COMPLIANT (R28); R35 same calc to Compliant</t>
  </si>
  <si>
    <t>Resolves 2 previously-Pending covenants; massive headroom (366% above threshold)</t>
  </si>
  <si>
    <t>REFRESHED Iter 1 v4 (18-May-2026): Live NSE data verified; cover ratio recomputed.</t>
  </si>
  <si>
    <t>R43 (HSBC) JSL Pledge Cap</t>
  </si>
  <si>
    <t>Pledge % computed = pledged value / JSL total listed market cap</t>
  </si>
  <si>
    <t>Same inputs as the JSL FMV cover line above (price ₹749.50). Pledged value = 20% of promoter holding = ₹7,668 Cr. JSL total MCap = ₹61,790 Cr. Pledge ratio = 12.41%.</t>
  </si>
  <si>
    <t>Used for R43 HSBC Listed-Securities Cap</t>
  </si>
  <si>
    <t>12.41% vs cap 40.00% to COMPLIANT with 27.59pp headroom</t>
  </si>
  <si>
    <t>Resolves R43 Pending status. HSBC's covenant is structurally hard to breach given JSL market size.</t>
  </si>
  <si>
    <t>REFRESHED Iter 1 v4 (18-May-2026): Live NSE data verified.</t>
  </si>
  <si>
    <t>R16 (IDFC DSCR, Current Tax proxy)</t>
  </si>
  <si>
    <t>Conservative tax substitution for IDFC DSCR numerator</t>
  </si>
  <si>
    <t>IDFC SL p.12 defines DSCR numerator as (EBIDTA − Current Tax) where 'current tax' is the cash-basis annual tax liability for the period. TEV FY29 P&amp;L publishes only Total Tax Expense ₹116.717 Cr (current + deferred) without further split.</t>
  </si>
  <si>
    <t>Substituted Total Tax Expense ₹116.717 Cr in place of Current Tax for FY29. This is conservative, a deferred-tax credit would lift the numerator and DSCR; treating both as 'current' tightens the test against the company.</t>
  </si>
  <si>
    <t>Used in R16 IDFC DSCR formula: (EBITDA − WCInt − Tax) / (TL Prin + TL Int) = (957.362 − 28.830 − 116.717) / (163.286 + 233.111) = 2.048x vs 1.25 threshold to COMPLIANT</t>
  </si>
  <si>
    <t>Without this proxy, the IDFC-specific DSCR cannot be computed from TEV, only the generic consortium DSCR (1.80x) would be available, which the IDFC SL p.12 expressly rejects. Conservative substitution preserves IDFC's intent.</t>
  </si>
  <si>
    <t>(1) TEV FY29 P&amp;L (Indicators sheet col 10); (2) IDFC First SL 09-Jan-2026 p.12 DSCR clause; (3) Indian Accounting Standards (Ind AS 12), current vs deferred tax.</t>
  </si>
  <si>
    <t>R9 (Covenant Tracker) + Facility Master R10</t>
  </si>
  <si>
    <t>Indian Bank TL Interest Rate</t>
  </si>
  <si>
    <t>Amendment ticket LCB/Del/JFL/2025-26 (26-Sep-2025) silent on ROI, references only "applicable ROI" from existing sanction. Original Indian Bank sanction letter not in file set. 1.00% penal charge applied over applicable ROI until IDCO NOC obtained (deadline extended to 31.12.2025).</t>
  </si>
  <si>
    <t>Applied 1Y MCLR (Indian Bank) ~8.90% + 0.50% spread = 9.40% p.a., consortium-aligned with UBI RTL-I structure.</t>
  </si>
  <si>
    <t>(1) Indian Bank is a consortium member, consortium-standard MCLR + 50 bps pricing is the canonical proxy when the original sanction letter is unavailable. (2) Corrects previous spread-only fallback (0.50%) caused by unrecognised benchmark label "TBD (Indian Bank)" in the VLOOKUP table.</t>
  </si>
  <si>
    <t>Indian Bank Sanction Ticket LCB/Del/JFL/2025-26 dated 26-Sep-2025; UBI SL 20-Sep-2025 (consortium benchmark peer)</t>
  </si>
  <si>
    <t>Facility Master R23-R37 (all HSBC rows) + H23 bucket</t>
  </si>
  <si>
    <t>HSBC Realistic-Exposure Haircut (÷5) + Reclassification to Bucket 1</t>
  </si>
  <si>
    <t>HSBC Combined Limit ₹1,000 Cr per SL (ref GBM NDH 260475, 27-Feb-2026) is fully Uncommitted. Two-part adjustment applied: (1) 20% haircut (÷5) to all face values, ₹1,000 Cr to ₹200 Cr; sub-limits scaled proportionally. (2) Haircut ₹200 Cr reclassified from Bucket 4 (Uncommitted Memo) to Bucket 1 (Sanctioned / FB Mains), treated as the realistic committed amount HSBC will maintain given the consortium relationship and JFL's project scale.</t>
  </si>
  <si>
    <t>Sanctioned Debt increases from ₹4,466 Cr to ₹4,666 Cr. FB Mains from ₹3,916 to ₹4,116 Cr. Annual run-rate interest +₹18 Cr (to ₹393.161 Cr). WAC barely changes (9.158% to 9.150%). Uncommitted Memo (Bucket 4) drops to zero.</t>
  </si>
  <si>
    <t>(1) ₹1,000 Cr face is uncommitted noise, not bankable in a committed-debt analysis; (2) Conservative ₹200 Cr haircut represents realistic steady-state drawdown for a post-DCCO ferrous steel project; (3) HSBC is a consortium member with signed SL, treating ₹200 Cr as sanctioned is defensible for TEV-based credit analysis; (4) Legal risk remains, HSBC can withdraw with no recourse. This is disclosed via (High severity) and.</t>
  </si>
  <si>
    <t>HSBC Facilities Letter ref GBM NDH 260475 dated 27-Feb-2026; credit-committee / mentor guidance.</t>
  </si>
  <si>
    <t>PROJECT NOTES</t>
  </si>
  <si>
    <t>Sources</t>
  </si>
  <si>
    <t>Lead bank. Letter dated 20-Sep-2025. RTL-I 1,125 Cr, RTL-II 236 Cr, LC/UPA/BG, hedge memo 75 Cr.</t>
  </si>
  <si>
    <t>Letter dated 26-Sep-2025. Amendment-only sanction ticket; 235 Cr TL derived from repayment table.</t>
  </si>
  <si>
    <t>Letter dated 13-Nov-2025. 200 Cr TL (12-month bullet bridge), 100 Cr FDOD, sub-limits.</t>
  </si>
  <si>
    <t>Letter dated 29-Dec-2025. 650 Cr TL plus capex LC sub-limit.</t>
  </si>
  <si>
    <t>Letter dated 09-Jan-2026 (accepted 14-Jan-2026). 530 Cr RTL plus NFB sub-limits.</t>
  </si>
  <si>
    <t>ICICI WC</t>
  </si>
  <si>
    <t>CAL dated 12-Feb-2026 (Yatin Tyagi, Zonal Head). 400 Cr WC with CC/WCDL/LC sub-limits.</t>
  </si>
  <si>
    <t>Sanction dated 20-Mar-2026. 840 Cr term loan takeover of disbursed consortium debt.</t>
  </si>
  <si>
    <t>Sanction dated 31-Jan-2026. 250 Cr LC parent with multiple sub-limits, FD-OD 50 Cr.</t>
  </si>
  <si>
    <t>1,000 Cr combined limit, uncommitted. Modelled at 200 Cr in FB Mains post 20% haircut.</t>
  </si>
  <si>
    <t>TEV Model</t>
  </si>
  <si>
    <t>JFL TEV Financial Model from Resurgent India (Sep-2025). FY24-FY38 projected financials.</t>
  </si>
  <si>
    <t>Audit</t>
  </si>
  <si>
    <t>Statutory audit FY25 (N.C. Aggarwal &amp; Co.). Pre-COD financials.</t>
  </si>
  <si>
    <t>Bucket Framework</t>
  </si>
  <si>
    <t>Bucket 1 (FB Mains): fund-based parent facilities, 4,116 Cr.</t>
  </si>
  <si>
    <t>Bucket 2 (NFB Mains): independent NFB parents, 550 Cr (ICICI WC LC 300 + HDFC LC 250).</t>
  </si>
  <si>
    <t>Bucket 3 (FD-Backed): self-collateralised by fixed deposits, 150 Cr.</t>
  </si>
  <si>
    <t>Bucket 4 (Uncommitted): 0 Cr after HSBC reclassification to Bucket 1.</t>
  </si>
  <si>
    <t>Hedge Memo: UBI Forward Contract credit-equivalent, 75 Cr. Not in sanctioned debt.</t>
  </si>
  <si>
    <t>Headline Numbers</t>
  </si>
  <si>
    <t>Sanctioned Debt: 4,666 Cr (Bucket 1 + Bucket 2).</t>
  </si>
  <si>
    <t>Adjusted Consortium Debt: 3,826 Cr (Sanctioned less ICICI TL takeover 840 Cr).</t>
  </si>
  <si>
    <t>Total Project Cost: 4,083.94 Cr (D:E 66.64:33.36). TEV funded debt 2,694.75 Cr.</t>
  </si>
  <si>
    <t>Weighted average cost of FB debt: 9.15% p.a.</t>
  </si>
  <si>
    <t>Annual run-rate interest and commission: 393.16 Cr.</t>
  </si>
  <si>
    <t>Jindal Ferrous Limited - Debt Model | As of 12-May-2026</t>
  </si>
  <si>
    <t>Lender-by-lender sanction references and model headline figures.</t>
  </si>
  <si>
    <t>Sources — Lender Sanctions</t>
  </si>
  <si>
    <t>Other Sources</t>
  </si>
  <si>
    <t>FB Mains</t>
  </si>
  <si>
    <t>NFB Mains</t>
  </si>
  <si>
    <t>Uncommitted</t>
  </si>
  <si>
    <t>Total Project Cost</t>
  </si>
  <si>
    <t>WAC of FB Debt</t>
  </si>
  <si>
    <t>Run-Rate Interest</t>
  </si>
  <si>
    <t>By Divyanshu Vatsa</t>
  </si>
  <si>
    <t>🔴  Validity passed</t>
  </si>
  <si>
    <t>🟡  Maturing ≤ 1yr</t>
  </si>
  <si>
    <t>🟢  Valid</t>
  </si>
  <si>
    <t>🔵  Term Loan, On Schedule</t>
  </si>
  <si>
    <t>Expired or validity lapsed — confirm renewal immediately</t>
  </si>
  <si>
    <t>Within 12 months — begin refinance or renewal planning</t>
  </si>
  <si>
    <t>Within validity period, no action required</t>
  </si>
  <si>
    <t>Tenor runs to final maturity — no periodic renewal needed</t>
  </si>
  <si>
    <t>Section 1 — Covenant Assumptions</t>
  </si>
  <si>
    <t>What the SL says</t>
  </si>
  <si>
    <t>Our assumption</t>
  </si>
  <si>
    <t>Rationale &amp; caveats</t>
  </si>
  <si>
    <t>A note on methodology</t>
  </si>
  <si>
    <t>Cells marked MP in the Covenant Tracker are shaded amber. Each assumption is independently sourced and documented. Where market practice is more lenient or more onerous than a strict reading, both interpretations are shown — the binding call rests with the lender.</t>
  </si>
  <si>
    <t>Section 2 — Additional FY29 TEV Decisions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</si>
</sst>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#,##0.00;\(#,##0.00\);\-"/>
    <numFmt numFmtId="165" formatCode="0.00%;\-0.00%;\-"/>
    <numFmt numFmtId="166" formatCode="0.000%"/>
    <numFmt numFmtId="167" formatCode="#,##0.000"/>
    <numFmt numFmtId="168" formatCode="#,##0;\-#,##0;\-"/>
    <numFmt numFmtId="169" formatCode="0.0%"/>
    <numFmt numFmtId="170" formatCode="#,##0.00;\(#,##0.00\);\—"/>
    <numFmt numFmtId="171" formatCode="0.00\x"/>
    <numFmt numFmtId="172" formatCode="\+0.00\x;\(0.00&quot;x)&quot;;\—"/>
    <numFmt numFmtId="173" formatCode="\+#,##0.00;\(#,##0.00\);\—"/>
    <numFmt numFmtId="174" formatCode="\+0;\(0\);\—"/>
    <numFmt numFmtId="175" formatCode="\+0.00%;\(0.00%\);\—"/>
    <numFmt numFmtId="176" formatCode="dd/mmm/yyyy"/>
    <numFmt numFmtId="177" formatCode="yyyy/mm/dd"/>
    <numFmt numFmtId="178" formatCode="#,##0.000;\(#,##0.000\);\—"/>
    <numFmt numFmtId="179" formatCode="d\-mmm\-yy"/>
    <numFmt numFmtId="180" formatCode="&quot;N/A&quot;"/>
    <numFmt numFmtId="181" formatCode="#,##0;\(#,##0\);\—"/>
    <numFmt numFmtId="182" formatCode="d/mmm/yy"/>
  </numFmts>
  <fonts count="181" x14ac:knownFonts="1">
    <font>
      <sz val="11"/>
      <color theme="1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2"/>
      <color rgb="FFFFFFFF"/>
      <name val="Calibri"/>
      <family val="2"/>
      <charset val="1"/>
    </font>
    <font>
      <i/>
      <sz val="10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rgb="FF404040"/>
      <name val="Calibri"/>
      <family val="2"/>
      <charset val="1"/>
    </font>
    <font>
      <sz val="10"/>
      <color rgb="FF006400"/>
      <name val="Calibri"/>
      <family val="2"/>
      <charset val="1"/>
    </font>
    <font>
      <b/>
      <sz val="11"/>
      <color rgb="FF0064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9"/>
      <color rgb="FF595959"/>
      <name val="Calibri"/>
      <family val="2"/>
      <charset val="1"/>
    </font>
    <font>
      <b/>
      <sz val="16"/>
      <color rgb="FFFFFFFF"/>
      <name val="Calibri"/>
      <family val="2"/>
      <charset val="1"/>
    </font>
    <font>
      <i/>
      <sz val="9"/>
      <color rgb="FFB8CCEA"/>
      <name val="Calibri"/>
      <family val="2"/>
      <charset val="1"/>
    </font>
    <font>
      <sz val="9"/>
      <color rgb="FFB8CCEA"/>
      <name val="Calibri"/>
      <family val="2"/>
      <charset val="1"/>
    </font>
    <font>
      <b/>
      <sz val="9"/>
      <color rgb="FF6EE7A0"/>
      <name val="Calibri"/>
      <family val="2"/>
      <charset val="1"/>
    </font>
    <font>
      <b/>
      <sz val="11"/>
      <color rgb="FFFFFFFF"/>
      <name val="Arial"/>
      <family val="2"/>
      <charset val="1"/>
    </font>
    <font>
      <sz val="11"/>
      <color theme="1"/>
      <name val="Arial"/>
      <family val="2"/>
      <charset val="1"/>
    </font>
    <font>
      <b/>
      <sz val="10"/>
      <color rgb="FFFFFFFF"/>
      <name val="Calibri"/>
      <family val="2"/>
      <charset val="1"/>
    </font>
    <font>
      <b/>
      <sz val="8"/>
      <color rgb="FFC8DCF5"/>
      <name val="Calibri"/>
      <family val="2"/>
      <charset val="1"/>
    </font>
    <font>
      <b/>
      <sz val="18"/>
      <color rgb="FF1F3864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i/>
      <sz val="8"/>
      <color rgb="FF1A3A5C"/>
      <name val="Calibri"/>
      <family val="2"/>
      <charset val="1"/>
    </font>
    <font>
      <sz val="8"/>
      <color rgb="FF1A3A5C"/>
      <name val="Calibri"/>
      <family val="2"/>
      <charset val="1"/>
    </font>
    <font>
      <b/>
      <sz val="18"/>
      <color rgb="FF1E6B3C"/>
      <name val="Calibri"/>
      <family val="2"/>
      <charset val="1"/>
    </font>
    <font>
      <b/>
      <sz val="18"/>
      <color rgb="FF92400E"/>
      <name val="Calibri"/>
      <family val="2"/>
      <charset val="1"/>
    </font>
    <font>
      <b/>
      <sz val="18"/>
      <color rgb="FF991B1B"/>
      <name val="Calibri"/>
      <family val="2"/>
      <charset val="1"/>
    </font>
    <font>
      <b/>
      <i/>
      <sz val="8"/>
      <color rgb="FF4A6FA5"/>
      <name val="Calibri"/>
      <family val="2"/>
      <charset val="1"/>
    </font>
    <font>
      <i/>
      <sz val="8"/>
      <color rgb="FF4A6FA5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1F3864"/>
      <name val="Calibri"/>
      <family val="2"/>
      <charset val="1"/>
    </font>
    <font>
      <sz val="9"/>
      <color rgb="FF1F6391"/>
      <name val="Calibri"/>
      <family val="2"/>
      <charset val="1"/>
    </font>
    <font>
      <i/>
      <sz val="9"/>
      <color rgb="FF1F3864"/>
      <name val="Calibri"/>
      <family val="2"/>
      <charset val="1"/>
    </font>
    <font>
      <i/>
      <sz val="9"/>
      <color rgb="FF1F6391"/>
      <name val="Calibri"/>
      <family val="2"/>
      <charset val="1"/>
    </font>
    <font>
      <b/>
      <i/>
      <sz val="9"/>
      <color rgb="FF1F3864"/>
      <name val="Calibri"/>
      <family val="2"/>
      <charset val="1"/>
    </font>
    <font>
      <b/>
      <sz val="9"/>
      <color rgb="FFC9A84C"/>
      <name val="Calibri"/>
      <family val="2"/>
      <charset val="1"/>
    </font>
    <font>
      <b/>
      <sz val="9"/>
      <color rgb="FF7B4F00"/>
      <name val="Calibri"/>
      <family val="2"/>
      <charset val="1"/>
    </font>
    <font>
      <b/>
      <sz val="9"/>
      <color rgb="FF1F6391"/>
      <name val="Calibri"/>
      <family val="2"/>
      <charset val="1"/>
    </font>
    <font>
      <b/>
      <sz val="8"/>
      <color rgb="FFFFFFFF"/>
      <name val="Calibri"/>
      <family val="2"/>
      <charset val="1"/>
    </font>
    <font>
      <b/>
      <sz val="9"/>
      <color rgb="FF1A3A5C"/>
      <name val="Calibri"/>
      <family val="2"/>
      <charset val="1"/>
    </font>
    <font>
      <b/>
      <sz val="10"/>
      <color rgb="FF1A78C2"/>
      <name val="Calibri"/>
      <family val="2"/>
      <charset val="1"/>
    </font>
    <font>
      <b/>
      <sz val="9"/>
      <color rgb="FF0D4A38"/>
      <name val="Calibri"/>
      <family val="2"/>
      <charset val="1"/>
    </font>
    <font>
      <b/>
      <sz val="10"/>
      <color rgb="FF1A9E72"/>
      <name val="Calibri"/>
      <family val="2"/>
      <charset val="1"/>
    </font>
    <font>
      <b/>
      <sz val="9"/>
      <color rgb="FF6B4F10"/>
      <name val="Calibri"/>
      <family val="2"/>
      <charset val="1"/>
    </font>
    <font>
      <sz val="10"/>
      <color rgb="FFC09B30"/>
      <name val="Calibri"/>
      <family val="2"/>
      <charset val="1"/>
    </font>
    <font>
      <b/>
      <sz val="9"/>
      <color rgb="FF4A1A6B"/>
      <name val="Calibri"/>
      <family val="2"/>
      <charset val="1"/>
    </font>
    <font>
      <sz val="10"/>
      <color rgb="FF7D3C98"/>
      <name val="Calibri"/>
      <family val="2"/>
      <charset val="1"/>
    </font>
    <font>
      <b/>
      <sz val="9"/>
      <color rgb="FF37474F"/>
      <name val="Calibri"/>
      <family val="2"/>
      <charset val="1"/>
    </font>
    <font>
      <sz val="10"/>
      <color rgb="FF607D8B"/>
      <name val="Calibri"/>
      <family val="2"/>
      <charset val="1"/>
    </font>
    <font>
      <b/>
      <sz val="9"/>
      <color rgb="FF1F3864"/>
      <name val="Calibri"/>
      <family val="2"/>
      <charset val="1"/>
    </font>
    <font>
      <i/>
      <sz val="7"/>
      <color rgb="FF6B84B5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808080"/>
      <name val="Arial"/>
      <family val="2"/>
      <charset val="1"/>
    </font>
    <font>
      <b/>
      <sz val="10"/>
      <color rgb="FF006400"/>
      <name val="Calibri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006400"/>
      <name val="Arial"/>
      <family val="2"/>
      <charset val="1"/>
    </font>
    <font>
      <i/>
      <sz val="9"/>
      <color rgb="FF595959"/>
      <name val="Arial"/>
      <family val="2"/>
      <charset val="1"/>
    </font>
    <font>
      <sz val="10"/>
      <color rgb="FFBFBFBF"/>
      <name val="Arial"/>
      <family val="2"/>
      <charset val="1"/>
    </font>
    <font>
      <i/>
      <sz val="10"/>
      <color rgb="FF000000"/>
      <name val="Arial"/>
      <family val="2"/>
      <charset val="1"/>
    </font>
    <font>
      <b/>
      <sz val="10"/>
      <color rgb="FF7F5C00"/>
      <name val="Arial"/>
      <family val="2"/>
      <charset val="1"/>
    </font>
    <font>
      <b/>
      <sz val="10"/>
      <color rgb="FF9C6500"/>
      <name val="Arial"/>
      <family val="2"/>
      <charset val="1"/>
    </font>
    <font>
      <b/>
      <sz val="11"/>
      <color rgb="FF006400"/>
      <name val="Arial"/>
      <family val="2"/>
      <charset val="1"/>
    </font>
    <font>
      <b/>
      <sz val="11"/>
      <color rgb="FF9C6500"/>
      <name val="Arial"/>
      <family val="2"/>
      <charset val="1"/>
    </font>
    <font>
      <b/>
      <sz val="10"/>
      <color rgb="FFC00000"/>
      <name val="Arial"/>
      <family val="2"/>
      <charset val="1"/>
    </font>
    <font>
      <b/>
      <sz val="11"/>
      <color rgb="FFC00000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11"/>
      <color rgb="FF595959"/>
      <name val="Arial"/>
      <family val="2"/>
      <charset val="1"/>
    </font>
    <font>
      <sz val="10"/>
      <color rgb="FF595959"/>
      <name val="Arial"/>
      <family val="2"/>
      <charset val="1"/>
    </font>
    <font>
      <sz val="10"/>
      <color rgb="FF006400"/>
      <name val="Arial"/>
      <family val="2"/>
      <charset val="1"/>
    </font>
    <font>
      <b/>
      <sz val="9"/>
      <color rgb="FF006400"/>
      <name val="Arial"/>
      <family val="2"/>
      <charset val="1"/>
    </font>
    <font>
      <sz val="9"/>
      <color rgb="FF595959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CCCCCC"/>
      <name val="Arial"/>
      <family val="2"/>
      <charset val="1"/>
    </font>
    <font>
      <b/>
      <sz val="9"/>
      <color rgb="FF7F5C00"/>
      <name val="Arial"/>
      <family val="2"/>
      <charset val="1"/>
    </font>
    <font>
      <sz val="10"/>
      <color rgb="FF008000"/>
      <name val="Arial"/>
      <family val="2"/>
      <charset val="1"/>
    </font>
    <font>
      <b/>
      <sz val="1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0"/>
      <color rgb="FF9C6500"/>
      <name val="Calibri"/>
      <family val="2"/>
      <charset val="1"/>
    </font>
    <font>
      <b/>
      <sz val="11"/>
      <color rgb="FF9C6500"/>
      <name val="Calibri"/>
      <family val="2"/>
      <charset val="1"/>
    </font>
    <font>
      <b/>
      <sz val="11"/>
      <color rgb="FFC00000"/>
      <name val="Calibri"/>
      <family val="2"/>
      <charset val="1"/>
    </font>
    <font>
      <b/>
      <sz val="10"/>
      <color rgb="FF595959"/>
      <name val="Calibri"/>
      <family val="2"/>
      <charset val="1"/>
    </font>
    <font>
      <b/>
      <sz val="11"/>
      <color rgb="FF595959"/>
      <name val="Calibri"/>
      <family val="2"/>
      <charset val="1"/>
    </font>
    <font>
      <b/>
      <sz val="10"/>
      <color rgb="FF666666"/>
      <name val="Calibri"/>
      <family val="2"/>
      <charset val="1"/>
    </font>
    <font>
      <b/>
      <sz val="11"/>
      <color rgb="FF666666"/>
      <name val="Calibri"/>
      <family val="2"/>
      <charset val="1"/>
    </font>
    <font>
      <i/>
      <sz val="11"/>
      <color rgb="FF595959"/>
      <name val="Calibri"/>
      <family val="2"/>
      <charset val="1"/>
    </font>
    <font>
      <sz val="11"/>
      <color rgb="FF595959"/>
      <name val="Calibri"/>
      <family val="2"/>
      <charset val="1"/>
    </font>
    <font>
      <b/>
      <sz val="13"/>
      <color rgb="FFFFFFFF"/>
      <name val="Calibri"/>
      <family val="2"/>
      <charset val="1"/>
    </font>
    <font>
      <i/>
      <sz val="9"/>
      <color rgb="FF595959"/>
      <name val="Calibri"/>
      <family val="2"/>
      <charset val="1"/>
    </font>
    <font>
      <sz val="10"/>
      <color rgb="FF000000"/>
      <name val="Calibri"/>
      <family val="2"/>
      <charset val="1"/>
    </font>
    <font>
      <b/>
      <i/>
      <sz val="10"/>
      <color rgb="FF595959"/>
      <name val="Arial"/>
      <family val="2"/>
      <charset val="1"/>
    </font>
    <font>
      <b/>
      <i/>
      <sz val="10"/>
      <color rgb="FF7F5C00"/>
      <name val="Arial"/>
      <family val="2"/>
      <charset val="1"/>
    </font>
    <font>
      <i/>
      <sz val="9"/>
      <color rgb="FF7F5C00"/>
      <name val="Calibri"/>
      <family val="2"/>
      <charset val="1"/>
    </font>
    <font>
      <b/>
      <sz val="10"/>
      <color rgb="FF7F5C00"/>
      <name val="Calibri"/>
      <family val="2"/>
      <charset val="1"/>
    </font>
    <font>
      <sz val="10"/>
      <color rgb="FF7F5C00"/>
      <name val="Calibri"/>
      <family val="2"/>
      <charset val="1"/>
    </font>
    <font>
      <i/>
      <sz val="10"/>
      <color rgb="FF7F5C00"/>
      <name val="Calibri"/>
      <family val="2"/>
      <charset val="1"/>
    </font>
    <font>
      <i/>
      <sz val="10"/>
      <color rgb="FF006400"/>
      <name val="Calibri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999999"/>
      <name val="Arial"/>
      <family val="2"/>
      <charset val="1"/>
    </font>
    <font>
      <sz val="9"/>
      <color rgb="FFCCCCCC"/>
      <name val="Arial"/>
      <family val="2"/>
      <charset val="1"/>
    </font>
    <font>
      <i/>
      <sz val="9"/>
      <color rgb="FF888888"/>
      <name val="Arial"/>
      <family val="2"/>
      <charset val="1"/>
    </font>
    <font>
      <sz val="9"/>
      <color rgb="FFC55A11"/>
      <name val="Arial"/>
      <family val="2"/>
      <charset val="1"/>
    </font>
    <font>
      <b/>
      <sz val="9"/>
      <color rgb="FF2E75B6"/>
      <name val="Arial"/>
      <family val="2"/>
      <charset val="1"/>
    </font>
    <font>
      <b/>
      <sz val="9"/>
      <color rgb="FFC55A11"/>
      <name val="Arial"/>
      <family val="2"/>
      <charset val="1"/>
    </font>
    <font>
      <i/>
      <sz val="9"/>
      <color rgb="FF8B0000"/>
      <name val="Arial"/>
      <family val="2"/>
      <charset val="1"/>
    </font>
    <font>
      <b/>
      <sz val="10"/>
      <color rgb="FF1F3864"/>
      <name val="Calibri"/>
      <family val="2"/>
      <charset val="1"/>
    </font>
    <font>
      <sz val="10"/>
      <color rgb="FF8B0000"/>
      <name val="Calibri"/>
      <family val="2"/>
      <charset val="1"/>
    </font>
    <font>
      <sz val="9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color rgb="FFC55A11"/>
      <name val="Calibri"/>
      <family val="2"/>
      <charset val="1"/>
    </font>
    <font>
      <sz val="9"/>
      <color rgb="FF7F3F00"/>
      <name val="Calibri"/>
      <family val="2"/>
      <charset val="1"/>
    </font>
    <font>
      <b/>
      <sz val="10"/>
      <color rgb="FF1F3864"/>
      <name val="Arial"/>
      <family val="2"/>
      <charset val="1"/>
    </font>
    <font>
      <i/>
      <sz val="10"/>
      <color rgb="FF888888"/>
      <name val="Arial"/>
      <family val="2"/>
      <charset val="1"/>
    </font>
    <font>
      <i/>
      <sz val="10"/>
      <color rgb="FF8B0000"/>
      <name val="Arial"/>
      <family val="2"/>
      <charset val="1"/>
    </font>
    <font>
      <i/>
      <sz val="10"/>
      <color rgb="FF7F5C00"/>
      <name val="Arial"/>
      <family val="2"/>
      <charset val="1"/>
    </font>
    <font>
      <i/>
      <sz val="9"/>
      <color rgb="FFCCCCCC"/>
      <name val="Calibri"/>
      <family val="2"/>
      <charset val="1"/>
    </font>
    <font>
      <sz val="11"/>
      <color rgb="FFCCCCCC"/>
      <name val="Calibri"/>
      <family val="2"/>
      <charset val="1"/>
    </font>
    <font>
      <i/>
      <sz val="8"/>
      <color rgb="FF595959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8B0000"/>
      <name val="Arial"/>
      <family val="2"/>
      <charset val="1"/>
    </font>
    <font>
      <sz val="9"/>
      <color rgb="FF7F5C00"/>
      <name val="Arial"/>
      <family val="2"/>
      <charset val="1"/>
    </font>
    <font>
      <b/>
      <sz val="9"/>
      <color rgb="FF000000"/>
      <name val="Arial"/>
      <family val="2"/>
      <charset val="1"/>
    </font>
    <font>
      <sz val="9"/>
      <color rgb="FF008000"/>
      <name val="Arial"/>
      <family val="2"/>
      <charset val="1"/>
    </font>
    <font>
      <sz val="10"/>
      <color rgb="FF7F5C00"/>
      <name val="Arial"/>
      <family val="2"/>
      <charset val="1"/>
    </font>
    <font>
      <sz val="10"/>
      <name val="Arial"/>
      <family val="2"/>
      <charset val="1"/>
    </font>
    <font>
      <sz val="10"/>
      <color rgb="FF1F3864"/>
      <name val="Calibri"/>
      <family val="2"/>
      <charset val="1"/>
    </font>
    <font>
      <sz val="10"/>
      <color rgb="FF375623"/>
      <name val="Calibri"/>
      <family val="2"/>
      <charset val="1"/>
    </font>
    <font>
      <sz val="10"/>
      <color rgb="FF595959"/>
      <name val="Calibri"/>
      <family val="2"/>
      <charset val="1"/>
    </font>
    <font>
      <b/>
      <i/>
      <sz val="10"/>
      <color rgb="FFC55A11"/>
      <name val="Arial"/>
      <family val="2"/>
      <charset val="1"/>
    </font>
    <font>
      <b/>
      <sz val="10"/>
      <color rgb="FFC55A11"/>
      <name val="Arial"/>
      <family val="2"/>
      <charset val="1"/>
    </font>
    <font>
      <b/>
      <sz val="9"/>
      <color rgb="FF006400"/>
      <name val="Calibri"/>
      <family val="2"/>
      <charset val="1"/>
    </font>
    <font>
      <b/>
      <sz val="11"/>
      <color rgb="FF1F3864"/>
      <name val="Arial"/>
      <family val="2"/>
      <charset val="1"/>
    </font>
    <font>
      <b/>
      <sz val="9"/>
      <color rgb="FF375623"/>
      <name val="Arial"/>
      <family val="2"/>
      <charset val="1"/>
    </font>
    <font>
      <sz val="9"/>
      <color rgb="FF404040"/>
      <name val="Arial"/>
      <family val="2"/>
      <charset val="1"/>
    </font>
    <font>
      <b/>
      <sz val="11"/>
      <color rgb="FFC55A11"/>
      <name val="Arial"/>
      <family val="2"/>
      <charset val="1"/>
    </font>
    <font>
      <b/>
      <sz val="11"/>
      <color rgb="FF8B0000"/>
      <name val="Arial"/>
      <family val="2"/>
      <charset val="1"/>
    </font>
    <font>
      <b/>
      <sz val="9"/>
      <color rgb="FF8B0000"/>
      <name val="Arial"/>
      <family val="2"/>
      <charset val="1"/>
    </font>
    <font>
      <b/>
      <sz val="9"/>
      <color rgb="FF375623"/>
      <name val="Calibri"/>
      <family val="2"/>
      <charset val="1"/>
    </font>
    <font>
      <sz val="9"/>
      <color rgb="FF404040"/>
      <name val="Calibri"/>
      <family val="2"/>
      <charset val="1"/>
    </font>
    <font>
      <b/>
      <sz val="9"/>
      <color rgb="FF8B0000"/>
      <name val="Calibri"/>
      <family val="2"/>
      <charset val="1"/>
    </font>
    <font>
      <i/>
      <sz val="10"/>
      <color rgb="FF595959"/>
      <name val="Arial"/>
      <family val="2"/>
      <charset val="1"/>
    </font>
    <font>
      <sz val="9"/>
      <color rgb="FF1F3864"/>
      <name val="Arial"/>
      <family val="2"/>
      <charset val="1"/>
    </font>
    <font>
      <b/>
      <sz val="9"/>
      <color rgb="FF9C6500"/>
      <name val="Arial"/>
      <family val="2"/>
      <charset val="1"/>
    </font>
    <font>
      <b/>
      <sz val="9"/>
      <color rgb="FFC00000"/>
      <name val="Arial"/>
      <family val="2"/>
      <charset val="1"/>
    </font>
    <font>
      <b/>
      <sz val="9"/>
      <color rgb="FFC00000"/>
      <name val="Calibri"/>
      <family val="2"/>
      <charset val="1"/>
    </font>
    <font>
      <b/>
      <sz val="9"/>
      <color rgb="FF9C6500"/>
      <name val="Calibri"/>
      <family val="2"/>
      <charset val="1"/>
    </font>
    <font>
      <b/>
      <sz val="9"/>
      <color rgb="FF595959"/>
      <name val="Calibri"/>
      <family val="2"/>
      <charset val="1"/>
    </font>
    <font>
      <b/>
      <sz val="18"/>
      <color rgb="FFFFFFFF"/>
      <name val="Arial"/>
      <family val="2"/>
      <charset val="1"/>
    </font>
    <font>
      <i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1"/>
      <color rgb="FF2F5496"/>
      <name val="Arial"/>
      <family val="2"/>
      <charset val="1"/>
    </font>
    <font>
      <b/>
      <sz val="10"/>
      <name val="Arial"/>
      <family val="2"/>
      <charset val="1"/>
    </font>
    <font>
      <i/>
      <sz val="9"/>
      <name val="Arial"/>
      <family val="2"/>
      <charset val="1"/>
    </font>
    <font>
      <i/>
      <sz val="9"/>
      <color rgb="FF9C6500"/>
      <name val="Arial"/>
      <family val="2"/>
      <charset val="1"/>
    </font>
    <font>
      <i/>
      <sz val="9"/>
      <color rgb="FF9C6500"/>
      <name val="Calibri"/>
      <family val="2"/>
      <charset val="1"/>
    </font>
    <font>
      <b/>
      <sz val="10"/>
      <color rgb="FF404040"/>
      <name val="Arial"/>
      <family val="2"/>
      <charset val="1"/>
    </font>
    <font>
      <sz val="10"/>
      <color rgb="FFAAAAAA"/>
      <name val="Arial"/>
      <family val="2"/>
      <charset val="1"/>
    </font>
    <font>
      <b/>
      <i/>
      <sz val="10"/>
      <color rgb="FF000000"/>
      <name val="Arial"/>
      <family val="2"/>
      <charset val="1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i/>
      <sz val="9"/>
      <color rgb="FF595959"/>
      <name val="Arial"/>
      <family val="2"/>
    </font>
    <font>
      <sz val="10"/>
      <color rgb="FF1F3864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7F6000"/>
      <name val="Arial"/>
      <family val="2"/>
    </font>
    <font>
      <sz val="10"/>
      <color rgb="FF375623"/>
      <name val="Arial"/>
      <family val="2"/>
    </font>
    <font>
      <sz val="10"/>
      <color rgb="FFC00000"/>
      <name val="Arial"/>
      <family val="2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rgb="FF1F3864"/>
      <name val="Arial"/>
      <family val="2"/>
    </font>
    <font>
      <b/>
      <sz val="9"/>
      <color rgb="FF000000"/>
      <name val="Arial"/>
      <family val="2"/>
    </font>
    <font>
      <b/>
      <sz val="9"/>
      <color rgb="FF7F4400"/>
      <name val="Arial"/>
      <family val="2"/>
    </font>
    <font>
      <sz val="9"/>
      <color rgb="FF404040"/>
      <name val="Arial"/>
      <family val="2"/>
    </font>
    <font>
      <i/>
      <sz val="9"/>
      <color rgb="FF2E75B6"/>
      <name val="Arial"/>
      <family val="2"/>
    </font>
    <font>
      <sz val="9"/>
      <color rgb="FF000000"/>
      <name val="Arial"/>
      <family val="2"/>
    </font>
  </fonts>
  <fills count="78">
    <fill>
      <patternFill patternType="none"/>
    </fill>
    <fill>
      <patternFill patternType="gray125"/>
    </fill>
    <fill>
      <patternFill patternType="solid">
        <fgColor rgb="FF1F3864"/>
        <bgColor rgb="FF182957"/>
      </patternFill>
    </fill>
    <fill>
      <patternFill patternType="darkGray">
        <fgColor rgb="FF3382C1"/>
        <bgColor rgb="FF2A75B8"/>
      </patternFill>
    </fill>
    <fill>
      <patternFill patternType="solid">
        <fgColor rgb="FFF3F2F2"/>
        <bgColor rgb="FFF2F5F9"/>
      </patternFill>
    </fill>
    <fill>
      <patternFill patternType="solid">
        <fgColor rgb="FFFFFFFF"/>
        <bgColor rgb="FFFAFAFA"/>
      </patternFill>
    </fill>
    <fill>
      <patternFill patternType="solid">
        <fgColor rgb="FFE2F0DB"/>
        <bgColor rgb="FFE8E8E8"/>
      </patternFill>
    </fill>
    <fill>
      <patternFill patternType="darkGray">
        <fgColor rgb="FFC20301"/>
        <bgColor rgb="FF710605"/>
      </patternFill>
    </fill>
    <fill>
      <patternFill patternType="solid">
        <fgColor rgb="FFFFE1E0"/>
        <bgColor rgb="FFFDEDEC"/>
      </patternFill>
    </fill>
    <fill>
      <patternFill patternType="solid">
        <fgColor rgb="FFF9F9F9"/>
        <bgColor rgb="FFFAFAFA"/>
      </patternFill>
    </fill>
    <fill>
      <patternFill patternType="solid">
        <fgColor rgb="FF182957"/>
        <bgColor rgb="FF1F3864"/>
      </patternFill>
    </fill>
    <fill>
      <patternFill patternType="darkGray">
        <fgColor rgb="FF036106"/>
        <bgColor rgb="FF1F3864"/>
      </patternFill>
    </fill>
    <fill>
      <patternFill patternType="solid">
        <fgColor rgb="FFF2F5F9"/>
        <bgColor rgb="FFF1F5F9"/>
      </patternFill>
    </fill>
    <fill>
      <patternFill patternType="solid">
        <fgColor rgb="FF1F6391"/>
        <bgColor rgb="FF2B5E8A"/>
      </patternFill>
    </fill>
    <fill>
      <patternFill patternType="solid">
        <fgColor rgb="FF2B5E8A"/>
        <bgColor rgb="FF1F6391"/>
      </patternFill>
    </fill>
    <fill>
      <patternFill patternType="solid">
        <fgColor rgb="FFEAF2FB"/>
        <bgColor rgb="FFEBF0F8"/>
      </patternFill>
    </fill>
    <fill>
      <patternFill patternType="mediumGray">
        <fgColor rgb="FFD6E4F3"/>
        <bgColor rgb="FFD6EAF8"/>
      </patternFill>
    </fill>
    <fill>
      <patternFill patternType="darkGray">
        <fgColor rgb="FFE2F0DB"/>
        <bgColor rgb="FFE8F8F5"/>
      </patternFill>
    </fill>
    <fill>
      <patternFill patternType="solid">
        <fgColor rgb="FFFFF2CC"/>
        <bgColor rgb="FFFFF3CD"/>
      </patternFill>
    </fill>
    <fill>
      <patternFill patternType="darkGray">
        <fgColor rgb="FFFFE1E0"/>
        <bgColor rgb="FFFDEDEC"/>
      </patternFill>
    </fill>
    <fill>
      <patternFill patternType="mediumGray">
        <fgColor rgb="FFEFF6FF"/>
        <bgColor rgb="FFEBF5FB"/>
      </patternFill>
    </fill>
    <fill>
      <patternFill patternType="solid">
        <fgColor rgb="FFFFF8E6"/>
        <bgColor rgb="FFFFF9E7"/>
      </patternFill>
    </fill>
    <fill>
      <patternFill patternType="solid">
        <fgColor rgb="FFFFF3CD"/>
        <bgColor rgb="FFFFF2CC"/>
      </patternFill>
    </fill>
    <fill>
      <patternFill patternType="solid">
        <fgColor rgb="FFEBF5FB"/>
        <bgColor rgb="FFEAF2FB"/>
      </patternFill>
    </fill>
    <fill>
      <patternFill patternType="solid">
        <fgColor rgb="FFE8F8F5"/>
        <bgColor rgb="FFEBF5FB"/>
      </patternFill>
    </fill>
    <fill>
      <patternFill patternType="solid">
        <fgColor rgb="FFFEF9F0"/>
        <bgColor rgb="FFFFFCEC"/>
      </patternFill>
    </fill>
    <fill>
      <patternFill patternType="solid">
        <fgColor rgb="FFF4ECF7"/>
        <bgColor rgb="FFF5F0FF"/>
      </patternFill>
    </fill>
    <fill>
      <patternFill patternType="solid">
        <fgColor rgb="FFF1F5F9"/>
        <bgColor rgb="FFF2F5F9"/>
      </patternFill>
    </fill>
    <fill>
      <patternFill patternType="solid">
        <fgColor rgb="FFFFF0F0"/>
        <bgColor rgb="FFFDEDEC"/>
      </patternFill>
    </fill>
    <fill>
      <patternFill patternType="solid">
        <fgColor rgb="FFEBF0F8"/>
        <bgColor rgb="FFEAF2FB"/>
      </patternFill>
    </fill>
    <fill>
      <patternFill patternType="solid">
        <fgColor rgb="FFFFE328"/>
        <bgColor rgb="FFFFF2CC"/>
      </patternFill>
    </fill>
    <fill>
      <patternFill patternType="solid">
        <fgColor rgb="FFFFFDF0"/>
        <bgColor rgb="FFFFFCEC"/>
      </patternFill>
    </fill>
    <fill>
      <patternFill patternType="solid">
        <fgColor rgb="FFD9E2F3"/>
        <bgColor rgb="FFD6E4F3"/>
      </patternFill>
    </fill>
    <fill>
      <patternFill patternType="darkGray">
        <fgColor rgb="FFD7D8DB"/>
        <bgColor rgb="FFE0E0E0"/>
      </patternFill>
    </fill>
    <fill>
      <patternFill patternType="solid">
        <fgColor rgb="FF244D8E"/>
        <bgColor rgb="FF2B5E8A"/>
      </patternFill>
    </fill>
    <fill>
      <patternFill patternType="solid">
        <fgColor rgb="FFFFF9E7"/>
        <bgColor rgb="FFFFF8E6"/>
      </patternFill>
    </fill>
    <fill>
      <patternFill patternType="solid">
        <fgColor rgb="FFFDEDEC"/>
        <bgColor rgb="FFFFF0F0"/>
      </patternFill>
    </fill>
    <fill>
      <patternFill patternType="solid">
        <fgColor rgb="FFFAFAFA"/>
        <bgColor rgb="FFF9F9F9"/>
      </patternFill>
    </fill>
    <fill>
      <patternFill patternType="darkGray">
        <fgColor rgb="FFB66102"/>
        <bgColor rgb="FFED7D1C"/>
      </patternFill>
    </fill>
    <fill>
      <patternFill patternType="solid">
        <fgColor rgb="FF4672BE"/>
        <bgColor rgb="FF2A75B8"/>
      </patternFill>
    </fill>
    <fill>
      <patternFill patternType="solid">
        <fgColor rgb="FFED7D1C"/>
        <bgColor rgb="FFB66102"/>
      </patternFill>
    </fill>
    <fill>
      <patternFill patternType="darkGray">
        <fgColor rgb="FFED7D1C"/>
        <bgColor rgb="FFC9A645"/>
      </patternFill>
    </fill>
    <fill>
      <patternFill patternType="mediumGray">
        <fgColor rgb="FFFEF9F0"/>
        <bgColor rgb="FFFFFCEC"/>
      </patternFill>
    </fill>
    <fill>
      <patternFill patternType="solid">
        <fgColor rgb="FFDFEEFE"/>
        <bgColor rgb="FFD6EAF8"/>
      </patternFill>
    </fill>
    <fill>
      <patternFill patternType="mediumGray">
        <fgColor rgb="FFD9E1EC"/>
        <bgColor rgb="FFD9E2F3"/>
      </patternFill>
    </fill>
    <fill>
      <patternFill patternType="solid">
        <fgColor rgb="FFD6EAF8"/>
        <bgColor rgb="FFD6E4F3"/>
      </patternFill>
    </fill>
    <fill>
      <patternFill patternType="solid">
        <fgColor rgb="FFD6E4F3"/>
        <bgColor rgb="FFD9E2F3"/>
      </patternFill>
    </fill>
    <fill>
      <patternFill patternType="solid">
        <fgColor rgb="FFF0F7FF"/>
        <bgColor rgb="FFEFF6FF"/>
      </patternFill>
    </fill>
    <fill>
      <patternFill patternType="solid">
        <fgColor rgb="FFFEF5F5"/>
        <bgColor rgb="FFFEF9F0"/>
      </patternFill>
    </fill>
    <fill>
      <patternFill patternType="mediumGray">
        <fgColor rgb="FF80807F"/>
        <bgColor rgb="FFC9A645"/>
      </patternFill>
    </fill>
    <fill>
      <patternFill patternType="darkGray">
        <fgColor rgb="FF2B5E8A"/>
        <bgColor rgb="FF244D8E"/>
      </patternFill>
    </fill>
    <fill>
      <patternFill patternType="darkGray">
        <fgColor rgb="FFD9E2F3"/>
        <bgColor rgb="FFD9E1EC"/>
      </patternFill>
    </fill>
    <fill>
      <patternFill patternType="solid">
        <fgColor rgb="FF80807F"/>
        <bgColor rgb="FF5C585D"/>
      </patternFill>
    </fill>
    <fill>
      <patternFill patternType="solid">
        <fgColor rgb="FF3E4042"/>
        <bgColor rgb="FF1F3864"/>
      </patternFill>
    </fill>
    <fill>
      <patternFill patternType="solid">
        <fgColor rgb="FFE0E0E0"/>
        <bgColor rgb="FFD9E1EC"/>
      </patternFill>
    </fill>
    <fill>
      <patternFill patternType="darkGray">
        <fgColor rgb="FFF3F2F2"/>
        <bgColor rgb="FFF1F5F9"/>
      </patternFill>
    </fill>
    <fill>
      <patternFill patternType="solid">
        <fgColor rgb="FFE8E8E8"/>
        <bgColor rgb="FFE0E0E0"/>
      </patternFill>
    </fill>
    <fill>
      <patternFill patternType="solid">
        <fgColor rgb="FFFFFFF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3E4042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4A7A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0F0"/>
        <bgColor indexed="64"/>
      </patternFill>
    </fill>
    <fill>
      <patternFill patternType="solid">
        <fgColor rgb="FFFFDEDE"/>
        <bgColor indexed="64"/>
      </patternFill>
    </fill>
    <fill>
      <patternFill patternType="solid">
        <fgColor rgb="FFEEF2F7"/>
        <bgColor indexed="64"/>
      </patternFill>
    </fill>
    <fill>
      <patternFill patternType="solid">
        <fgColor rgb="FF3E4F6C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0FF"/>
        <bgColor indexed="64"/>
      </patternFill>
    </fill>
    <fill>
      <patternFill patternType="solid">
        <fgColor rgb="FFE8ECF2"/>
        <bgColor indexed="64"/>
      </patternFill>
    </fill>
    <fill>
      <patternFill patternType="solid">
        <fgColor rgb="FFFFF5E6"/>
        <bgColor indexed="64"/>
      </patternFill>
    </fill>
    <fill>
      <patternFill patternType="solid">
        <fgColor rgb="FFFEF9F0"/>
        <bgColor indexed="64"/>
      </patternFill>
    </fill>
    <fill>
      <patternFill patternType="solid">
        <fgColor rgb="FFEBF5FB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thin">
        <color rgb="FFC9A645"/>
      </bottom>
      <diagonal/>
    </border>
    <border>
      <left style="thin">
        <color rgb="FF9BC0D1"/>
      </left>
      <right/>
      <top style="thin">
        <color rgb="FF9BC0D1"/>
      </top>
      <bottom/>
      <diagonal/>
    </border>
    <border>
      <left/>
      <right style="thin">
        <color rgb="FF9BC0D1"/>
      </right>
      <top style="thin">
        <color rgb="FF9BC0D1"/>
      </top>
      <bottom/>
      <diagonal/>
    </border>
    <border>
      <left style="thin">
        <color rgb="FF9BC0D1"/>
      </left>
      <right/>
      <top/>
      <bottom/>
      <diagonal/>
    </border>
    <border>
      <left/>
      <right style="thin">
        <color rgb="FF9BC0D1"/>
      </right>
      <top/>
      <bottom/>
      <diagonal/>
    </border>
    <border>
      <left style="thin">
        <color rgb="FF9BC0D1"/>
      </left>
      <right/>
      <top/>
      <bottom style="thin">
        <color rgb="FF9BC0D1"/>
      </bottom>
      <diagonal/>
    </border>
    <border>
      <left/>
      <right style="thin">
        <color rgb="FF9BC0D1"/>
      </right>
      <top/>
      <bottom style="thin">
        <color rgb="FF9BC0D1"/>
      </bottom>
      <diagonal/>
    </border>
    <border>
      <left style="thin">
        <color rgb="FF80807F"/>
      </left>
      <right/>
      <top/>
      <bottom/>
      <diagonal/>
    </border>
    <border>
      <left/>
      <right style="thin">
        <color rgb="FF9BC0D1"/>
      </right>
      <top style="thin">
        <color rgb="FF9BC0D1"/>
      </top>
      <bottom style="thin">
        <color rgb="FF80807F"/>
      </bottom>
      <diagonal/>
    </border>
    <border>
      <left/>
      <right style="thin">
        <color rgb="FF80807F"/>
      </right>
      <top/>
      <bottom/>
      <diagonal/>
    </border>
    <border>
      <left style="thin">
        <color rgb="FF80807F"/>
      </left>
      <right style="thin">
        <color rgb="FF9BC0D1"/>
      </right>
      <top style="thin">
        <color rgb="FF80807F"/>
      </top>
      <bottom style="thin">
        <color rgb="FF80807F"/>
      </bottom>
      <diagonal/>
    </border>
    <border>
      <left style="thin">
        <color rgb="FF9BC0D1"/>
      </left>
      <right/>
      <top style="thin">
        <color rgb="FF9BC0D1"/>
      </top>
      <bottom style="thin">
        <color rgb="FF80807F"/>
      </bottom>
      <diagonal/>
    </border>
    <border>
      <left style="thin">
        <color rgb="FF80807F"/>
      </left>
      <right/>
      <top style="thin">
        <color rgb="FF9BC0D1"/>
      </top>
      <bottom style="thin">
        <color rgb="FF80807F"/>
      </bottom>
      <diagonal/>
    </border>
    <border>
      <left style="thin">
        <color rgb="FF80807F"/>
      </left>
      <right style="thin">
        <color rgb="FF80807F"/>
      </right>
      <top style="thin">
        <color rgb="FF9BC0D1"/>
      </top>
      <bottom style="thin">
        <color rgb="FF80807F"/>
      </bottom>
      <diagonal/>
    </border>
    <border>
      <left/>
      <right/>
      <top style="thin">
        <color rgb="FF9BC0D1"/>
      </top>
      <bottom/>
      <diagonal/>
    </border>
    <border>
      <left style="thin">
        <color rgb="FF9BC0D1"/>
      </left>
      <right/>
      <top style="thin">
        <color rgb="FF80807F"/>
      </top>
      <bottom style="thin">
        <color rgb="FF80807F"/>
      </bottom>
      <diagonal/>
    </border>
    <border>
      <left style="thin">
        <color rgb="FF80807F"/>
      </left>
      <right/>
      <top style="thin">
        <color rgb="FF80807F"/>
      </top>
      <bottom style="thin">
        <color rgb="FF80807F"/>
      </bottom>
      <diagonal/>
    </border>
    <border>
      <left style="thin">
        <color rgb="FF80807F"/>
      </left>
      <right style="thin">
        <color rgb="FF80807F"/>
      </right>
      <top style="thin">
        <color rgb="FF80807F"/>
      </top>
      <bottom style="thin">
        <color rgb="FF80807F"/>
      </bottom>
      <diagonal/>
    </border>
    <border>
      <left/>
      <right/>
      <top/>
      <bottom style="thin">
        <color rgb="FFD9E1EC"/>
      </bottom>
      <diagonal/>
    </border>
    <border>
      <left style="thin">
        <color rgb="FF9BC0D1"/>
      </left>
      <right/>
      <top style="thin">
        <color rgb="FF80807F"/>
      </top>
      <bottom style="thin">
        <color rgb="FFD9E1EC"/>
      </bottom>
      <diagonal/>
    </border>
    <border>
      <left style="thin">
        <color rgb="FF80807F"/>
      </left>
      <right/>
      <top style="thin">
        <color rgb="FF80807F"/>
      </top>
      <bottom style="thin">
        <color rgb="FFD9E1EC"/>
      </bottom>
      <diagonal/>
    </border>
    <border>
      <left style="thin">
        <color rgb="FF80807F"/>
      </left>
      <right style="thin">
        <color rgb="FF80807F"/>
      </right>
      <top style="thin">
        <color rgb="FF80807F"/>
      </top>
      <bottom style="thin">
        <color rgb="FFD9E1EC"/>
      </bottom>
      <diagonal/>
    </border>
    <border>
      <left/>
      <right style="thin">
        <color rgb="FF9BC0D1"/>
      </right>
      <top/>
      <bottom style="thin">
        <color rgb="FFD9E1EC"/>
      </bottom>
      <diagonal/>
    </border>
    <border>
      <left/>
      <right/>
      <top style="thin">
        <color rgb="FF80807F"/>
      </top>
      <bottom/>
      <diagonal/>
    </border>
    <border>
      <left/>
      <right/>
      <top style="thin">
        <color rgb="FFC9A645"/>
      </top>
      <bottom style="thin">
        <color rgb="FFC9A645"/>
      </bottom>
      <diagonal/>
    </border>
    <border>
      <left style="thin">
        <color rgb="FF9BC0D1"/>
      </left>
      <right/>
      <top style="thin">
        <color rgb="FFC9A645"/>
      </top>
      <bottom style="thin">
        <color rgb="FF9BC0D1"/>
      </bottom>
      <diagonal/>
    </border>
    <border>
      <left/>
      <right/>
      <top style="thin">
        <color rgb="FFC9A645"/>
      </top>
      <bottom style="thin">
        <color rgb="FF9BC0D1"/>
      </bottom>
      <diagonal/>
    </border>
    <border>
      <left/>
      <right style="thin">
        <color rgb="FF9BC0D1"/>
      </right>
      <top style="thin">
        <color rgb="FFC9A645"/>
      </top>
      <bottom style="thin">
        <color rgb="FF9BC0D1"/>
      </bottom>
      <diagonal/>
    </border>
    <border>
      <left style="thin">
        <color rgb="FF80807F"/>
      </left>
      <right/>
      <top style="thin">
        <color rgb="FF9BC0D1"/>
      </top>
      <bottom/>
      <diagonal/>
    </border>
    <border>
      <left style="thin">
        <color rgb="FF80807F"/>
      </left>
      <right/>
      <top/>
      <bottom style="thin">
        <color rgb="FFD9E1EC"/>
      </bottom>
      <diagonal/>
    </border>
    <border>
      <left/>
      <right/>
      <top style="thin">
        <color rgb="FFD9E1EC"/>
      </top>
      <bottom style="thin">
        <color rgb="FFD9E1EC"/>
      </bottom>
      <diagonal/>
    </border>
    <border>
      <left style="thin">
        <color rgb="FF9BC0D1"/>
      </left>
      <right/>
      <top style="thin">
        <color rgb="FFD9E1EC"/>
      </top>
      <bottom style="thin">
        <color rgb="FFD9E1EC"/>
      </bottom>
      <diagonal/>
    </border>
    <border>
      <left/>
      <right style="thin">
        <color rgb="FF9BC0D1"/>
      </right>
      <top style="thin">
        <color rgb="FFD9E1EC"/>
      </top>
      <bottom style="thin">
        <color rgb="FFD9E1EC"/>
      </bottom>
      <diagonal/>
    </border>
    <border>
      <left/>
      <right/>
      <top style="thin">
        <color rgb="FFD9E1EC"/>
      </top>
      <bottom/>
      <diagonal/>
    </border>
    <border>
      <left style="thin">
        <color rgb="FF9BC0D1"/>
      </left>
      <right/>
      <top style="thin">
        <color rgb="FFD9E1EC"/>
      </top>
      <bottom/>
      <diagonal/>
    </border>
    <border>
      <left/>
      <right style="thin">
        <color rgb="FF9BC0D1"/>
      </right>
      <top style="thin">
        <color rgb="FFD9E1EC"/>
      </top>
      <bottom/>
      <diagonal/>
    </border>
    <border>
      <left style="thin">
        <color rgb="FF9BC0D1"/>
      </left>
      <right/>
      <top style="thin">
        <color rgb="FFC9A645"/>
      </top>
      <bottom style="thin">
        <color rgb="FFC9A645"/>
      </bottom>
      <diagonal/>
    </border>
    <border>
      <left/>
      <right style="thin">
        <color rgb="FF9BC0D1"/>
      </right>
      <top style="thin">
        <color rgb="FFC9A645"/>
      </top>
      <bottom style="thin">
        <color rgb="FFC9A645"/>
      </bottom>
      <diagonal/>
    </border>
    <border>
      <left style="thin">
        <color rgb="FF9BC0D1"/>
      </left>
      <right/>
      <top style="thin">
        <color rgb="FF9BC0D1"/>
      </top>
      <bottom style="thin">
        <color rgb="FFD9E1EC"/>
      </bottom>
      <diagonal/>
    </border>
    <border>
      <left style="thin">
        <color rgb="FF80807F"/>
      </left>
      <right/>
      <top style="thin">
        <color rgb="FF9BC0D1"/>
      </top>
      <bottom style="thin">
        <color rgb="FFD9E1EC"/>
      </bottom>
      <diagonal/>
    </border>
    <border>
      <left/>
      <right style="thin">
        <color rgb="FF9BC0D1"/>
      </right>
      <top style="thin">
        <color rgb="FF9BC0D1"/>
      </top>
      <bottom style="thin">
        <color rgb="FFD9E1EC"/>
      </bottom>
      <diagonal/>
    </border>
    <border>
      <left/>
      <right/>
      <top style="thin">
        <color rgb="FFD9E1EC"/>
      </top>
      <bottom style="thin">
        <color rgb="FFC9A645"/>
      </bottom>
      <diagonal/>
    </border>
    <border>
      <left style="thin">
        <color rgb="FF9BC0D1"/>
      </left>
      <right/>
      <top style="thin">
        <color rgb="FFD9E1EC"/>
      </top>
      <bottom style="thin">
        <color rgb="FFC9A645"/>
      </bottom>
      <diagonal/>
    </border>
    <border>
      <left/>
      <right style="thin">
        <color rgb="FF9BC0D1"/>
      </right>
      <top style="thin">
        <color rgb="FFD9E1EC"/>
      </top>
      <bottom style="thin">
        <color rgb="FFC9A645"/>
      </bottom>
      <diagonal/>
    </border>
    <border>
      <left/>
      <right style="thin">
        <color rgb="FF80807F"/>
      </right>
      <top/>
      <bottom style="thin">
        <color rgb="FF80807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  <border>
      <left/>
      <right/>
      <top style="thin">
        <color rgb="FFC9D3E0"/>
      </top>
      <bottom/>
      <diagonal/>
    </border>
    <border>
      <left/>
      <right/>
      <top/>
      <bottom style="thin">
        <color rgb="FFC9D3E0"/>
      </bottom>
      <diagonal/>
    </border>
    <border>
      <left style="thin">
        <color rgb="FFC9D3E0"/>
      </left>
      <right/>
      <top style="thin">
        <color rgb="FFC9D3E0"/>
      </top>
      <bottom/>
      <diagonal/>
    </border>
    <border>
      <left style="thin">
        <color rgb="FFC9D3E0"/>
      </left>
      <right/>
      <top/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  <border>
      <left/>
      <right style="thin">
        <color rgb="FFC9D3E0"/>
      </right>
      <top style="thin">
        <color rgb="FFC9D3E0"/>
      </top>
      <bottom/>
      <diagonal/>
    </border>
    <border>
      <left/>
      <right style="thin">
        <color rgb="FFC9D3E0"/>
      </right>
      <top/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/>
      <diagonal/>
    </border>
    <border>
      <left style="thin">
        <color rgb="FFC9D3E0"/>
      </left>
      <right style="thin">
        <color rgb="FFC9D3E0"/>
      </right>
      <top/>
      <bottom style="thin">
        <color rgb="FFC9D3E0"/>
      </bottom>
      <diagonal/>
    </border>
    <border>
      <left style="thin">
        <color rgb="FFC9D3E0"/>
      </left>
      <right style="thin">
        <color rgb="FFC9D3E0"/>
      </right>
      <top style="thin">
        <color rgb="FFC9D3E0"/>
      </top>
      <bottom style="medium">
        <color rgb="FF1F3864"/>
      </bottom>
      <diagonal/>
    </border>
  </borders>
  <cellStyleXfs count="1">
    <xf numFmtId="0" fontId="0" fillId="0" borderId="0"/>
  </cellStyleXfs>
  <cellXfs count="1042">
    <xf numFmtId="0" fontId="0" fillId="0" borderId="0" xfId="0"/>
    <xf numFmtId="0" fontId="18" fillId="13" borderId="2" xfId="0" applyFont="1" applyFill="1" applyBorder="1" applyAlignment="1">
      <alignment horizontal="left" vertical="center" wrapText="1"/>
    </xf>
    <xf numFmtId="0" fontId="16" fillId="12" borderId="0" xfId="0" applyFont="1" applyFill="1" applyAlignment="1">
      <alignment horizontal="left" vertical="center" wrapText="1"/>
    </xf>
    <xf numFmtId="0" fontId="15" fillId="11" borderId="0" xfId="0" applyFont="1" applyFill="1" applyAlignment="1">
      <alignment horizontal="left" vertical="center" wrapText="1"/>
    </xf>
    <xf numFmtId="0" fontId="13" fillId="10" borderId="0" xfId="0" applyFont="1" applyFill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center" wrapText="1"/>
    </xf>
    <xf numFmtId="0" fontId="9" fillId="6" borderId="0" xfId="0" applyFont="1" applyFill="1" applyAlignment="1">
      <alignment horizontal="center"/>
    </xf>
    <xf numFmtId="0" fontId="4" fillId="3" borderId="0" xfId="0" applyFont="1" applyFill="1"/>
    <xf numFmtId="0" fontId="4" fillId="2" borderId="0" xfId="0" applyFont="1" applyFill="1"/>
    <xf numFmtId="0" fontId="3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58" fillId="4" borderId="0" xfId="0" applyFont="1" applyFill="1" applyAlignment="1">
      <alignment horizontal="left" vertical="center" wrapText="1"/>
    </xf>
    <xf numFmtId="0" fontId="51" fillId="2" borderId="0" xfId="0" applyFont="1" applyFill="1" applyAlignment="1">
      <alignment horizontal="left" vertical="center" wrapText="1"/>
    </xf>
    <xf numFmtId="0" fontId="4" fillId="2" borderId="0" xfId="0" applyFont="1" applyFill="1"/>
    <xf numFmtId="0" fontId="5" fillId="5" borderId="0" xfId="0" applyFont="1" applyFill="1"/>
    <xf numFmtId="0" fontId="6" fillId="5" borderId="0" xfId="0" applyFont="1" applyFill="1" applyAlignment="1">
      <alignment wrapText="1"/>
    </xf>
    <xf numFmtId="0" fontId="6" fillId="5" borderId="0" xfId="0" applyFont="1" applyFill="1"/>
    <xf numFmtId="0" fontId="5" fillId="4" borderId="0" xfId="0" applyFont="1" applyFill="1"/>
    <xf numFmtId="0" fontId="6" fillId="4" borderId="0" xfId="0" applyFont="1" applyFill="1" applyAlignment="1">
      <alignment wrapText="1"/>
    </xf>
    <xf numFmtId="0" fontId="6" fillId="4" borderId="0" xfId="0" applyFont="1" applyFill="1"/>
    <xf numFmtId="0" fontId="4" fillId="3" borderId="0" xfId="0" applyFont="1" applyFill="1"/>
    <xf numFmtId="0" fontId="7" fillId="4" borderId="0" xfId="0" applyFont="1" applyFill="1"/>
    <xf numFmtId="0" fontId="8" fillId="5" borderId="0" xfId="0" applyFont="1" applyFill="1" applyAlignment="1">
      <alignment horizontal="left"/>
    </xf>
    <xf numFmtId="10" fontId="8" fillId="5" borderId="0" xfId="0" applyNumberFormat="1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9" fillId="6" borderId="0" xfId="0" applyFont="1" applyFill="1" applyAlignment="1">
      <alignment horizontal="center"/>
    </xf>
    <xf numFmtId="0" fontId="10" fillId="8" borderId="0" xfId="0" applyFont="1" applyFill="1"/>
    <xf numFmtId="0" fontId="12" fillId="2" borderId="1" xfId="0" applyFont="1" applyFill="1" applyBorder="1" applyAlignment="1">
      <alignment vertical="center"/>
    </xf>
    <xf numFmtId="0" fontId="14" fillId="10" borderId="0" xfId="0" applyFont="1" applyFill="1" applyAlignment="1">
      <alignment vertical="center"/>
    </xf>
    <xf numFmtId="0" fontId="15" fillId="11" borderId="0" xfId="0" applyFont="1" applyFill="1" applyAlignment="1">
      <alignment vertical="center"/>
    </xf>
    <xf numFmtId="0" fontId="17" fillId="12" borderId="0" xfId="0" applyFont="1" applyFill="1"/>
    <xf numFmtId="0" fontId="18" fillId="13" borderId="0" xfId="0" applyFont="1" applyFill="1" applyAlignment="1">
      <alignment vertical="center"/>
    </xf>
    <xf numFmtId="0" fontId="18" fillId="13" borderId="3" xfId="0" applyFont="1" applyFill="1" applyBorder="1" applyAlignment="1">
      <alignment vertical="center"/>
    </xf>
    <xf numFmtId="0" fontId="19" fillId="14" borderId="0" xfId="0" applyFont="1" applyFill="1" applyAlignment="1">
      <alignment vertical="center"/>
    </xf>
    <xf numFmtId="0" fontId="19" fillId="14" borderId="5" xfId="0" applyFont="1" applyFill="1" applyBorder="1" applyAlignment="1">
      <alignment vertical="center"/>
    </xf>
    <xf numFmtId="0" fontId="20" fillId="15" borderId="0" xfId="0" applyFont="1" applyFill="1" applyAlignment="1">
      <alignment vertical="center"/>
    </xf>
    <xf numFmtId="0" fontId="20" fillId="15" borderId="5" xfId="0" applyFont="1" applyFill="1" applyBorder="1" applyAlignment="1">
      <alignment vertical="center"/>
    </xf>
    <xf numFmtId="0" fontId="21" fillId="15" borderId="0" xfId="0" applyFont="1" applyFill="1" applyAlignment="1">
      <alignment vertical="center"/>
    </xf>
    <xf numFmtId="0" fontId="21" fillId="15" borderId="5" xfId="0" applyFont="1" applyFill="1" applyBorder="1" applyAlignment="1">
      <alignment vertical="center"/>
    </xf>
    <xf numFmtId="0" fontId="22" fillId="16" borderId="1" xfId="0" applyFont="1" applyFill="1" applyBorder="1" applyAlignment="1">
      <alignment horizontal="center" vertical="center" wrapText="1"/>
    </xf>
    <xf numFmtId="0" fontId="23" fillId="16" borderId="7" xfId="0" applyFont="1" applyFill="1" applyBorder="1" applyAlignment="1">
      <alignment vertical="center"/>
    </xf>
    <xf numFmtId="0" fontId="16" fillId="12" borderId="0" xfId="0" applyFont="1" applyFill="1"/>
    <xf numFmtId="0" fontId="18" fillId="13" borderId="9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/>
    </xf>
    <xf numFmtId="168" fontId="19" fillId="14" borderId="11" xfId="0" applyNumberFormat="1" applyFont="1" applyFill="1" applyBorder="1" applyAlignment="1">
      <alignment horizontal="center" vertical="center" wrapText="1"/>
    </xf>
    <xf numFmtId="0" fontId="20" fillId="15" borderId="0" xfId="0" applyFont="1" applyFill="1" applyAlignment="1">
      <alignment horizontal="center"/>
    </xf>
    <xf numFmtId="0" fontId="20" fillId="15" borderId="5" xfId="0" applyFont="1" applyFill="1" applyBorder="1"/>
    <xf numFmtId="0" fontId="27" fillId="20" borderId="1" xfId="0" applyFont="1" applyFill="1" applyBorder="1" applyAlignment="1">
      <alignment horizontal="left" vertical="center" wrapText="1"/>
    </xf>
    <xf numFmtId="0" fontId="28" fillId="20" borderId="7" xfId="0" applyFont="1" applyFill="1" applyBorder="1"/>
    <xf numFmtId="0" fontId="18" fillId="13" borderId="0" xfId="0" applyFont="1" applyFill="1"/>
    <xf numFmtId="0" fontId="18" fillId="13" borderId="12" xfId="0" applyFont="1" applyFill="1" applyBorder="1" applyAlignment="1">
      <alignment horizontal="left" vertical="center" wrapText="1"/>
    </xf>
    <xf numFmtId="0" fontId="18" fillId="13" borderId="13" xfId="0" applyFont="1" applyFill="1" applyBorder="1" applyAlignment="1">
      <alignment horizontal="left" vertical="center" wrapText="1"/>
    </xf>
    <xf numFmtId="164" fontId="18" fillId="13" borderId="13" xfId="0" applyNumberFormat="1" applyFont="1" applyFill="1" applyBorder="1" applyAlignment="1">
      <alignment horizontal="right" vertical="center"/>
    </xf>
    <xf numFmtId="169" fontId="18" fillId="13" borderId="13" xfId="0" applyNumberFormat="1" applyFont="1" applyFill="1" applyBorder="1" applyAlignment="1">
      <alignment horizontal="center" vertical="center"/>
    </xf>
    <xf numFmtId="165" fontId="18" fillId="13" borderId="14" xfId="0" applyNumberFormat="1" applyFont="1" applyFill="1" applyBorder="1" applyAlignment="1">
      <alignment horizontal="right" vertical="center"/>
    </xf>
    <xf numFmtId="164" fontId="18" fillId="13" borderId="14" xfId="0" applyNumberFormat="1" applyFont="1" applyFill="1" applyBorder="1" applyAlignment="1">
      <alignment horizontal="right" vertical="center"/>
    </xf>
    <xf numFmtId="0" fontId="18" fillId="13" borderId="15" xfId="0" applyFont="1" applyFill="1" applyBorder="1"/>
    <xf numFmtId="0" fontId="18" fillId="13" borderId="3" xfId="0" applyFont="1" applyFill="1" applyBorder="1"/>
    <xf numFmtId="0" fontId="29" fillId="2" borderId="0" xfId="0" applyFont="1" applyFill="1"/>
    <xf numFmtId="0" fontId="29" fillId="2" borderId="16" xfId="0" applyFont="1" applyFill="1" applyBorder="1" applyAlignment="1">
      <alignment horizontal="left" vertical="center" wrapText="1"/>
    </xf>
    <xf numFmtId="0" fontId="29" fillId="2" borderId="17" xfId="0" applyFont="1" applyFill="1" applyBorder="1" applyAlignment="1">
      <alignment horizontal="left" vertical="center" wrapText="1"/>
    </xf>
    <xf numFmtId="164" fontId="29" fillId="2" borderId="17" xfId="0" applyNumberFormat="1" applyFont="1" applyFill="1" applyBorder="1" applyAlignment="1">
      <alignment horizontal="right" vertical="center"/>
    </xf>
    <xf numFmtId="169" fontId="29" fillId="2" borderId="17" xfId="0" applyNumberFormat="1" applyFont="1" applyFill="1" applyBorder="1" applyAlignment="1">
      <alignment horizontal="center" vertical="center"/>
    </xf>
    <xf numFmtId="165" fontId="29" fillId="2" borderId="18" xfId="0" applyNumberFormat="1" applyFont="1" applyFill="1" applyBorder="1" applyAlignment="1">
      <alignment horizontal="right" vertical="center"/>
    </xf>
    <xf numFmtId="164" fontId="29" fillId="2" borderId="18" xfId="0" applyNumberFormat="1" applyFont="1" applyFill="1" applyBorder="1" applyAlignment="1">
      <alignment horizontal="right" vertical="center"/>
    </xf>
    <xf numFmtId="0" fontId="29" fillId="2" borderId="5" xfId="0" applyFont="1" applyFill="1" applyBorder="1"/>
    <xf numFmtId="0" fontId="30" fillId="5" borderId="19" xfId="0" applyFont="1" applyFill="1" applyBorder="1"/>
    <xf numFmtId="0" fontId="30" fillId="5" borderId="20" xfId="0" applyFont="1" applyFill="1" applyBorder="1" applyAlignment="1">
      <alignment horizontal="left" vertical="center" wrapText="1"/>
    </xf>
    <xf numFmtId="0" fontId="30" fillId="5" borderId="21" xfId="0" applyFont="1" applyFill="1" applyBorder="1" applyAlignment="1">
      <alignment horizontal="left" vertical="center" wrapText="1"/>
    </xf>
    <xf numFmtId="3" fontId="30" fillId="5" borderId="21" xfId="0" applyNumberFormat="1" applyFont="1" applyFill="1" applyBorder="1" applyAlignment="1">
      <alignment horizontal="right" vertical="center"/>
    </xf>
    <xf numFmtId="169" fontId="30" fillId="5" borderId="21" xfId="0" applyNumberFormat="1" applyFont="1" applyFill="1" applyBorder="1" applyAlignment="1">
      <alignment horizontal="center" vertical="center"/>
    </xf>
    <xf numFmtId="169" fontId="30" fillId="5" borderId="22" xfId="0" applyNumberFormat="1" applyFont="1" applyFill="1" applyBorder="1" applyAlignment="1">
      <alignment horizontal="right" vertical="center"/>
    </xf>
    <xf numFmtId="164" fontId="30" fillId="5" borderId="22" xfId="0" applyNumberFormat="1" applyFont="1" applyFill="1" applyBorder="1" applyAlignment="1">
      <alignment horizontal="right" vertical="center"/>
    </xf>
    <xf numFmtId="0" fontId="30" fillId="5" borderId="23" xfId="0" applyFont="1" applyFill="1" applyBorder="1"/>
    <xf numFmtId="0" fontId="30" fillId="12" borderId="19" xfId="0" applyFont="1" applyFill="1" applyBorder="1"/>
    <xf numFmtId="0" fontId="30" fillId="12" borderId="20" xfId="0" applyFont="1" applyFill="1" applyBorder="1" applyAlignment="1">
      <alignment horizontal="left" vertical="center" wrapText="1"/>
    </xf>
    <xf numFmtId="0" fontId="30" fillId="12" borderId="21" xfId="0" applyFont="1" applyFill="1" applyBorder="1" applyAlignment="1">
      <alignment horizontal="left" vertical="center" wrapText="1"/>
    </xf>
    <xf numFmtId="3" fontId="30" fillId="12" borderId="21" xfId="0" applyNumberFormat="1" applyFont="1" applyFill="1" applyBorder="1" applyAlignment="1">
      <alignment horizontal="right" vertical="center"/>
    </xf>
    <xf numFmtId="169" fontId="30" fillId="12" borderId="21" xfId="0" applyNumberFormat="1" applyFont="1" applyFill="1" applyBorder="1" applyAlignment="1">
      <alignment horizontal="center" vertical="center"/>
    </xf>
    <xf numFmtId="169" fontId="30" fillId="12" borderId="22" xfId="0" applyNumberFormat="1" applyFont="1" applyFill="1" applyBorder="1" applyAlignment="1">
      <alignment horizontal="right" vertical="center"/>
    </xf>
    <xf numFmtId="164" fontId="30" fillId="12" borderId="22" xfId="0" applyNumberFormat="1" applyFont="1" applyFill="1" applyBorder="1" applyAlignment="1">
      <alignment horizontal="right" vertical="center"/>
    </xf>
    <xf numFmtId="0" fontId="30" fillId="12" borderId="23" xfId="0" applyFont="1" applyFill="1" applyBorder="1"/>
    <xf numFmtId="0" fontId="32" fillId="12" borderId="19" xfId="0" applyFont="1" applyFill="1" applyBorder="1"/>
    <xf numFmtId="0" fontId="32" fillId="12" borderId="20" xfId="0" applyFont="1" applyFill="1" applyBorder="1" applyAlignment="1">
      <alignment horizontal="left" vertical="center" wrapText="1"/>
    </xf>
    <xf numFmtId="0" fontId="32" fillId="12" borderId="21" xfId="0" applyFont="1" applyFill="1" applyBorder="1" applyAlignment="1">
      <alignment horizontal="left" vertical="center" wrapText="1"/>
    </xf>
    <xf numFmtId="3" fontId="32" fillId="12" borderId="21" xfId="0" applyNumberFormat="1" applyFont="1" applyFill="1" applyBorder="1" applyAlignment="1">
      <alignment horizontal="right" vertical="center"/>
    </xf>
    <xf numFmtId="169" fontId="32" fillId="12" borderId="21" xfId="0" applyNumberFormat="1" applyFont="1" applyFill="1" applyBorder="1" applyAlignment="1">
      <alignment horizontal="center" vertical="center"/>
    </xf>
    <xf numFmtId="169" fontId="32" fillId="12" borderId="22" xfId="0" applyNumberFormat="1" applyFont="1" applyFill="1" applyBorder="1" applyAlignment="1">
      <alignment horizontal="right" vertical="center"/>
    </xf>
    <xf numFmtId="0" fontId="32" fillId="21" borderId="19" xfId="0" applyFont="1" applyFill="1" applyBorder="1"/>
    <xf numFmtId="0" fontId="32" fillId="21" borderId="20" xfId="0" applyFont="1" applyFill="1" applyBorder="1" applyAlignment="1">
      <alignment horizontal="left" vertical="center" wrapText="1"/>
    </xf>
    <xf numFmtId="0" fontId="32" fillId="21" borderId="21" xfId="0" applyFont="1" applyFill="1" applyBorder="1" applyAlignment="1">
      <alignment horizontal="left" vertical="center" wrapText="1"/>
    </xf>
    <xf numFmtId="3" fontId="32" fillId="21" borderId="21" xfId="0" applyNumberFormat="1" applyFont="1" applyFill="1" applyBorder="1" applyAlignment="1">
      <alignment horizontal="right" vertical="center"/>
    </xf>
    <xf numFmtId="169" fontId="32" fillId="21" borderId="21" xfId="0" applyNumberFormat="1" applyFont="1" applyFill="1" applyBorder="1" applyAlignment="1">
      <alignment horizontal="center" vertical="center"/>
    </xf>
    <xf numFmtId="169" fontId="32" fillId="21" borderId="22" xfId="0" applyNumberFormat="1" applyFont="1" applyFill="1" applyBorder="1" applyAlignment="1">
      <alignment horizontal="right" vertical="center"/>
    </xf>
    <xf numFmtId="3" fontId="32" fillId="21" borderId="21" xfId="0" applyNumberFormat="1" applyFont="1" applyFill="1" applyBorder="1"/>
    <xf numFmtId="164" fontId="34" fillId="21" borderId="22" xfId="0" applyNumberFormat="1" applyFont="1" applyFill="1" applyBorder="1" applyAlignment="1">
      <alignment horizontal="right" vertical="center"/>
    </xf>
    <xf numFmtId="0" fontId="32" fillId="21" borderId="23" xfId="0" applyFont="1" applyFill="1" applyBorder="1"/>
    <xf numFmtId="0" fontId="30" fillId="12" borderId="0" xfId="0" applyFont="1" applyFill="1"/>
    <xf numFmtId="0" fontId="30" fillId="12" borderId="4" xfId="0" applyFont="1" applyFill="1" applyBorder="1" applyAlignment="1">
      <alignment horizontal="left"/>
    </xf>
    <xf numFmtId="3" fontId="30" fillId="12" borderId="0" xfId="0" applyNumberFormat="1" applyFont="1" applyFill="1" applyAlignment="1">
      <alignment horizontal="right"/>
    </xf>
    <xf numFmtId="169" fontId="30" fillId="12" borderId="0" xfId="0" applyNumberFormat="1" applyFont="1" applyFill="1" applyAlignment="1">
      <alignment horizontal="center"/>
    </xf>
    <xf numFmtId="169" fontId="30" fillId="12" borderId="0" xfId="0" applyNumberFormat="1" applyFont="1" applyFill="1" applyAlignment="1">
      <alignment horizontal="right"/>
    </xf>
    <xf numFmtId="3" fontId="30" fillId="12" borderId="0" xfId="0" applyNumberFormat="1" applyFont="1" applyFill="1"/>
    <xf numFmtId="0" fontId="30" fillId="12" borderId="5" xfId="0" applyFont="1" applyFill="1" applyBorder="1"/>
    <xf numFmtId="0" fontId="35" fillId="10" borderId="25" xfId="0" applyFont="1" applyFill="1" applyBorder="1" applyAlignment="1">
      <alignment horizontal="left" vertical="center" wrapText="1"/>
    </xf>
    <xf numFmtId="0" fontId="35" fillId="10" borderId="26" xfId="0" applyFont="1" applyFill="1" applyBorder="1" applyAlignment="1">
      <alignment horizontal="left" vertical="center" wrapText="1"/>
    </xf>
    <xf numFmtId="0" fontId="35" fillId="10" borderId="27" xfId="0" applyFont="1" applyFill="1" applyBorder="1" applyAlignment="1">
      <alignment horizontal="left" vertical="center" wrapText="1"/>
    </xf>
    <xf numFmtId="3" fontId="35" fillId="10" borderId="27" xfId="0" applyNumberFormat="1" applyFont="1" applyFill="1" applyBorder="1" applyAlignment="1">
      <alignment horizontal="right" vertical="center" wrapText="1"/>
    </xf>
    <xf numFmtId="169" fontId="35" fillId="10" borderId="27" xfId="0" applyNumberFormat="1" applyFont="1" applyFill="1" applyBorder="1" applyAlignment="1">
      <alignment horizontal="center" vertical="center" wrapText="1"/>
    </xf>
    <xf numFmtId="169" fontId="35" fillId="10" borderId="27" xfId="0" applyNumberFormat="1" applyFont="1" applyFill="1" applyBorder="1" applyAlignment="1">
      <alignment horizontal="right" vertical="center" wrapText="1"/>
    </xf>
    <xf numFmtId="0" fontId="35" fillId="10" borderId="28" xfId="0" applyFont="1" applyFill="1" applyBorder="1"/>
    <xf numFmtId="0" fontId="18" fillId="13" borderId="13" xfId="0" applyFont="1" applyFill="1" applyBorder="1" applyAlignment="1">
      <alignment horizontal="center" vertical="center" wrapText="1"/>
    </xf>
    <xf numFmtId="170" fontId="18" fillId="13" borderId="13" xfId="0" applyNumberFormat="1" applyFont="1" applyFill="1" applyBorder="1" applyAlignment="1">
      <alignment horizontal="right" vertical="center"/>
    </xf>
    <xf numFmtId="0" fontId="29" fillId="2" borderId="17" xfId="0" applyFont="1" applyFill="1" applyBorder="1" applyAlignment="1">
      <alignment horizontal="center" vertical="center" wrapText="1"/>
    </xf>
    <xf numFmtId="0" fontId="30" fillId="5" borderId="21" xfId="0" applyFont="1" applyFill="1" applyBorder="1" applyAlignment="1">
      <alignment horizontal="center" vertical="center" wrapText="1"/>
    </xf>
    <xf numFmtId="164" fontId="30" fillId="5" borderId="21" xfId="0" applyNumberFormat="1" applyFont="1" applyFill="1" applyBorder="1" applyAlignment="1">
      <alignment horizontal="right" vertical="center"/>
    </xf>
    <xf numFmtId="164" fontId="31" fillId="5" borderId="21" xfId="0" applyNumberFormat="1" applyFont="1" applyFill="1" applyBorder="1" applyAlignment="1">
      <alignment horizontal="right" vertical="center"/>
    </xf>
    <xf numFmtId="0" fontId="30" fillId="12" borderId="21" xfId="0" applyFont="1" applyFill="1" applyBorder="1" applyAlignment="1">
      <alignment horizontal="center" vertical="center" wrapText="1"/>
    </xf>
    <xf numFmtId="164" fontId="30" fillId="12" borderId="21" xfId="0" applyNumberFormat="1" applyFont="1" applyFill="1" applyBorder="1" applyAlignment="1">
      <alignment horizontal="right" vertical="center"/>
    </xf>
    <xf numFmtId="164" fontId="31" fillId="12" borderId="21" xfId="0" applyNumberFormat="1" applyFont="1" applyFill="1" applyBorder="1" applyAlignment="1">
      <alignment horizontal="right" vertical="center"/>
    </xf>
    <xf numFmtId="0" fontId="36" fillId="22" borderId="19" xfId="0" applyFont="1" applyFill="1" applyBorder="1"/>
    <xf numFmtId="0" fontId="36" fillId="22" borderId="20" xfId="0" applyFont="1" applyFill="1" applyBorder="1" applyAlignment="1">
      <alignment horizontal="left" vertical="center" wrapText="1"/>
    </xf>
    <xf numFmtId="0" fontId="36" fillId="22" borderId="21" xfId="0" applyFont="1" applyFill="1" applyBorder="1" applyAlignment="1">
      <alignment horizontal="center" vertical="center" wrapText="1"/>
    </xf>
    <xf numFmtId="164" fontId="36" fillId="22" borderId="21" xfId="0" applyNumberFormat="1" applyFont="1" applyFill="1" applyBorder="1" applyAlignment="1">
      <alignment horizontal="right" vertical="center"/>
    </xf>
    <xf numFmtId="164" fontId="37" fillId="22" borderId="21" xfId="0" applyNumberFormat="1" applyFont="1" applyFill="1" applyBorder="1" applyAlignment="1">
      <alignment horizontal="right" vertical="center"/>
    </xf>
    <xf numFmtId="0" fontId="36" fillId="22" borderId="23" xfId="0" applyFont="1" applyFill="1" applyBorder="1"/>
    <xf numFmtId="0" fontId="30" fillId="5" borderId="31" xfId="0" applyFont="1" applyFill="1" applyBorder="1"/>
    <xf numFmtId="0" fontId="30" fillId="5" borderId="32" xfId="0" applyFont="1" applyFill="1" applyBorder="1" applyAlignment="1">
      <alignment horizontal="left"/>
    </xf>
    <xf numFmtId="0" fontId="31" fillId="5" borderId="31" xfId="0" applyFont="1" applyFill="1" applyBorder="1"/>
    <xf numFmtId="0" fontId="30" fillId="5" borderId="33" xfId="0" applyFont="1" applyFill="1" applyBorder="1"/>
    <xf numFmtId="0" fontId="30" fillId="12" borderId="34" xfId="0" applyFont="1" applyFill="1" applyBorder="1" applyAlignment="1">
      <alignment horizontal="left" vertical="center" wrapText="1"/>
    </xf>
    <xf numFmtId="0" fontId="30" fillId="12" borderId="35" xfId="0" applyFont="1" applyFill="1" applyBorder="1" applyAlignment="1">
      <alignment horizontal="left" vertical="center" wrapText="1"/>
    </xf>
    <xf numFmtId="4" fontId="30" fillId="12" borderId="34" xfId="0" applyNumberFormat="1" applyFont="1" applyFill="1" applyBorder="1" applyAlignment="1">
      <alignment horizontal="right" vertical="center" wrapText="1"/>
    </xf>
    <xf numFmtId="0" fontId="31" fillId="12" borderId="34" xfId="0" applyFont="1" applyFill="1" applyBorder="1" applyAlignment="1">
      <alignment horizontal="left" vertical="center" wrapText="1"/>
    </xf>
    <xf numFmtId="0" fontId="30" fillId="12" borderId="36" xfId="0" applyFont="1" applyFill="1" applyBorder="1"/>
    <xf numFmtId="0" fontId="18" fillId="13" borderId="25" xfId="0" applyFont="1" applyFill="1" applyBorder="1" applyAlignment="1">
      <alignment vertical="center"/>
    </xf>
    <xf numFmtId="0" fontId="18" fillId="13" borderId="38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8" xfId="0" applyFont="1" applyFill="1" applyBorder="1" applyAlignment="1">
      <alignment horizontal="left" vertical="center" wrapText="1"/>
    </xf>
    <xf numFmtId="0" fontId="38" fillId="2" borderId="8" xfId="0" applyFont="1" applyFill="1" applyBorder="1" applyAlignment="1">
      <alignment horizontal="center" vertical="center" wrapText="1"/>
    </xf>
    <xf numFmtId="168" fontId="38" fillId="2" borderId="8" xfId="0" applyNumberFormat="1" applyFont="1" applyFill="1" applyBorder="1" applyAlignment="1">
      <alignment horizontal="center" vertical="center"/>
    </xf>
    <xf numFmtId="4" fontId="38" fillId="2" borderId="8" xfId="0" applyNumberFormat="1" applyFont="1" applyFill="1" applyBorder="1" applyAlignment="1">
      <alignment horizontal="right" vertical="center"/>
    </xf>
    <xf numFmtId="164" fontId="38" fillId="2" borderId="8" xfId="0" applyNumberFormat="1" applyFont="1" applyFill="1" applyBorder="1" applyAlignment="1">
      <alignment horizontal="right" vertical="center"/>
    </xf>
    <xf numFmtId="0" fontId="29" fillId="23" borderId="19" xfId="0" applyFont="1" applyFill="1" applyBorder="1" applyAlignment="1">
      <alignment vertical="center"/>
    </xf>
    <xf numFmtId="0" fontId="39" fillId="23" borderId="39" xfId="0" applyFont="1" applyFill="1" applyBorder="1" applyAlignment="1">
      <alignment horizontal="left" vertical="center" wrapText="1"/>
    </xf>
    <xf numFmtId="0" fontId="29" fillId="23" borderId="40" xfId="0" applyFont="1" applyFill="1" applyBorder="1" applyAlignment="1">
      <alignment horizontal="left" vertical="center" wrapText="1"/>
    </xf>
    <xf numFmtId="0" fontId="29" fillId="23" borderId="40" xfId="0" applyFont="1" applyFill="1" applyBorder="1" applyAlignment="1">
      <alignment horizontal="center" vertical="center" wrapText="1"/>
    </xf>
    <xf numFmtId="168" fontId="39" fillId="23" borderId="40" xfId="0" applyNumberFormat="1" applyFont="1" applyFill="1" applyBorder="1" applyAlignment="1">
      <alignment horizontal="center" vertical="center"/>
    </xf>
    <xf numFmtId="4" fontId="29" fillId="23" borderId="40" xfId="0" applyNumberFormat="1" applyFont="1" applyFill="1" applyBorder="1" applyAlignment="1">
      <alignment horizontal="right" vertical="center"/>
    </xf>
    <xf numFmtId="4" fontId="39" fillId="23" borderId="40" xfId="0" applyNumberFormat="1" applyFont="1" applyFill="1" applyBorder="1" applyAlignment="1">
      <alignment horizontal="right" vertical="center"/>
    </xf>
    <xf numFmtId="164" fontId="29" fillId="23" borderId="40" xfId="0" applyNumberFormat="1" applyFont="1" applyFill="1" applyBorder="1" applyAlignment="1">
      <alignment horizontal="right" vertical="center"/>
    </xf>
    <xf numFmtId="0" fontId="29" fillId="23" borderId="41" xfId="0" applyFont="1" applyFill="1" applyBorder="1" applyAlignment="1">
      <alignment vertical="center"/>
    </xf>
    <xf numFmtId="0" fontId="29" fillId="24" borderId="19" xfId="0" applyFont="1" applyFill="1" applyBorder="1" applyAlignment="1">
      <alignment vertical="center"/>
    </xf>
    <xf numFmtId="0" fontId="41" fillId="24" borderId="20" xfId="0" applyFont="1" applyFill="1" applyBorder="1" applyAlignment="1">
      <alignment horizontal="left" vertical="center" wrapText="1"/>
    </xf>
    <xf numFmtId="0" fontId="29" fillId="24" borderId="21" xfId="0" applyFont="1" applyFill="1" applyBorder="1" applyAlignment="1">
      <alignment horizontal="left" vertical="center" wrapText="1"/>
    </xf>
    <xf numFmtId="0" fontId="29" fillId="24" borderId="21" xfId="0" applyFont="1" applyFill="1" applyBorder="1" applyAlignment="1">
      <alignment horizontal="center" vertical="center" wrapText="1"/>
    </xf>
    <xf numFmtId="168" fontId="41" fillId="24" borderId="21" xfId="0" applyNumberFormat="1" applyFont="1" applyFill="1" applyBorder="1" applyAlignment="1">
      <alignment horizontal="center" vertical="center"/>
    </xf>
    <xf numFmtId="4" fontId="29" fillId="24" borderId="21" xfId="0" applyNumberFormat="1" applyFont="1" applyFill="1" applyBorder="1" applyAlignment="1">
      <alignment horizontal="right" vertical="center"/>
    </xf>
    <xf numFmtId="4" fontId="41" fillId="24" borderId="21" xfId="0" applyNumberFormat="1" applyFont="1" applyFill="1" applyBorder="1" applyAlignment="1">
      <alignment horizontal="right" vertical="center"/>
    </xf>
    <xf numFmtId="164" fontId="29" fillId="24" borderId="21" xfId="0" applyNumberFormat="1" applyFont="1" applyFill="1" applyBorder="1" applyAlignment="1">
      <alignment horizontal="right" vertical="center"/>
    </xf>
    <xf numFmtId="0" fontId="29" fillId="24" borderId="23" xfId="0" applyFont="1" applyFill="1" applyBorder="1" applyAlignment="1">
      <alignment vertical="center"/>
    </xf>
    <xf numFmtId="0" fontId="30" fillId="25" borderId="19" xfId="0" applyFont="1" applyFill="1" applyBorder="1" applyAlignment="1">
      <alignment vertical="center"/>
    </xf>
    <xf numFmtId="0" fontId="43" fillId="25" borderId="20" xfId="0" applyFont="1" applyFill="1" applyBorder="1" applyAlignment="1">
      <alignment horizontal="left" vertical="center" wrapText="1"/>
    </xf>
    <xf numFmtId="0" fontId="30" fillId="25" borderId="21" xfId="0" applyFont="1" applyFill="1" applyBorder="1" applyAlignment="1">
      <alignment horizontal="left" vertical="center" wrapText="1"/>
    </xf>
    <xf numFmtId="0" fontId="30" fillId="25" borderId="21" xfId="0" applyFont="1" applyFill="1" applyBorder="1" applyAlignment="1">
      <alignment horizontal="center" vertical="center" wrapText="1"/>
    </xf>
    <xf numFmtId="1" fontId="43" fillId="25" borderId="21" xfId="0" applyNumberFormat="1" applyFont="1" applyFill="1" applyBorder="1" applyAlignment="1">
      <alignment horizontal="center" vertical="center"/>
    </xf>
    <xf numFmtId="4" fontId="30" fillId="25" borderId="21" xfId="0" applyNumberFormat="1" applyFont="1" applyFill="1" applyBorder="1" applyAlignment="1">
      <alignment horizontal="right" vertical="center"/>
    </xf>
    <xf numFmtId="4" fontId="43" fillId="25" borderId="21" xfId="0" applyNumberFormat="1" applyFont="1" applyFill="1" applyBorder="1" applyAlignment="1">
      <alignment horizontal="right" vertical="center"/>
    </xf>
    <xf numFmtId="164" fontId="30" fillId="25" borderId="21" xfId="0" applyNumberFormat="1" applyFont="1" applyFill="1" applyBorder="1" applyAlignment="1">
      <alignment horizontal="right" vertical="center"/>
    </xf>
    <xf numFmtId="0" fontId="30" fillId="25" borderId="23" xfId="0" applyFont="1" applyFill="1" applyBorder="1" applyAlignment="1">
      <alignment vertical="center"/>
    </xf>
    <xf numFmtId="0" fontId="30" fillId="26" borderId="31" xfId="0" applyFont="1" applyFill="1" applyBorder="1" applyAlignment="1">
      <alignment vertical="center"/>
    </xf>
    <xf numFmtId="0" fontId="45" fillId="26" borderId="32" xfId="0" applyFont="1" applyFill="1" applyBorder="1" applyAlignment="1">
      <alignment horizontal="left" vertical="center"/>
    </xf>
    <xf numFmtId="0" fontId="30" fillId="26" borderId="31" xfId="0" applyFont="1" applyFill="1" applyBorder="1" applyAlignment="1">
      <alignment horizontal="center" vertical="center"/>
    </xf>
    <xf numFmtId="1" fontId="45" fillId="26" borderId="31" xfId="0" applyNumberFormat="1" applyFont="1" applyFill="1" applyBorder="1" applyAlignment="1">
      <alignment horizontal="center" vertical="center"/>
    </xf>
    <xf numFmtId="4" fontId="30" fillId="26" borderId="31" xfId="0" applyNumberFormat="1" applyFont="1" applyFill="1" applyBorder="1" applyAlignment="1">
      <alignment horizontal="right" vertical="center"/>
    </xf>
    <xf numFmtId="4" fontId="45" fillId="26" borderId="31" xfId="0" applyNumberFormat="1" applyFont="1" applyFill="1" applyBorder="1" applyAlignment="1">
      <alignment horizontal="right" vertical="center"/>
    </xf>
    <xf numFmtId="0" fontId="30" fillId="26" borderId="33" xfId="0" applyFont="1" applyFill="1" applyBorder="1" applyAlignment="1">
      <alignment vertical="center"/>
    </xf>
    <xf numFmtId="0" fontId="30" fillId="27" borderId="42" xfId="0" applyFont="1" applyFill="1" applyBorder="1" applyAlignment="1">
      <alignment horizontal="left" vertical="center" wrapText="1"/>
    </xf>
    <xf numFmtId="0" fontId="47" fillId="27" borderId="43" xfId="0" applyFont="1" applyFill="1" applyBorder="1" applyAlignment="1">
      <alignment horizontal="left" vertical="center" wrapText="1"/>
    </xf>
    <xf numFmtId="0" fontId="30" fillId="27" borderId="42" xfId="0" applyFont="1" applyFill="1" applyBorder="1" applyAlignment="1">
      <alignment horizontal="center" vertical="center" wrapText="1"/>
    </xf>
    <xf numFmtId="1" fontId="47" fillId="27" borderId="42" xfId="0" applyNumberFormat="1" applyFont="1" applyFill="1" applyBorder="1" applyAlignment="1">
      <alignment horizontal="center" vertical="center" wrapText="1"/>
    </xf>
    <xf numFmtId="4" fontId="30" fillId="27" borderId="42" xfId="0" applyNumberFormat="1" applyFont="1" applyFill="1" applyBorder="1" applyAlignment="1">
      <alignment horizontal="right" vertical="center" wrapText="1"/>
    </xf>
    <xf numFmtId="4" fontId="47" fillId="27" borderId="42" xfId="0" applyNumberFormat="1" applyFont="1" applyFill="1" applyBorder="1" applyAlignment="1">
      <alignment horizontal="right" vertical="center" wrapText="1"/>
    </xf>
    <xf numFmtId="0" fontId="30" fillId="27" borderId="44" xfId="0" applyFont="1" applyFill="1" applyBorder="1" applyAlignment="1">
      <alignment vertical="center"/>
    </xf>
    <xf numFmtId="0" fontId="50" fillId="12" borderId="0" xfId="0" applyFont="1" applyFill="1" applyAlignment="1">
      <alignment wrapText="1"/>
    </xf>
    <xf numFmtId="0" fontId="51" fillId="2" borderId="0" xfId="0" applyFont="1" applyFill="1"/>
    <xf numFmtId="0" fontId="53" fillId="6" borderId="0" xfId="0" applyFont="1" applyFill="1"/>
    <xf numFmtId="0" fontId="17" fillId="0" borderId="0" xfId="0" applyFont="1"/>
    <xf numFmtId="0" fontId="54" fillId="2" borderId="0" xfId="0" applyFont="1" applyFill="1" applyAlignment="1">
      <alignment horizontal="center" vertical="center" wrapText="1"/>
    </xf>
    <xf numFmtId="0" fontId="18" fillId="2" borderId="0" xfId="0" applyFont="1" applyFill="1" applyAlignment="1">
      <alignment horizontal="center"/>
    </xf>
    <xf numFmtId="0" fontId="55" fillId="5" borderId="0" xfId="0" applyFont="1" applyFill="1" applyAlignment="1">
      <alignment horizontal="center" vertical="center" wrapText="1"/>
    </xf>
    <xf numFmtId="0" fontId="56" fillId="5" borderId="0" xfId="0" applyFont="1" applyFill="1" applyAlignment="1">
      <alignment horizontal="center" vertical="top" wrapText="1"/>
    </xf>
    <xf numFmtId="2" fontId="55" fillId="5" borderId="0" xfId="0" applyNumberFormat="1" applyFont="1" applyFill="1" applyAlignment="1">
      <alignment horizontal="center" vertical="center" wrapText="1"/>
    </xf>
    <xf numFmtId="0" fontId="57" fillId="6" borderId="0" xfId="0" applyFont="1" applyFill="1" applyAlignment="1">
      <alignment horizontal="center" vertical="center" wrapText="1"/>
    </xf>
    <xf numFmtId="0" fontId="58" fillId="5" borderId="0" xfId="0" applyFont="1" applyFill="1" applyAlignment="1">
      <alignment horizontal="center" vertical="center"/>
    </xf>
    <xf numFmtId="0" fontId="55" fillId="9" borderId="0" xfId="0" applyFont="1" applyFill="1" applyAlignment="1">
      <alignment horizontal="center" vertical="center" wrapText="1"/>
    </xf>
    <xf numFmtId="0" fontId="59" fillId="9" borderId="0" xfId="0" applyFont="1" applyFill="1" applyAlignment="1">
      <alignment horizontal="center" vertical="top" wrapText="1"/>
    </xf>
    <xf numFmtId="2" fontId="55" fillId="9" borderId="0" xfId="0" applyNumberFormat="1" applyFont="1" applyFill="1" applyAlignment="1">
      <alignment horizontal="center" vertical="center" wrapText="1"/>
    </xf>
    <xf numFmtId="0" fontId="58" fillId="9" borderId="0" xfId="0" applyFont="1" applyFill="1" applyAlignment="1">
      <alignment horizontal="center" vertical="center"/>
    </xf>
    <xf numFmtId="0" fontId="59" fillId="5" borderId="0" xfId="0" applyFont="1" applyFill="1" applyAlignment="1">
      <alignment horizontal="center" vertical="top" wrapText="1"/>
    </xf>
    <xf numFmtId="0" fontId="55" fillId="29" borderId="0" xfId="0" applyFont="1" applyFill="1" applyAlignment="1">
      <alignment horizontal="center" vertical="center" wrapText="1"/>
    </xf>
    <xf numFmtId="0" fontId="56" fillId="29" borderId="0" xfId="0" applyFont="1" applyFill="1" applyAlignment="1">
      <alignment horizontal="center" vertical="top" wrapText="1"/>
    </xf>
    <xf numFmtId="2" fontId="55" fillId="29" borderId="0" xfId="0" applyNumberFormat="1" applyFont="1" applyFill="1" applyAlignment="1">
      <alignment horizontal="center" vertical="center" wrapText="1"/>
    </xf>
    <xf numFmtId="0" fontId="58" fillId="29" borderId="0" xfId="0" applyFont="1" applyFill="1" applyAlignment="1">
      <alignment horizontal="center" vertical="center"/>
    </xf>
    <xf numFmtId="4" fontId="55" fillId="9" borderId="0" xfId="0" applyNumberFormat="1" applyFont="1" applyFill="1" applyAlignment="1">
      <alignment horizontal="center" vertical="center" wrapText="1"/>
    </xf>
    <xf numFmtId="4" fontId="55" fillId="29" borderId="0" xfId="0" applyNumberFormat="1" applyFont="1" applyFill="1" applyAlignment="1">
      <alignment horizontal="center" vertical="center" wrapText="1"/>
    </xf>
    <xf numFmtId="4" fontId="55" fillId="5" borderId="0" xfId="0" applyNumberFormat="1" applyFont="1" applyFill="1" applyAlignment="1">
      <alignment horizontal="center" vertical="center" wrapText="1"/>
    </xf>
    <xf numFmtId="0" fontId="60" fillId="5" borderId="0" xfId="0" applyFont="1" applyFill="1" applyAlignment="1">
      <alignment horizontal="center" vertical="center" wrapText="1"/>
    </xf>
    <xf numFmtId="0" fontId="61" fillId="30" borderId="0" xfId="0" applyFont="1" applyFill="1" applyAlignment="1">
      <alignment horizontal="center" vertical="center" wrapText="1"/>
    </xf>
    <xf numFmtId="0" fontId="62" fillId="18" borderId="0" xfId="0" applyFont="1" applyFill="1" applyAlignment="1">
      <alignment horizontal="center" vertical="center" wrapText="1"/>
    </xf>
    <xf numFmtId="10" fontId="55" fillId="29" borderId="0" xfId="0" applyNumberFormat="1" applyFont="1" applyFill="1" applyAlignment="1">
      <alignment horizontal="center" vertical="center" wrapText="1"/>
    </xf>
    <xf numFmtId="0" fontId="60" fillId="9" borderId="0" xfId="0" applyFont="1" applyFill="1" applyAlignment="1">
      <alignment horizontal="center" vertical="center" wrapText="1"/>
    </xf>
    <xf numFmtId="0" fontId="54" fillId="3" borderId="0" xfId="0" applyFont="1" applyFill="1" applyAlignment="1">
      <alignment horizontal="center"/>
    </xf>
    <xf numFmtId="0" fontId="57" fillId="6" borderId="0" xfId="0" applyFont="1" applyFill="1"/>
    <xf numFmtId="0" fontId="63" fillId="6" borderId="0" xfId="0" applyFont="1" applyFill="1" applyAlignment="1">
      <alignment horizontal="center"/>
    </xf>
    <xf numFmtId="169" fontId="63" fillId="6" borderId="0" xfId="0" applyNumberFormat="1" applyFont="1" applyFill="1" applyAlignment="1">
      <alignment horizontal="center"/>
    </xf>
    <xf numFmtId="0" fontId="62" fillId="18" borderId="0" xfId="0" applyFont="1" applyFill="1"/>
    <xf numFmtId="0" fontId="64" fillId="18" borderId="0" xfId="0" applyFont="1" applyFill="1" applyAlignment="1">
      <alignment horizontal="center"/>
    </xf>
    <xf numFmtId="169" fontId="64" fillId="18" borderId="0" xfId="0" applyNumberFormat="1" applyFont="1" applyFill="1" applyAlignment="1">
      <alignment horizontal="center"/>
    </xf>
    <xf numFmtId="0" fontId="65" fillId="8" borderId="0" xfId="0" applyFont="1" applyFill="1"/>
    <xf numFmtId="0" fontId="66" fillId="8" borderId="0" xfId="0" applyFont="1" applyFill="1" applyAlignment="1">
      <alignment horizontal="center"/>
    </xf>
    <xf numFmtId="169" fontId="66" fillId="8" borderId="0" xfId="0" applyNumberFormat="1" applyFont="1" applyFill="1" applyAlignment="1">
      <alignment horizontal="center"/>
    </xf>
    <xf numFmtId="0" fontId="67" fillId="4" borderId="0" xfId="0" applyFont="1" applyFill="1"/>
    <xf numFmtId="0" fontId="68" fillId="4" borderId="0" xfId="0" applyFont="1" applyFill="1" applyAlignment="1">
      <alignment horizontal="center"/>
    </xf>
    <xf numFmtId="169" fontId="68" fillId="4" borderId="0" xfId="0" applyNumberFormat="1" applyFont="1" applyFill="1" applyAlignment="1">
      <alignment horizontal="center"/>
    </xf>
    <xf numFmtId="0" fontId="54" fillId="2" borderId="0" xfId="0" applyFont="1" applyFill="1"/>
    <xf numFmtId="0" fontId="16" fillId="2" borderId="0" xfId="0" applyFont="1" applyFill="1" applyAlignment="1">
      <alignment horizontal="center"/>
    </xf>
    <xf numFmtId="9" fontId="16" fillId="2" borderId="0" xfId="0" applyNumberFormat="1" applyFont="1" applyFill="1" applyAlignment="1">
      <alignment horizontal="center"/>
    </xf>
    <xf numFmtId="0" fontId="52" fillId="4" borderId="0" xfId="0" applyFont="1" applyFill="1"/>
    <xf numFmtId="0" fontId="54" fillId="2" borderId="18" xfId="0" applyFont="1" applyFill="1" applyBorder="1" applyAlignment="1">
      <alignment horizontal="center" vertical="center" wrapText="1"/>
    </xf>
    <xf numFmtId="0" fontId="56" fillId="29" borderId="18" xfId="0" applyFont="1" applyFill="1" applyBorder="1" applyAlignment="1">
      <alignment horizontal="left" vertical="center" wrapText="1"/>
    </xf>
    <xf numFmtId="0" fontId="69" fillId="29" borderId="18" xfId="0" applyFont="1" applyFill="1" applyBorder="1" applyAlignment="1">
      <alignment horizontal="center" vertical="center" wrapText="1"/>
    </xf>
    <xf numFmtId="171" fontId="55" fillId="29" borderId="18" xfId="0" applyNumberFormat="1" applyFont="1" applyFill="1" applyBorder="1" applyAlignment="1">
      <alignment horizontal="center" vertical="center"/>
    </xf>
    <xf numFmtId="171" fontId="55" fillId="9" borderId="18" xfId="0" applyNumberFormat="1" applyFont="1" applyFill="1" applyBorder="1" applyAlignment="1">
      <alignment horizontal="center" vertical="center"/>
    </xf>
    <xf numFmtId="172" fontId="70" fillId="9" borderId="18" xfId="0" applyNumberFormat="1" applyFont="1" applyFill="1" applyBorder="1" applyAlignment="1">
      <alignment horizontal="center" vertical="center"/>
    </xf>
    <xf numFmtId="0" fontId="71" fillId="6" borderId="18" xfId="0" applyFont="1" applyFill="1" applyBorder="1" applyAlignment="1">
      <alignment horizontal="center" vertical="center" wrapText="1"/>
    </xf>
    <xf numFmtId="0" fontId="72" fillId="9" borderId="18" xfId="0" applyFont="1" applyFill="1" applyBorder="1" applyAlignment="1">
      <alignment horizontal="center" vertical="center" wrapText="1"/>
    </xf>
    <xf numFmtId="0" fontId="73" fillId="9" borderId="18" xfId="0" applyFont="1" applyFill="1" applyBorder="1" applyAlignment="1">
      <alignment horizontal="left" vertical="center" wrapText="1"/>
    </xf>
    <xf numFmtId="0" fontId="72" fillId="9" borderId="0" xfId="0" applyFont="1" applyFill="1" applyAlignment="1">
      <alignment horizontal="center" vertical="center" wrapText="1"/>
    </xf>
    <xf numFmtId="0" fontId="72" fillId="29" borderId="0" xfId="0" applyFont="1" applyFill="1" applyAlignment="1">
      <alignment horizontal="left" vertical="center" wrapText="1"/>
    </xf>
    <xf numFmtId="0" fontId="72" fillId="29" borderId="0" xfId="0" applyFont="1" applyFill="1" applyAlignment="1">
      <alignment horizontal="center" vertical="center" wrapText="1"/>
    </xf>
    <xf numFmtId="0" fontId="74" fillId="5" borderId="18" xfId="0" applyFont="1" applyFill="1" applyBorder="1" applyAlignment="1">
      <alignment horizontal="left" vertical="center" wrapText="1"/>
    </xf>
    <xf numFmtId="0" fontId="55" fillId="5" borderId="18" xfId="0" applyFont="1" applyFill="1" applyBorder="1" applyAlignment="1">
      <alignment horizontal="left" vertical="center" wrapText="1"/>
    </xf>
    <xf numFmtId="0" fontId="69" fillId="5" borderId="18" xfId="0" applyFont="1" applyFill="1" applyBorder="1" applyAlignment="1">
      <alignment horizontal="center" vertical="center" wrapText="1"/>
    </xf>
    <xf numFmtId="171" fontId="55" fillId="5" borderId="18" xfId="0" applyNumberFormat="1" applyFont="1" applyFill="1" applyBorder="1" applyAlignment="1">
      <alignment horizontal="center" vertical="center"/>
    </xf>
    <xf numFmtId="172" fontId="70" fillId="5" borderId="18" xfId="0" applyNumberFormat="1" applyFont="1" applyFill="1" applyBorder="1" applyAlignment="1">
      <alignment horizontal="center" vertical="center"/>
    </xf>
    <xf numFmtId="0" fontId="72" fillId="5" borderId="18" xfId="0" applyFont="1" applyFill="1" applyBorder="1" applyAlignment="1">
      <alignment horizontal="center" vertical="center" wrapText="1"/>
    </xf>
    <xf numFmtId="0" fontId="73" fillId="5" borderId="18" xfId="0" applyFont="1" applyFill="1" applyBorder="1" applyAlignment="1">
      <alignment horizontal="left" vertical="center" wrapText="1"/>
    </xf>
    <xf numFmtId="0" fontId="72" fillId="5" borderId="0" xfId="0" applyFont="1" applyFill="1" applyAlignment="1">
      <alignment horizontal="center" vertical="center" wrapText="1"/>
    </xf>
    <xf numFmtId="0" fontId="72" fillId="5" borderId="0" xfId="0" applyFont="1" applyFill="1" applyAlignment="1">
      <alignment horizontal="left" vertical="center" wrapText="1"/>
    </xf>
    <xf numFmtId="0" fontId="74" fillId="9" borderId="18" xfId="0" applyFont="1" applyFill="1" applyBorder="1" applyAlignment="1">
      <alignment horizontal="left" vertical="center" wrapText="1"/>
    </xf>
    <xf numFmtId="0" fontId="55" fillId="9" borderId="18" xfId="0" applyFont="1" applyFill="1" applyBorder="1" applyAlignment="1">
      <alignment horizontal="left" vertical="center" wrapText="1"/>
    </xf>
    <xf numFmtId="0" fontId="69" fillId="9" borderId="18" xfId="0" applyFont="1" applyFill="1" applyBorder="1" applyAlignment="1">
      <alignment horizontal="center" vertical="center" wrapText="1"/>
    </xf>
    <xf numFmtId="0" fontId="72" fillId="9" borderId="0" xfId="0" applyFont="1" applyFill="1" applyAlignment="1">
      <alignment horizontal="left" vertical="center" wrapText="1"/>
    </xf>
    <xf numFmtId="4" fontId="55" fillId="5" borderId="18" xfId="0" applyNumberFormat="1" applyFont="1" applyFill="1" applyBorder="1" applyAlignment="1">
      <alignment horizontal="center" vertical="center"/>
    </xf>
    <xf numFmtId="173" fontId="70" fillId="5" borderId="18" xfId="0" applyNumberFormat="1" applyFont="1" applyFill="1" applyBorder="1" applyAlignment="1">
      <alignment horizontal="center" vertical="center"/>
    </xf>
    <xf numFmtId="4" fontId="55" fillId="29" borderId="18" xfId="0" applyNumberFormat="1" applyFont="1" applyFill="1" applyBorder="1" applyAlignment="1">
      <alignment horizontal="center" vertical="center"/>
    </xf>
    <xf numFmtId="3" fontId="55" fillId="5" borderId="18" xfId="0" applyNumberFormat="1" applyFont="1" applyFill="1" applyBorder="1" applyAlignment="1">
      <alignment horizontal="center" vertical="center"/>
    </xf>
    <xf numFmtId="1" fontId="55" fillId="5" borderId="18" xfId="0" applyNumberFormat="1" applyFont="1" applyFill="1" applyBorder="1" applyAlignment="1">
      <alignment horizontal="center" vertical="center"/>
    </xf>
    <xf numFmtId="174" fontId="70" fillId="5" borderId="18" xfId="0" applyNumberFormat="1" applyFont="1" applyFill="1" applyBorder="1" applyAlignment="1">
      <alignment horizontal="center" vertical="center"/>
    </xf>
    <xf numFmtId="0" fontId="74" fillId="31" borderId="18" xfId="0" applyFont="1" applyFill="1" applyBorder="1" applyAlignment="1">
      <alignment horizontal="left" vertical="center" wrapText="1"/>
    </xf>
    <xf numFmtId="0" fontId="55" fillId="31" borderId="18" xfId="0" applyFont="1" applyFill="1" applyBorder="1" applyAlignment="1">
      <alignment horizontal="left" vertical="center" wrapText="1"/>
    </xf>
    <xf numFmtId="0" fontId="69" fillId="31" borderId="18" xfId="0" applyFont="1" applyFill="1" applyBorder="1" applyAlignment="1">
      <alignment horizontal="center" vertical="center" wrapText="1"/>
    </xf>
    <xf numFmtId="3" fontId="55" fillId="31" borderId="18" xfId="0" applyNumberFormat="1" applyFont="1" applyFill="1" applyBorder="1" applyAlignment="1">
      <alignment horizontal="center" vertical="center"/>
    </xf>
    <xf numFmtId="1" fontId="55" fillId="31" borderId="18" xfId="0" applyNumberFormat="1" applyFont="1" applyFill="1" applyBorder="1" applyAlignment="1">
      <alignment horizontal="center" vertical="center"/>
    </xf>
    <xf numFmtId="174" fontId="70" fillId="31" borderId="18" xfId="0" applyNumberFormat="1" applyFont="1" applyFill="1" applyBorder="1" applyAlignment="1">
      <alignment horizontal="center" vertical="center"/>
    </xf>
    <xf numFmtId="0" fontId="75" fillId="30" borderId="18" xfId="0" applyFont="1" applyFill="1" applyBorder="1" applyAlignment="1">
      <alignment horizontal="center" vertical="center" wrapText="1"/>
    </xf>
    <xf numFmtId="0" fontId="72" fillId="31" borderId="18" xfId="0" applyFont="1" applyFill="1" applyBorder="1" applyAlignment="1">
      <alignment horizontal="center" vertical="center" wrapText="1"/>
    </xf>
    <xf numFmtId="0" fontId="73" fillId="31" borderId="18" xfId="0" applyFont="1" applyFill="1" applyBorder="1" applyAlignment="1">
      <alignment horizontal="left" vertical="center" wrapText="1"/>
    </xf>
    <xf numFmtId="0" fontId="72" fillId="31" borderId="0" xfId="0" applyFont="1" applyFill="1" applyAlignment="1">
      <alignment horizontal="center" vertical="center" wrapText="1"/>
    </xf>
    <xf numFmtId="0" fontId="72" fillId="31" borderId="0" xfId="0" applyFont="1" applyFill="1" applyAlignment="1">
      <alignment horizontal="left" vertical="center" wrapText="1"/>
    </xf>
    <xf numFmtId="10" fontId="55" fillId="5" borderId="18" xfId="0" applyNumberFormat="1" applyFont="1" applyFill="1" applyBorder="1" applyAlignment="1">
      <alignment horizontal="center" vertical="center"/>
    </xf>
    <xf numFmtId="175" fontId="70" fillId="5" borderId="18" xfId="0" applyNumberFormat="1" applyFont="1" applyFill="1" applyBorder="1" applyAlignment="1">
      <alignment horizontal="center" vertical="center"/>
    </xf>
    <xf numFmtId="0" fontId="56" fillId="29" borderId="0" xfId="0" applyFont="1" applyFill="1" applyAlignment="1">
      <alignment horizontal="left"/>
    </xf>
    <xf numFmtId="0" fontId="69" fillId="29" borderId="0" xfId="0" applyFont="1" applyFill="1" applyAlignment="1">
      <alignment horizontal="center"/>
    </xf>
    <xf numFmtId="171" fontId="55" fillId="29" borderId="0" xfId="0" applyNumberFormat="1" applyFont="1" applyFill="1" applyAlignment="1">
      <alignment horizontal="center"/>
    </xf>
    <xf numFmtId="171" fontId="55" fillId="9" borderId="0" xfId="0" applyNumberFormat="1" applyFont="1" applyFill="1" applyAlignment="1">
      <alignment horizontal="center"/>
    </xf>
    <xf numFmtId="172" fontId="70" fillId="9" borderId="0" xfId="0" applyNumberFormat="1" applyFont="1" applyFill="1" applyAlignment="1">
      <alignment horizontal="center"/>
    </xf>
    <xf numFmtId="0" fontId="71" fillId="6" borderId="0" xfId="0" applyFont="1" applyFill="1" applyAlignment="1">
      <alignment horizontal="center"/>
    </xf>
    <xf numFmtId="0" fontId="72" fillId="9" borderId="0" xfId="0" applyFont="1" applyFill="1" applyAlignment="1">
      <alignment horizontal="center"/>
    </xf>
    <xf numFmtId="168" fontId="73" fillId="9" borderId="18" xfId="0" applyNumberFormat="1" applyFont="1" applyFill="1" applyBorder="1" applyAlignment="1">
      <alignment horizontal="right" vertical="center" wrapText="1"/>
    </xf>
    <xf numFmtId="0" fontId="72" fillId="29" borderId="0" xfId="0" applyFont="1" applyFill="1"/>
    <xf numFmtId="0" fontId="72" fillId="29" borderId="0" xfId="0" applyFont="1" applyFill="1" applyAlignment="1">
      <alignment horizontal="center"/>
    </xf>
    <xf numFmtId="0" fontId="56" fillId="29" borderId="45" xfId="0" applyFont="1" applyFill="1" applyBorder="1" applyAlignment="1">
      <alignment horizontal="left" vertical="center" wrapText="1"/>
    </xf>
    <xf numFmtId="171" fontId="55" fillId="5" borderId="0" xfId="0" applyNumberFormat="1" applyFont="1" applyFill="1" applyAlignment="1">
      <alignment horizontal="center"/>
    </xf>
    <xf numFmtId="172" fontId="70" fillId="5" borderId="0" xfId="0" applyNumberFormat="1" applyFont="1" applyFill="1" applyAlignment="1">
      <alignment horizontal="center"/>
    </xf>
    <xf numFmtId="0" fontId="72" fillId="5" borderId="0" xfId="0" applyFont="1" applyFill="1" applyAlignment="1">
      <alignment horizontal="center"/>
    </xf>
    <xf numFmtId="0" fontId="73" fillId="5" borderId="0" xfId="0" applyFont="1" applyFill="1" applyAlignment="1">
      <alignment wrapText="1"/>
    </xf>
    <xf numFmtId="0" fontId="55" fillId="9" borderId="0" xfId="0" applyFont="1" applyFill="1" applyAlignment="1">
      <alignment horizontal="left"/>
    </xf>
    <xf numFmtId="0" fontId="69" fillId="9" borderId="0" xfId="0" applyFont="1" applyFill="1" applyAlignment="1">
      <alignment horizontal="center"/>
    </xf>
    <xf numFmtId="0" fontId="72" fillId="9" borderId="0" xfId="0" applyFont="1" applyFill="1"/>
    <xf numFmtId="0" fontId="55" fillId="5" borderId="0" xfId="0" applyFont="1" applyFill="1" applyAlignment="1">
      <alignment horizontal="left"/>
    </xf>
    <xf numFmtId="0" fontId="69" fillId="5" borderId="0" xfId="0" applyFont="1" applyFill="1" applyAlignment="1">
      <alignment horizontal="center"/>
    </xf>
    <xf numFmtId="168" fontId="73" fillId="5" borderId="18" xfId="0" applyNumberFormat="1" applyFont="1" applyFill="1" applyBorder="1" applyAlignment="1">
      <alignment horizontal="right" vertical="center" wrapText="1"/>
    </xf>
    <xf numFmtId="0" fontId="72" fillId="5" borderId="0" xfId="0" applyFont="1" applyFill="1"/>
    <xf numFmtId="0" fontId="56" fillId="32" borderId="18" xfId="0" applyFont="1" applyFill="1" applyBorder="1" applyAlignment="1">
      <alignment horizontal="left" vertical="center" wrapText="1"/>
    </xf>
    <xf numFmtId="168" fontId="76" fillId="0" borderId="18" xfId="0" applyNumberFormat="1" applyFont="1" applyBorder="1" applyAlignment="1">
      <alignment horizontal="right" vertical="center"/>
    </xf>
    <xf numFmtId="0" fontId="18" fillId="3" borderId="0" xfId="0" applyFont="1" applyFill="1" applyAlignment="1">
      <alignment horizontal="center"/>
    </xf>
    <xf numFmtId="0" fontId="77" fillId="4" borderId="0" xfId="0" applyFont="1" applyFill="1"/>
    <xf numFmtId="0" fontId="78" fillId="4" borderId="0" xfId="0" applyFont="1" applyFill="1" applyAlignment="1">
      <alignment horizontal="center"/>
    </xf>
    <xf numFmtId="169" fontId="9" fillId="6" borderId="0" xfId="0" applyNumberFormat="1" applyFont="1" applyFill="1" applyAlignment="1">
      <alignment horizontal="center"/>
    </xf>
    <xf numFmtId="0" fontId="79" fillId="18" borderId="0" xfId="0" applyFont="1" applyFill="1"/>
    <xf numFmtId="0" fontId="80" fillId="18" borderId="0" xfId="0" applyFont="1" applyFill="1" applyAlignment="1">
      <alignment horizontal="center"/>
    </xf>
    <xf numFmtId="169" fontId="80" fillId="18" borderId="0" xfId="0" applyNumberFormat="1" applyFont="1" applyFill="1" applyAlignment="1">
      <alignment horizontal="center"/>
    </xf>
    <xf numFmtId="0" fontId="81" fillId="8" borderId="0" xfId="0" applyFont="1" applyFill="1" applyAlignment="1">
      <alignment horizontal="center"/>
    </xf>
    <xf numFmtId="169" fontId="81" fillId="8" borderId="0" xfId="0" applyNumberFormat="1" applyFont="1" applyFill="1" applyAlignment="1">
      <alignment horizontal="center"/>
    </xf>
    <xf numFmtId="0" fontId="82" fillId="4" borderId="0" xfId="0" applyFont="1" applyFill="1"/>
    <xf numFmtId="0" fontId="83" fillId="4" borderId="0" xfId="0" applyFont="1" applyFill="1" applyAlignment="1">
      <alignment horizontal="center"/>
    </xf>
    <xf numFmtId="169" fontId="83" fillId="4" borderId="0" xfId="0" applyNumberFormat="1" applyFont="1" applyFill="1" applyAlignment="1">
      <alignment horizontal="center"/>
    </xf>
    <xf numFmtId="0" fontId="84" fillId="33" borderId="0" xfId="0" applyFont="1" applyFill="1"/>
    <xf numFmtId="0" fontId="85" fillId="33" borderId="0" xfId="0" applyFont="1" applyFill="1" applyAlignment="1">
      <alignment horizontal="center"/>
    </xf>
    <xf numFmtId="169" fontId="85" fillId="33" borderId="0" xfId="0" applyNumberFormat="1" applyFont="1" applyFill="1" applyAlignment="1">
      <alignment horizontal="center"/>
    </xf>
    <xf numFmtId="0" fontId="86" fillId="9" borderId="0" xfId="0" applyFont="1" applyFill="1"/>
    <xf numFmtId="169" fontId="83" fillId="9" borderId="0" xfId="0" applyNumberFormat="1" applyFont="1" applyFill="1" applyAlignment="1">
      <alignment horizontal="center"/>
    </xf>
    <xf numFmtId="0" fontId="87" fillId="9" borderId="0" xfId="0" applyFont="1" applyFill="1"/>
    <xf numFmtId="0" fontId="88" fillId="2" borderId="0" xfId="0" applyFont="1" applyFill="1"/>
    <xf numFmtId="0" fontId="89" fillId="4" borderId="0" xfId="0" applyFont="1" applyFill="1"/>
    <xf numFmtId="0" fontId="17" fillId="5" borderId="0" xfId="0" applyFont="1" applyFill="1"/>
    <xf numFmtId="0" fontId="0" fillId="5" borderId="0" xfId="0" applyFill="1"/>
    <xf numFmtId="0" fontId="54" fillId="3" borderId="18" xfId="0" applyFont="1" applyFill="1" applyBorder="1" applyAlignment="1">
      <alignment horizontal="left" vertical="center" wrapText="1"/>
    </xf>
    <xf numFmtId="0" fontId="54" fillId="3" borderId="18" xfId="0" applyFont="1" applyFill="1" applyBorder="1" applyAlignment="1">
      <alignment horizontal="center" vertical="center" wrapText="1"/>
    </xf>
    <xf numFmtId="0" fontId="56" fillId="5" borderId="18" xfId="0" applyFont="1" applyFill="1" applyBorder="1" applyAlignment="1">
      <alignment horizontal="left" vertical="center" wrapText="1"/>
    </xf>
    <xf numFmtId="3" fontId="55" fillId="5" borderId="18" xfId="0" applyNumberFormat="1" applyFont="1" applyFill="1" applyBorder="1" applyAlignment="1">
      <alignment horizontal="right" vertical="center"/>
    </xf>
    <xf numFmtId="165" fontId="55" fillId="5" borderId="18" xfId="0" applyNumberFormat="1" applyFont="1" applyFill="1" applyBorder="1" applyAlignment="1">
      <alignment horizontal="right" vertical="center"/>
    </xf>
    <xf numFmtId="168" fontId="55" fillId="5" borderId="18" xfId="0" applyNumberFormat="1" applyFont="1" applyFill="1" applyBorder="1" applyAlignment="1">
      <alignment horizontal="right" vertical="center"/>
    </xf>
    <xf numFmtId="0" fontId="90" fillId="5" borderId="0" xfId="0" applyFont="1" applyFill="1"/>
    <xf numFmtId="0" fontId="56" fillId="9" borderId="18" xfId="0" applyFont="1" applyFill="1" applyBorder="1" applyAlignment="1">
      <alignment horizontal="left" vertical="center" wrapText="1"/>
    </xf>
    <xf numFmtId="0" fontId="90" fillId="9" borderId="0" xfId="0" applyFont="1" applyFill="1"/>
    <xf numFmtId="0" fontId="91" fillId="5" borderId="18" xfId="0" applyFont="1" applyFill="1" applyBorder="1" applyAlignment="1">
      <alignment horizontal="left" vertical="center" wrapText="1"/>
    </xf>
    <xf numFmtId="0" fontId="92" fillId="18" borderId="18" xfId="0" applyFont="1" applyFill="1" applyBorder="1" applyAlignment="1">
      <alignment horizontal="left" vertical="center" wrapText="1"/>
    </xf>
    <xf numFmtId="0" fontId="54" fillId="2" borderId="18" xfId="0" applyFont="1" applyFill="1" applyBorder="1" applyAlignment="1">
      <alignment horizontal="left" vertical="center" wrapText="1"/>
    </xf>
    <xf numFmtId="3" fontId="54" fillId="2" borderId="18" xfId="0" applyNumberFormat="1" applyFont="1" applyFill="1" applyBorder="1" applyAlignment="1">
      <alignment horizontal="right" vertical="center"/>
    </xf>
    <xf numFmtId="165" fontId="54" fillId="2" borderId="18" xfId="0" applyNumberFormat="1" applyFont="1" applyFill="1" applyBorder="1" applyAlignment="1">
      <alignment horizontal="right" vertical="center"/>
    </xf>
    <xf numFmtId="168" fontId="54" fillId="2" borderId="18" xfId="0" applyNumberFormat="1" applyFont="1" applyFill="1" applyBorder="1" applyAlignment="1">
      <alignment horizontal="right" vertical="center"/>
    </xf>
    <xf numFmtId="0" fontId="18" fillId="2" borderId="0" xfId="0" applyFont="1" applyFill="1"/>
    <xf numFmtId="0" fontId="93" fillId="18" borderId="0" xfId="0" applyFont="1" applyFill="1"/>
    <xf numFmtId="0" fontId="18" fillId="3" borderId="0" xfId="0" applyFont="1" applyFill="1" applyAlignment="1">
      <alignment horizontal="left"/>
    </xf>
    <xf numFmtId="0" fontId="18" fillId="3" borderId="0" xfId="0" applyFont="1" applyFill="1" applyAlignment="1">
      <alignment horizontal="right"/>
    </xf>
    <xf numFmtId="0" fontId="18" fillId="3" borderId="0" xfId="0" applyFont="1" applyFill="1"/>
    <xf numFmtId="0" fontId="77" fillId="5" borderId="0" xfId="0" applyFont="1" applyFill="1" applyAlignment="1">
      <alignment horizontal="left"/>
    </xf>
    <xf numFmtId="3" fontId="90" fillId="5" borderId="0" xfId="0" applyNumberFormat="1" applyFont="1" applyFill="1" applyAlignment="1">
      <alignment horizontal="right"/>
    </xf>
    <xf numFmtId="0" fontId="3" fillId="5" borderId="0" xfId="0" applyFont="1" applyFill="1" applyAlignment="1">
      <alignment horizontal="left"/>
    </xf>
    <xf numFmtId="0" fontId="77" fillId="9" borderId="0" xfId="0" applyFont="1" applyFill="1" applyAlignment="1">
      <alignment horizontal="left"/>
    </xf>
    <xf numFmtId="3" fontId="90" fillId="9" borderId="0" xfId="0" applyNumberFormat="1" applyFont="1" applyFill="1" applyAlignment="1">
      <alignment horizontal="right"/>
    </xf>
    <xf numFmtId="0" fontId="3" fillId="9" borderId="0" xfId="0" applyFont="1" applyFill="1" applyAlignment="1">
      <alignment horizontal="left"/>
    </xf>
    <xf numFmtId="0" fontId="94" fillId="18" borderId="0" xfId="0" applyFont="1" applyFill="1" applyAlignment="1">
      <alignment horizontal="left"/>
    </xf>
    <xf numFmtId="3" fontId="95" fillId="18" borderId="0" xfId="0" applyNumberFormat="1" applyFont="1" applyFill="1" applyAlignment="1">
      <alignment horizontal="right"/>
    </xf>
    <xf numFmtId="0" fontId="96" fillId="18" borderId="0" xfId="0" applyFont="1" applyFill="1" applyAlignment="1">
      <alignment horizontal="left"/>
    </xf>
    <xf numFmtId="0" fontId="53" fillId="6" borderId="0" xfId="0" applyFont="1" applyFill="1" applyAlignment="1">
      <alignment horizontal="left"/>
    </xf>
    <xf numFmtId="3" fontId="53" fillId="6" borderId="0" xfId="0" applyNumberFormat="1" applyFont="1" applyFill="1" applyAlignment="1">
      <alignment horizontal="right"/>
    </xf>
    <xf numFmtId="0" fontId="97" fillId="6" borderId="0" xfId="0" applyFont="1" applyFill="1" applyAlignment="1">
      <alignment horizontal="left"/>
    </xf>
    <xf numFmtId="10" fontId="90" fillId="9" borderId="0" xfId="0" applyNumberFormat="1" applyFont="1" applyFill="1" applyAlignment="1">
      <alignment horizontal="right"/>
    </xf>
    <xf numFmtId="10" fontId="90" fillId="5" borderId="0" xfId="0" applyNumberFormat="1" applyFont="1" applyFill="1" applyAlignment="1">
      <alignment horizontal="right"/>
    </xf>
    <xf numFmtId="3" fontId="4" fillId="2" borderId="0" xfId="0" applyNumberFormat="1" applyFont="1" applyFill="1" applyAlignment="1">
      <alignment horizontal="right"/>
    </xf>
    <xf numFmtId="10" fontId="4" fillId="2" borderId="0" xfId="0" applyNumberFormat="1" applyFont="1" applyFill="1" applyAlignment="1">
      <alignment horizontal="right"/>
    </xf>
    <xf numFmtId="3" fontId="94" fillId="18" borderId="0" xfId="0" applyNumberFormat="1" applyFont="1" applyFill="1" applyAlignment="1">
      <alignment horizontal="right"/>
    </xf>
    <xf numFmtId="0" fontId="90" fillId="18" borderId="0" xfId="0" applyFont="1" applyFill="1"/>
    <xf numFmtId="0" fontId="98" fillId="3" borderId="18" xfId="0" applyFont="1" applyFill="1" applyBorder="1" applyAlignment="1">
      <alignment horizontal="left" vertical="center" wrapText="1"/>
    </xf>
    <xf numFmtId="0" fontId="98" fillId="3" borderId="18" xfId="0" applyFont="1" applyFill="1" applyBorder="1" applyAlignment="1">
      <alignment horizontal="center" vertical="center" wrapText="1"/>
    </xf>
    <xf numFmtId="0" fontId="99" fillId="23" borderId="18" xfId="0" applyFont="1" applyFill="1" applyBorder="1" applyAlignment="1">
      <alignment horizontal="center" vertical="center" wrapText="1"/>
    </xf>
    <xf numFmtId="0" fontId="73" fillId="23" borderId="18" xfId="0" applyFont="1" applyFill="1" applyBorder="1" applyAlignment="1">
      <alignment horizontal="left" vertical="center" wrapText="1"/>
    </xf>
    <xf numFmtId="0" fontId="73" fillId="23" borderId="18" xfId="0" applyFont="1" applyFill="1" applyBorder="1" applyAlignment="1">
      <alignment horizontal="center" vertical="center" wrapText="1"/>
    </xf>
    <xf numFmtId="0" fontId="100" fillId="23" borderId="18" xfId="0" applyFont="1" applyFill="1" applyBorder="1" applyAlignment="1">
      <alignment horizontal="center" vertical="center" wrapText="1"/>
    </xf>
    <xf numFmtId="4" fontId="73" fillId="23" borderId="18" xfId="0" applyNumberFormat="1" applyFont="1" applyFill="1" applyBorder="1" applyAlignment="1">
      <alignment horizontal="right" vertical="center"/>
    </xf>
    <xf numFmtId="164" fontId="73" fillId="23" borderId="18" xfId="0" applyNumberFormat="1" applyFont="1" applyFill="1" applyBorder="1" applyAlignment="1">
      <alignment horizontal="right" vertical="center"/>
    </xf>
    <xf numFmtId="169" fontId="73" fillId="23" borderId="18" xfId="0" applyNumberFormat="1" applyFont="1" applyFill="1" applyBorder="1" applyAlignment="1">
      <alignment horizontal="center" vertical="center"/>
    </xf>
    <xf numFmtId="10" fontId="73" fillId="23" borderId="18" xfId="0" applyNumberFormat="1" applyFont="1" applyFill="1" applyBorder="1" applyAlignment="1">
      <alignment horizontal="center" vertical="center"/>
    </xf>
    <xf numFmtId="10" fontId="71" fillId="23" borderId="18" xfId="0" applyNumberFormat="1" applyFont="1" applyFill="1" applyBorder="1" applyAlignment="1">
      <alignment horizontal="center" vertical="center"/>
    </xf>
    <xf numFmtId="168" fontId="73" fillId="23" borderId="18" xfId="0" applyNumberFormat="1" applyFont="1" applyFill="1" applyBorder="1" applyAlignment="1">
      <alignment horizontal="center" vertical="center"/>
    </xf>
    <xf numFmtId="176" fontId="73" fillId="23" borderId="18" xfId="0" applyNumberFormat="1" applyFont="1" applyFill="1" applyBorder="1" applyAlignment="1">
      <alignment horizontal="center" vertical="center"/>
    </xf>
    <xf numFmtId="0" fontId="73" fillId="23" borderId="18" xfId="0" applyFont="1" applyFill="1" applyBorder="1" applyAlignment="1">
      <alignment horizontal="left" vertical="top"/>
    </xf>
    <xf numFmtId="0" fontId="73" fillId="23" borderId="18" xfId="0" applyFont="1" applyFill="1" applyBorder="1" applyAlignment="1">
      <alignment horizontal="left" vertical="top" wrapText="1"/>
    </xf>
    <xf numFmtId="0" fontId="101" fillId="5" borderId="18" xfId="0" applyFont="1" applyFill="1" applyBorder="1" applyAlignment="1">
      <alignment horizontal="center" vertical="center" wrapText="1"/>
    </xf>
    <xf numFmtId="0" fontId="73" fillId="5" borderId="18" xfId="0" applyFont="1" applyFill="1" applyBorder="1" applyAlignment="1">
      <alignment horizontal="center" vertical="center" wrapText="1"/>
    </xf>
    <xf numFmtId="0" fontId="100" fillId="5" borderId="18" xfId="0" applyFont="1" applyFill="1" applyBorder="1" applyAlignment="1">
      <alignment horizontal="center" vertical="center" wrapText="1"/>
    </xf>
    <xf numFmtId="0" fontId="99" fillId="5" borderId="18" xfId="0" applyFont="1" applyFill="1" applyBorder="1" applyAlignment="1">
      <alignment horizontal="center" vertical="center" wrapText="1"/>
    </xf>
    <xf numFmtId="4" fontId="73" fillId="5" borderId="18" xfId="0" applyNumberFormat="1" applyFont="1" applyFill="1" applyBorder="1" applyAlignment="1">
      <alignment horizontal="right" vertical="center"/>
    </xf>
    <xf numFmtId="164" fontId="73" fillId="5" borderId="18" xfId="0" applyNumberFormat="1" applyFont="1" applyFill="1" applyBorder="1" applyAlignment="1">
      <alignment horizontal="right" vertical="center"/>
    </xf>
    <xf numFmtId="169" fontId="73" fillId="5" borderId="18" xfId="0" applyNumberFormat="1" applyFont="1" applyFill="1" applyBorder="1" applyAlignment="1">
      <alignment horizontal="center" vertical="center"/>
    </xf>
    <xf numFmtId="10" fontId="73" fillId="5" borderId="18" xfId="0" applyNumberFormat="1" applyFont="1" applyFill="1" applyBorder="1" applyAlignment="1">
      <alignment horizontal="center" vertical="center"/>
    </xf>
    <xf numFmtId="10" fontId="71" fillId="5" borderId="18" xfId="0" applyNumberFormat="1" applyFont="1" applyFill="1" applyBorder="1" applyAlignment="1">
      <alignment horizontal="center" vertical="center"/>
    </xf>
    <xf numFmtId="168" fontId="73" fillId="5" borderId="18" xfId="0" applyNumberFormat="1" applyFont="1" applyFill="1" applyBorder="1" applyAlignment="1">
      <alignment horizontal="center" vertical="center"/>
    </xf>
    <xf numFmtId="176" fontId="73" fillId="5" borderId="18" xfId="0" applyNumberFormat="1" applyFont="1" applyFill="1" applyBorder="1" applyAlignment="1">
      <alignment horizontal="center" vertical="center"/>
    </xf>
    <xf numFmtId="0" fontId="73" fillId="5" borderId="18" xfId="0" applyFont="1" applyFill="1" applyBorder="1" applyAlignment="1">
      <alignment horizontal="left" vertical="top"/>
    </xf>
    <xf numFmtId="0" fontId="73" fillId="5" borderId="18" xfId="0" applyFont="1" applyFill="1" applyBorder="1" applyAlignment="1">
      <alignment horizontal="left" vertical="top" wrapText="1"/>
    </xf>
    <xf numFmtId="0" fontId="101" fillId="23" borderId="18" xfId="0" applyFont="1" applyFill="1" applyBorder="1" applyAlignment="1">
      <alignment horizontal="center" vertical="center" wrapText="1"/>
    </xf>
    <xf numFmtId="0" fontId="102" fillId="23" borderId="18" xfId="0" applyFont="1" applyFill="1" applyBorder="1" applyAlignment="1">
      <alignment horizontal="left" vertical="center" wrapText="1"/>
    </xf>
    <xf numFmtId="0" fontId="103" fillId="23" borderId="18" xfId="0" applyFont="1" applyFill="1" applyBorder="1" applyAlignment="1">
      <alignment horizontal="center" vertical="center" wrapText="1"/>
    </xf>
    <xf numFmtId="0" fontId="102" fillId="5" borderId="18" xfId="0" applyFont="1" applyFill="1" applyBorder="1" applyAlignment="1">
      <alignment horizontal="left" vertical="center" wrapText="1"/>
    </xf>
    <xf numFmtId="0" fontId="103" fillId="5" borderId="18" xfId="0" applyFont="1" applyFill="1" applyBorder="1" applyAlignment="1">
      <alignment horizontal="center" vertical="center" wrapText="1"/>
    </xf>
    <xf numFmtId="0" fontId="75" fillId="23" borderId="18" xfId="0" applyFont="1" applyFill="1" applyBorder="1" applyAlignment="1">
      <alignment horizontal="center" vertical="center" wrapText="1"/>
    </xf>
    <xf numFmtId="177" fontId="73" fillId="23" borderId="18" xfId="0" applyNumberFormat="1" applyFont="1" applyFill="1" applyBorder="1" applyAlignment="1">
      <alignment horizontal="center" vertical="center"/>
    </xf>
    <xf numFmtId="0" fontId="99" fillId="35" borderId="18" xfId="0" applyFont="1" applyFill="1" applyBorder="1" applyAlignment="1">
      <alignment horizontal="center" vertical="center" wrapText="1"/>
    </xf>
    <xf numFmtId="0" fontId="73" fillId="35" borderId="18" xfId="0" applyFont="1" applyFill="1" applyBorder="1" applyAlignment="1">
      <alignment horizontal="left" vertical="center" wrapText="1"/>
    </xf>
    <xf numFmtId="0" fontId="73" fillId="35" borderId="18" xfId="0" applyFont="1" applyFill="1" applyBorder="1" applyAlignment="1">
      <alignment horizontal="center" vertical="center" wrapText="1"/>
    </xf>
    <xf numFmtId="0" fontId="100" fillId="35" borderId="18" xfId="0" applyFont="1" applyFill="1" applyBorder="1" applyAlignment="1">
      <alignment horizontal="center" vertical="center" wrapText="1"/>
    </xf>
    <xf numFmtId="4" fontId="73" fillId="35" borderId="18" xfId="0" applyNumberFormat="1" applyFont="1" applyFill="1" applyBorder="1" applyAlignment="1">
      <alignment horizontal="right" vertical="center"/>
    </xf>
    <xf numFmtId="164" fontId="73" fillId="35" borderId="18" xfId="0" applyNumberFormat="1" applyFont="1" applyFill="1" applyBorder="1" applyAlignment="1">
      <alignment horizontal="right" vertical="center"/>
    </xf>
    <xf numFmtId="169" fontId="73" fillId="35" borderId="18" xfId="0" applyNumberFormat="1" applyFont="1" applyFill="1" applyBorder="1" applyAlignment="1">
      <alignment horizontal="center" vertical="center"/>
    </xf>
    <xf numFmtId="10" fontId="73" fillId="35" borderId="18" xfId="0" applyNumberFormat="1" applyFont="1" applyFill="1" applyBorder="1" applyAlignment="1">
      <alignment horizontal="center" vertical="center"/>
    </xf>
    <xf numFmtId="10" fontId="71" fillId="35" borderId="18" xfId="0" applyNumberFormat="1" applyFont="1" applyFill="1" applyBorder="1" applyAlignment="1">
      <alignment horizontal="center" vertical="center"/>
    </xf>
    <xf numFmtId="168" fontId="73" fillId="35" borderId="18" xfId="0" applyNumberFormat="1" applyFont="1" applyFill="1" applyBorder="1" applyAlignment="1">
      <alignment horizontal="center" vertical="center"/>
    </xf>
    <xf numFmtId="176" fontId="73" fillId="35" borderId="18" xfId="0" applyNumberFormat="1" applyFont="1" applyFill="1" applyBorder="1" applyAlignment="1">
      <alignment horizontal="center" vertical="center"/>
    </xf>
    <xf numFmtId="0" fontId="73" fillId="35" borderId="18" xfId="0" applyFont="1" applyFill="1" applyBorder="1" applyAlignment="1">
      <alignment horizontal="left" vertical="top"/>
    </xf>
    <xf numFmtId="0" fontId="73" fillId="35" borderId="18" xfId="0" applyFont="1" applyFill="1" applyBorder="1" applyAlignment="1">
      <alignment horizontal="left" vertical="top" wrapText="1"/>
    </xf>
    <xf numFmtId="0" fontId="101" fillId="35" borderId="18" xfId="0" applyFont="1" applyFill="1" applyBorder="1" applyAlignment="1">
      <alignment horizontal="center" vertical="center" wrapText="1"/>
    </xf>
    <xf numFmtId="0" fontId="71" fillId="35" borderId="18" xfId="0" applyFont="1" applyFill="1" applyBorder="1" applyAlignment="1">
      <alignment horizontal="center" vertical="center" wrapText="1"/>
    </xf>
    <xf numFmtId="0" fontId="102" fillId="35" borderId="18" xfId="0" applyFont="1" applyFill="1" applyBorder="1" applyAlignment="1">
      <alignment horizontal="left" vertical="center" wrapText="1"/>
    </xf>
    <xf numFmtId="0" fontId="103" fillId="35" borderId="18" xfId="0" applyFont="1" applyFill="1" applyBorder="1" applyAlignment="1">
      <alignment horizontal="center" vertical="center" wrapText="1"/>
    </xf>
    <xf numFmtId="0" fontId="104" fillId="5" borderId="18" xfId="0" applyFont="1" applyFill="1" applyBorder="1" applyAlignment="1">
      <alignment horizontal="center" vertical="center" wrapText="1"/>
    </xf>
    <xf numFmtId="0" fontId="105" fillId="5" borderId="18" xfId="0" applyFont="1" applyFill="1" applyBorder="1" applyAlignment="1">
      <alignment horizontal="center" vertical="center" wrapText="1"/>
    </xf>
    <xf numFmtId="0" fontId="99" fillId="36" borderId="18" xfId="0" applyFont="1" applyFill="1" applyBorder="1" applyAlignment="1">
      <alignment horizontal="center" vertical="center" wrapText="1"/>
    </xf>
    <xf numFmtId="0" fontId="73" fillId="36" borderId="18" xfId="0" applyFont="1" applyFill="1" applyBorder="1" applyAlignment="1">
      <alignment horizontal="left" vertical="center" wrapText="1"/>
    </xf>
    <xf numFmtId="0" fontId="102" fillId="36" borderId="18" xfId="0" applyFont="1" applyFill="1" applyBorder="1" applyAlignment="1">
      <alignment horizontal="left" vertical="center" wrapText="1"/>
    </xf>
    <xf numFmtId="0" fontId="106" fillId="36" borderId="18" xfId="0" applyFont="1" applyFill="1" applyBorder="1" applyAlignment="1">
      <alignment horizontal="center" vertical="center" wrapText="1"/>
    </xf>
    <xf numFmtId="0" fontId="73" fillId="36" borderId="18" xfId="0" applyFont="1" applyFill="1" applyBorder="1" applyAlignment="1">
      <alignment horizontal="center" vertical="center" wrapText="1"/>
    </xf>
    <xf numFmtId="0" fontId="103" fillId="36" borderId="18" xfId="0" applyFont="1" applyFill="1" applyBorder="1" applyAlignment="1">
      <alignment horizontal="center" vertical="center" wrapText="1"/>
    </xf>
    <xf numFmtId="0" fontId="100" fillId="36" borderId="18" xfId="0" applyFont="1" applyFill="1" applyBorder="1" applyAlignment="1">
      <alignment horizontal="center" vertical="center" wrapText="1"/>
    </xf>
    <xf numFmtId="4" fontId="73" fillId="36" borderId="18" xfId="0" applyNumberFormat="1" applyFont="1" applyFill="1" applyBorder="1" applyAlignment="1">
      <alignment horizontal="right" vertical="center"/>
    </xf>
    <xf numFmtId="164" fontId="73" fillId="36" borderId="18" xfId="0" applyNumberFormat="1" applyFont="1" applyFill="1" applyBorder="1" applyAlignment="1">
      <alignment horizontal="right" vertical="center"/>
    </xf>
    <xf numFmtId="169" fontId="73" fillId="36" borderId="18" xfId="0" applyNumberFormat="1" applyFont="1" applyFill="1" applyBorder="1" applyAlignment="1">
      <alignment horizontal="center" vertical="center"/>
    </xf>
    <xf numFmtId="10" fontId="73" fillId="36" borderId="18" xfId="0" applyNumberFormat="1" applyFont="1" applyFill="1" applyBorder="1" applyAlignment="1">
      <alignment horizontal="center" vertical="center"/>
    </xf>
    <xf numFmtId="10" fontId="71" fillId="36" borderId="18" xfId="0" applyNumberFormat="1" applyFont="1" applyFill="1" applyBorder="1" applyAlignment="1">
      <alignment horizontal="center" vertical="center"/>
    </xf>
    <xf numFmtId="168" fontId="73" fillId="36" borderId="18" xfId="0" applyNumberFormat="1" applyFont="1" applyFill="1" applyBorder="1" applyAlignment="1">
      <alignment horizontal="center" vertical="center"/>
    </xf>
    <xf numFmtId="176" fontId="73" fillId="36" borderId="18" xfId="0" applyNumberFormat="1" applyFont="1" applyFill="1" applyBorder="1" applyAlignment="1">
      <alignment horizontal="center" vertical="center"/>
    </xf>
    <xf numFmtId="0" fontId="73" fillId="36" borderId="18" xfId="0" applyFont="1" applyFill="1" applyBorder="1" applyAlignment="1">
      <alignment horizontal="left" vertical="top"/>
    </xf>
    <xf numFmtId="0" fontId="73" fillId="36" borderId="18" xfId="0" applyFont="1" applyFill="1" applyBorder="1" applyAlignment="1">
      <alignment horizontal="left" vertical="top" wrapText="1"/>
    </xf>
    <xf numFmtId="0" fontId="106" fillId="5" borderId="18" xfId="0" applyFont="1" applyFill="1" applyBorder="1" applyAlignment="1">
      <alignment horizontal="center" vertical="center" wrapText="1"/>
    </xf>
    <xf numFmtId="0" fontId="101" fillId="36" borderId="18" xfId="0" applyFont="1" applyFill="1" applyBorder="1" applyAlignment="1">
      <alignment horizontal="center" vertical="center" wrapText="1"/>
    </xf>
    <xf numFmtId="0" fontId="104" fillId="23" borderId="18" xfId="0" applyFont="1" applyFill="1" applyBorder="1" applyAlignment="1">
      <alignment horizontal="center" vertical="center" wrapText="1"/>
    </xf>
    <xf numFmtId="0" fontId="71" fillId="23" borderId="18" xfId="0" applyFont="1" applyFill="1" applyBorder="1" applyAlignment="1">
      <alignment horizontal="center" vertical="center" wrapText="1"/>
    </xf>
    <xf numFmtId="0" fontId="75" fillId="18" borderId="18" xfId="0" applyFont="1" applyFill="1" applyBorder="1" applyAlignment="1">
      <alignment horizontal="center" vertical="center" wrapText="1"/>
    </xf>
    <xf numFmtId="0" fontId="73" fillId="18" borderId="18" xfId="0" applyFont="1" applyFill="1" applyBorder="1" applyAlignment="1">
      <alignment horizontal="left" vertical="center" wrapText="1"/>
    </xf>
    <xf numFmtId="0" fontId="73" fillId="18" borderId="18" xfId="0" applyFont="1" applyFill="1" applyBorder="1" applyAlignment="1">
      <alignment horizontal="center" vertical="center" wrapText="1"/>
    </xf>
    <xf numFmtId="0" fontId="100" fillId="18" borderId="18" xfId="0" applyFont="1" applyFill="1" applyBorder="1" applyAlignment="1">
      <alignment horizontal="center" vertical="center" wrapText="1"/>
    </xf>
    <xf numFmtId="0" fontId="99" fillId="18" borderId="18" xfId="0" applyFont="1" applyFill="1" applyBorder="1" applyAlignment="1">
      <alignment horizontal="center" vertical="center" wrapText="1"/>
    </xf>
    <xf numFmtId="4" fontId="73" fillId="18" borderId="18" xfId="0" applyNumberFormat="1" applyFont="1" applyFill="1" applyBorder="1" applyAlignment="1">
      <alignment horizontal="right" vertical="center"/>
    </xf>
    <xf numFmtId="164" fontId="73" fillId="18" borderId="18" xfId="0" applyNumberFormat="1" applyFont="1" applyFill="1" applyBorder="1" applyAlignment="1">
      <alignment horizontal="right" vertical="center"/>
    </xf>
    <xf numFmtId="169" fontId="73" fillId="18" borderId="18" xfId="0" applyNumberFormat="1" applyFont="1" applyFill="1" applyBorder="1" applyAlignment="1">
      <alignment horizontal="center" vertical="center"/>
    </xf>
    <xf numFmtId="10" fontId="73" fillId="18" borderId="18" xfId="0" applyNumberFormat="1" applyFont="1" applyFill="1" applyBorder="1" applyAlignment="1">
      <alignment horizontal="center" vertical="center"/>
    </xf>
    <xf numFmtId="10" fontId="71" fillId="18" borderId="18" xfId="0" applyNumberFormat="1" applyFont="1" applyFill="1" applyBorder="1" applyAlignment="1">
      <alignment horizontal="center" vertical="center"/>
    </xf>
    <xf numFmtId="168" fontId="73" fillId="18" borderId="18" xfId="0" applyNumberFormat="1" applyFont="1" applyFill="1" applyBorder="1" applyAlignment="1">
      <alignment horizontal="center" vertical="center"/>
    </xf>
    <xf numFmtId="176" fontId="73" fillId="18" borderId="18" xfId="0" applyNumberFormat="1" applyFont="1" applyFill="1" applyBorder="1" applyAlignment="1">
      <alignment horizontal="center" vertical="center"/>
    </xf>
    <xf numFmtId="0" fontId="73" fillId="18" borderId="18" xfId="0" applyFont="1" applyFill="1" applyBorder="1" applyAlignment="1">
      <alignment horizontal="left" vertical="top"/>
    </xf>
    <xf numFmtId="0" fontId="73" fillId="18" borderId="18" xfId="0" applyFont="1" applyFill="1" applyBorder="1" applyAlignment="1">
      <alignment horizontal="left" vertical="top" wrapText="1"/>
    </xf>
    <xf numFmtId="0" fontId="105" fillId="18" borderId="18" xfId="0" applyFont="1" applyFill="1" applyBorder="1" applyAlignment="1">
      <alignment horizontal="center" vertical="center" wrapText="1"/>
    </xf>
    <xf numFmtId="0" fontId="101" fillId="18" borderId="18" xfId="0" applyFont="1" applyFill="1" applyBorder="1" applyAlignment="1">
      <alignment horizontal="center" vertical="center" wrapText="1"/>
    </xf>
    <xf numFmtId="0" fontId="102" fillId="18" borderId="18" xfId="0" applyFont="1" applyFill="1" applyBorder="1" applyAlignment="1">
      <alignment horizontal="left" vertical="center" wrapText="1"/>
    </xf>
    <xf numFmtId="0" fontId="103" fillId="18" borderId="18" xfId="0" applyFont="1" applyFill="1" applyBorder="1" applyAlignment="1">
      <alignment horizontal="center" vertical="center" wrapText="1"/>
    </xf>
    <xf numFmtId="0" fontId="107" fillId="4" borderId="0" xfId="0" applyFont="1" applyFill="1" applyAlignment="1">
      <alignment horizontal="left"/>
    </xf>
    <xf numFmtId="4" fontId="90" fillId="23" borderId="0" xfId="0" applyNumberFormat="1" applyFont="1" applyFill="1" applyAlignment="1">
      <alignment horizontal="center"/>
    </xf>
    <xf numFmtId="4" fontId="108" fillId="36" borderId="0" xfId="0" applyNumberFormat="1" applyFont="1" applyFill="1" applyAlignment="1">
      <alignment horizontal="center"/>
    </xf>
    <xf numFmtId="4" fontId="95" fillId="18" borderId="0" xfId="0" applyNumberFormat="1" applyFont="1" applyFill="1" applyAlignment="1">
      <alignment horizontal="center"/>
    </xf>
    <xf numFmtId="4" fontId="18" fillId="2" borderId="0" xfId="0" applyNumberFormat="1" applyFont="1" applyFill="1" applyAlignment="1">
      <alignment horizontal="center"/>
    </xf>
    <xf numFmtId="176" fontId="90" fillId="23" borderId="0" xfId="0" applyNumberFormat="1" applyFont="1" applyFill="1" applyAlignment="1">
      <alignment horizontal="center"/>
    </xf>
    <xf numFmtId="176" fontId="108" fillId="36" borderId="0" xfId="0" applyNumberFormat="1" applyFont="1" applyFill="1" applyAlignment="1">
      <alignment horizontal="center"/>
    </xf>
    <xf numFmtId="176" fontId="95" fillId="18" borderId="0" xfId="0" applyNumberFormat="1" applyFont="1" applyFill="1" applyAlignment="1">
      <alignment horizontal="center"/>
    </xf>
    <xf numFmtId="49" fontId="18" fillId="2" borderId="0" xfId="0" applyNumberFormat="1" applyFont="1" applyFill="1" applyAlignment="1">
      <alignment horizontal="center"/>
    </xf>
    <xf numFmtId="0" fontId="90" fillId="23" borderId="0" xfId="0" applyFont="1" applyFill="1" applyAlignment="1">
      <alignment horizontal="center"/>
    </xf>
    <xf numFmtId="168" fontId="90" fillId="23" borderId="0" xfId="0" applyNumberFormat="1" applyFont="1" applyFill="1" applyAlignment="1">
      <alignment horizontal="center"/>
    </xf>
    <xf numFmtId="0" fontId="108" fillId="36" borderId="0" xfId="0" applyFont="1" applyFill="1" applyAlignment="1">
      <alignment horizontal="center"/>
    </xf>
    <xf numFmtId="0" fontId="95" fillId="18" borderId="0" xfId="0" applyFont="1" applyFill="1" applyAlignment="1">
      <alignment horizontal="center"/>
    </xf>
    <xf numFmtId="0" fontId="90" fillId="18" borderId="0" xfId="0" applyFont="1" applyFill="1" applyAlignment="1">
      <alignment horizontal="center"/>
    </xf>
    <xf numFmtId="0" fontId="108" fillId="8" borderId="0" xfId="0" applyFont="1" applyFill="1" applyAlignment="1">
      <alignment horizontal="center"/>
    </xf>
    <xf numFmtId="10" fontId="90" fillId="23" borderId="0" xfId="0" applyNumberFormat="1" applyFont="1" applyFill="1" applyAlignment="1">
      <alignment horizontal="center"/>
    </xf>
    <xf numFmtId="10" fontId="108" fillId="36" borderId="0" xfId="0" applyNumberFormat="1" applyFont="1" applyFill="1" applyAlignment="1">
      <alignment horizontal="center"/>
    </xf>
    <xf numFmtId="10" fontId="95" fillId="18" borderId="0" xfId="0" applyNumberFormat="1" applyFont="1" applyFill="1" applyAlignment="1">
      <alignment horizontal="center"/>
    </xf>
    <xf numFmtId="10" fontId="90" fillId="18" borderId="0" xfId="0" applyNumberFormat="1" applyFont="1" applyFill="1" applyAlignment="1">
      <alignment horizontal="center"/>
    </xf>
    <xf numFmtId="10" fontId="108" fillId="8" borderId="0" xfId="0" applyNumberFormat="1" applyFont="1" applyFill="1" applyAlignment="1">
      <alignment horizontal="center"/>
    </xf>
    <xf numFmtId="10" fontId="18" fillId="2" borderId="0" xfId="0" applyNumberFormat="1" applyFont="1" applyFill="1" applyAlignment="1">
      <alignment horizontal="center"/>
    </xf>
    <xf numFmtId="0" fontId="18" fillId="2" borderId="0" xfId="0" applyFont="1" applyFill="1" applyAlignment="1">
      <alignment horizontal="left"/>
    </xf>
    <xf numFmtId="0" fontId="4" fillId="34" borderId="0" xfId="0" applyFont="1" applyFill="1" applyAlignment="1">
      <alignment horizontal="left"/>
    </xf>
    <xf numFmtId="0" fontId="49" fillId="5" borderId="0" xfId="0" applyFont="1" applyFill="1" applyAlignment="1">
      <alignment horizontal="left" wrapText="1"/>
    </xf>
    <xf numFmtId="0" fontId="109" fillId="37" borderId="0" xfId="0" applyFont="1" applyFill="1" applyAlignment="1">
      <alignment horizontal="left"/>
    </xf>
    <xf numFmtId="0" fontId="110" fillId="37" borderId="0" xfId="0" applyFont="1" applyFill="1"/>
    <xf numFmtId="0" fontId="49" fillId="37" borderId="0" xfId="0" applyFont="1" applyFill="1" applyAlignment="1">
      <alignment horizontal="left" wrapText="1"/>
    </xf>
    <xf numFmtId="0" fontId="111" fillId="18" borderId="0" xfId="0" applyFont="1" applyFill="1" applyAlignment="1">
      <alignment horizontal="left" wrapText="1"/>
    </xf>
    <xf numFmtId="0" fontId="112" fillId="18" borderId="0" xfId="0" applyFont="1" applyFill="1" applyAlignment="1">
      <alignment horizontal="left"/>
    </xf>
    <xf numFmtId="0" fontId="110" fillId="18" borderId="0" xfId="0" applyFont="1" applyFill="1"/>
    <xf numFmtId="0" fontId="55" fillId="18" borderId="18" xfId="0" applyFont="1" applyFill="1" applyBorder="1" applyAlignment="1">
      <alignment horizontal="center" vertical="center"/>
    </xf>
    <xf numFmtId="0" fontId="113" fillId="18" borderId="18" xfId="0" applyFont="1" applyFill="1" applyBorder="1" applyAlignment="1">
      <alignment horizontal="left" vertical="center" wrapText="1"/>
    </xf>
    <xf numFmtId="0" fontId="55" fillId="18" borderId="18" xfId="0" applyFont="1" applyFill="1" applyBorder="1" applyAlignment="1">
      <alignment horizontal="left" vertical="center" wrapText="1"/>
    </xf>
    <xf numFmtId="0" fontId="55" fillId="18" borderId="18" xfId="0" applyFont="1" applyFill="1" applyBorder="1" applyAlignment="1">
      <alignment horizontal="center" vertical="center" wrapText="1"/>
    </xf>
    <xf numFmtId="4" fontId="55" fillId="18" borderId="18" xfId="0" applyNumberFormat="1" applyFont="1" applyFill="1" applyBorder="1" applyAlignment="1">
      <alignment horizontal="right" vertical="center"/>
    </xf>
    <xf numFmtId="9" fontId="55" fillId="18" borderId="18" xfId="0" applyNumberFormat="1" applyFont="1" applyFill="1" applyBorder="1" applyAlignment="1">
      <alignment horizontal="center" vertical="center"/>
    </xf>
    <xf numFmtId="170" fontId="55" fillId="18" borderId="18" xfId="0" applyNumberFormat="1" applyFont="1" applyFill="1" applyBorder="1" applyAlignment="1">
      <alignment horizontal="right" vertical="center"/>
    </xf>
    <xf numFmtId="10" fontId="55" fillId="18" borderId="18" xfId="0" applyNumberFormat="1" applyFont="1" applyFill="1" applyBorder="1" applyAlignment="1">
      <alignment horizontal="center" vertical="center"/>
    </xf>
    <xf numFmtId="10" fontId="57" fillId="18" borderId="18" xfId="0" applyNumberFormat="1" applyFont="1" applyFill="1" applyBorder="1" applyAlignment="1">
      <alignment horizontal="center" vertical="center"/>
    </xf>
    <xf numFmtId="176" fontId="55" fillId="18" borderId="18" xfId="0" applyNumberFormat="1" applyFont="1" applyFill="1" applyBorder="1" applyAlignment="1">
      <alignment horizontal="center" vertical="center"/>
    </xf>
    <xf numFmtId="0" fontId="55" fillId="23" borderId="18" xfId="0" applyFont="1" applyFill="1" applyBorder="1" applyAlignment="1">
      <alignment horizontal="center" vertical="center"/>
    </xf>
    <xf numFmtId="0" fontId="113" fillId="23" borderId="18" xfId="0" applyFont="1" applyFill="1" applyBorder="1" applyAlignment="1">
      <alignment horizontal="left" vertical="center" wrapText="1"/>
    </xf>
    <xf numFmtId="0" fontId="55" fillId="23" borderId="18" xfId="0" applyFont="1" applyFill="1" applyBorder="1" applyAlignment="1">
      <alignment horizontal="left" vertical="center" wrapText="1"/>
    </xf>
    <xf numFmtId="0" fontId="55" fillId="23" borderId="18" xfId="0" applyFont="1" applyFill="1" applyBorder="1" applyAlignment="1">
      <alignment horizontal="center" vertical="center" wrapText="1"/>
    </xf>
    <xf numFmtId="4" fontId="55" fillId="23" borderId="18" xfId="0" applyNumberFormat="1" applyFont="1" applyFill="1" applyBorder="1" applyAlignment="1">
      <alignment horizontal="right" vertical="center"/>
    </xf>
    <xf numFmtId="9" fontId="55" fillId="23" borderId="18" xfId="0" applyNumberFormat="1" applyFont="1" applyFill="1" applyBorder="1" applyAlignment="1">
      <alignment horizontal="center" vertical="center"/>
    </xf>
    <xf numFmtId="170" fontId="55" fillId="23" borderId="18" xfId="0" applyNumberFormat="1" applyFont="1" applyFill="1" applyBorder="1" applyAlignment="1">
      <alignment horizontal="right" vertical="center"/>
    </xf>
    <xf numFmtId="10" fontId="55" fillId="23" borderId="18" xfId="0" applyNumberFormat="1" applyFont="1" applyFill="1" applyBorder="1" applyAlignment="1">
      <alignment horizontal="center" vertical="center"/>
    </xf>
    <xf numFmtId="10" fontId="57" fillId="23" borderId="18" xfId="0" applyNumberFormat="1" applyFont="1" applyFill="1" applyBorder="1" applyAlignment="1">
      <alignment horizontal="center" vertical="center"/>
    </xf>
    <xf numFmtId="176" fontId="55" fillId="23" borderId="18" xfId="0" applyNumberFormat="1" applyFont="1" applyFill="1" applyBorder="1" applyAlignment="1">
      <alignment horizontal="center" vertical="center"/>
    </xf>
    <xf numFmtId="0" fontId="55" fillId="5" borderId="18" xfId="0" applyFont="1" applyFill="1" applyBorder="1" applyAlignment="1">
      <alignment horizontal="center" vertical="center"/>
    </xf>
    <xf numFmtId="0" fontId="55" fillId="5" borderId="18" xfId="0" applyFont="1" applyFill="1" applyBorder="1" applyAlignment="1">
      <alignment horizontal="center" vertical="center" wrapText="1"/>
    </xf>
    <xf numFmtId="4" fontId="55" fillId="5" borderId="18" xfId="0" applyNumberFormat="1" applyFont="1" applyFill="1" applyBorder="1" applyAlignment="1">
      <alignment horizontal="right" vertical="center"/>
    </xf>
    <xf numFmtId="9" fontId="55" fillId="5" borderId="18" xfId="0" applyNumberFormat="1" applyFont="1" applyFill="1" applyBorder="1" applyAlignment="1">
      <alignment horizontal="center" vertical="center"/>
    </xf>
    <xf numFmtId="170" fontId="55" fillId="5" borderId="18" xfId="0" applyNumberFormat="1" applyFont="1" applyFill="1" applyBorder="1" applyAlignment="1">
      <alignment horizontal="right" vertical="center"/>
    </xf>
    <xf numFmtId="10" fontId="57" fillId="5" borderId="18" xfId="0" applyNumberFormat="1" applyFont="1" applyFill="1" applyBorder="1" applyAlignment="1">
      <alignment horizontal="center" vertical="center"/>
    </xf>
    <xf numFmtId="176" fontId="55" fillId="5" borderId="18" xfId="0" applyNumberFormat="1" applyFont="1" applyFill="1" applyBorder="1" applyAlignment="1">
      <alignment horizontal="center" vertical="center"/>
    </xf>
    <xf numFmtId="0" fontId="55" fillId="36" borderId="18" xfId="0" applyFont="1" applyFill="1" applyBorder="1" applyAlignment="1">
      <alignment horizontal="center" vertical="center"/>
    </xf>
    <xf numFmtId="0" fontId="113" fillId="36" borderId="18" xfId="0" applyFont="1" applyFill="1" applyBorder="1" applyAlignment="1">
      <alignment horizontal="left" vertical="center" wrapText="1"/>
    </xf>
    <xf numFmtId="0" fontId="55" fillId="36" borderId="18" xfId="0" applyFont="1" applyFill="1" applyBorder="1" applyAlignment="1">
      <alignment horizontal="left" vertical="center" wrapText="1"/>
    </xf>
    <xf numFmtId="0" fontId="55" fillId="36" borderId="18" xfId="0" applyFont="1" applyFill="1" applyBorder="1" applyAlignment="1">
      <alignment horizontal="center" vertical="center" wrapText="1"/>
    </xf>
    <xf numFmtId="4" fontId="55" fillId="36" borderId="18" xfId="0" applyNumberFormat="1" applyFont="1" applyFill="1" applyBorder="1" applyAlignment="1">
      <alignment horizontal="right" vertical="center"/>
    </xf>
    <xf numFmtId="9" fontId="55" fillId="36" borderId="18" xfId="0" applyNumberFormat="1" applyFont="1" applyFill="1" applyBorder="1" applyAlignment="1">
      <alignment horizontal="center" vertical="center"/>
    </xf>
    <xf numFmtId="170" fontId="55" fillId="36" borderId="18" xfId="0" applyNumberFormat="1" applyFont="1" applyFill="1" applyBorder="1" applyAlignment="1">
      <alignment horizontal="right" vertical="center"/>
    </xf>
    <xf numFmtId="10" fontId="55" fillId="36" borderId="18" xfId="0" applyNumberFormat="1" applyFont="1" applyFill="1" applyBorder="1" applyAlignment="1">
      <alignment horizontal="center" vertical="center"/>
    </xf>
    <xf numFmtId="10" fontId="57" fillId="36" borderId="18" xfId="0" applyNumberFormat="1" applyFont="1" applyFill="1" applyBorder="1" applyAlignment="1">
      <alignment horizontal="center" vertical="center"/>
    </xf>
    <xf numFmtId="176" fontId="55" fillId="36" borderId="18" xfId="0" applyNumberFormat="1" applyFont="1" applyFill="1" applyBorder="1" applyAlignment="1">
      <alignment horizontal="center" vertical="center"/>
    </xf>
    <xf numFmtId="4" fontId="18" fillId="2" borderId="0" xfId="0" applyNumberFormat="1" applyFont="1" applyFill="1" applyAlignment="1">
      <alignment horizontal="right"/>
    </xf>
    <xf numFmtId="0" fontId="93" fillId="21" borderId="0" xfId="0" applyFont="1" applyFill="1" applyAlignment="1">
      <alignment wrapText="1"/>
    </xf>
    <xf numFmtId="0" fontId="93" fillId="21" borderId="0" xfId="0" applyFont="1" applyFill="1"/>
    <xf numFmtId="0" fontId="114" fillId="23" borderId="18" xfId="0" applyFont="1" applyFill="1" applyBorder="1" applyAlignment="1">
      <alignment horizontal="left" vertical="center" wrapText="1"/>
    </xf>
    <xf numFmtId="166" fontId="55" fillId="23" borderId="18" xfId="0" applyNumberFormat="1" applyFont="1" applyFill="1" applyBorder="1" applyAlignment="1">
      <alignment horizontal="center" vertical="center"/>
    </xf>
    <xf numFmtId="178" fontId="55" fillId="23" borderId="18" xfId="0" applyNumberFormat="1" applyFont="1" applyFill="1" applyBorder="1" applyAlignment="1">
      <alignment horizontal="right" vertical="center"/>
    </xf>
    <xf numFmtId="0" fontId="90" fillId="23" borderId="0" xfId="0" applyFont="1" applyFill="1"/>
    <xf numFmtId="0" fontId="114" fillId="5" borderId="18" xfId="0" applyFont="1" applyFill="1" applyBorder="1" applyAlignment="1">
      <alignment horizontal="left" vertical="center" wrapText="1"/>
    </xf>
    <xf numFmtId="166" fontId="55" fillId="5" borderId="18" xfId="0" applyNumberFormat="1" applyFont="1" applyFill="1" applyBorder="1" applyAlignment="1">
      <alignment horizontal="center" vertical="center"/>
    </xf>
    <xf numFmtId="178" fontId="55" fillId="5" borderId="18" xfId="0" applyNumberFormat="1" applyFont="1" applyFill="1" applyBorder="1" applyAlignment="1">
      <alignment horizontal="right" vertical="center"/>
    </xf>
    <xf numFmtId="0" fontId="114" fillId="18" borderId="18" xfId="0" applyFont="1" applyFill="1" applyBorder="1" applyAlignment="1">
      <alignment horizontal="left" vertical="center" wrapText="1"/>
    </xf>
    <xf numFmtId="166" fontId="55" fillId="18" borderId="18" xfId="0" applyNumberFormat="1" applyFont="1" applyFill="1" applyBorder="1" applyAlignment="1">
      <alignment horizontal="center" vertical="center"/>
    </xf>
    <xf numFmtId="178" fontId="55" fillId="18" borderId="18" xfId="0" applyNumberFormat="1" applyFont="1" applyFill="1" applyBorder="1" applyAlignment="1">
      <alignment horizontal="right" vertical="center"/>
    </xf>
    <xf numFmtId="0" fontId="115" fillId="36" borderId="18" xfId="0" applyFont="1" applyFill="1" applyBorder="1" applyAlignment="1">
      <alignment horizontal="left" vertical="center" wrapText="1"/>
    </xf>
    <xf numFmtId="166" fontId="55" fillId="36" borderId="18" xfId="0" applyNumberFormat="1" applyFont="1" applyFill="1" applyBorder="1" applyAlignment="1">
      <alignment horizontal="center" vertical="center"/>
    </xf>
    <xf numFmtId="178" fontId="55" fillId="36" borderId="18" xfId="0" applyNumberFormat="1" applyFont="1" applyFill="1" applyBorder="1" applyAlignment="1">
      <alignment horizontal="right" vertical="center"/>
    </xf>
    <xf numFmtId="0" fontId="90" fillId="36" borderId="0" xfId="0" applyFont="1" applyFill="1"/>
    <xf numFmtId="0" fontId="115" fillId="5" borderId="18" xfId="0" applyFont="1" applyFill="1" applyBorder="1" applyAlignment="1">
      <alignment horizontal="left" vertical="center" wrapText="1"/>
    </xf>
    <xf numFmtId="0" fontId="74" fillId="36" borderId="18" xfId="0" applyFont="1" applyFill="1" applyBorder="1" applyAlignment="1">
      <alignment horizontal="left" vertical="center" wrapText="1"/>
    </xf>
    <xf numFmtId="0" fontId="74" fillId="23" borderId="18" xfId="0" applyFont="1" applyFill="1" applyBorder="1" applyAlignment="1">
      <alignment horizontal="left" vertical="center" wrapText="1"/>
    </xf>
    <xf numFmtId="0" fontId="116" fillId="18" borderId="18" xfId="0" applyFont="1" applyFill="1" applyBorder="1" applyAlignment="1">
      <alignment horizontal="left" vertical="center" wrapText="1"/>
    </xf>
    <xf numFmtId="0" fontId="74" fillId="18" borderId="18" xfId="0" applyFont="1" applyFill="1" applyBorder="1" applyAlignment="1">
      <alignment horizontal="left" vertical="center" wrapText="1"/>
    </xf>
    <xf numFmtId="0" fontId="55" fillId="18" borderId="0" xfId="0" applyFont="1" applyFill="1" applyAlignment="1">
      <alignment horizontal="center" vertical="center"/>
    </xf>
    <xf numFmtId="0" fontId="116" fillId="18" borderId="0" xfId="0" applyFont="1" applyFill="1" applyAlignment="1">
      <alignment horizontal="left" vertical="center" wrapText="1"/>
    </xf>
    <xf numFmtId="0" fontId="55" fillId="18" borderId="0" xfId="0" applyFont="1" applyFill="1" applyAlignment="1">
      <alignment horizontal="center" vertical="center" wrapText="1"/>
    </xf>
    <xf numFmtId="4" fontId="55" fillId="18" borderId="0" xfId="0" applyNumberFormat="1" applyFont="1" applyFill="1" applyAlignment="1">
      <alignment horizontal="right" vertical="center"/>
    </xf>
    <xf numFmtId="9" fontId="55" fillId="18" borderId="0" xfId="0" applyNumberFormat="1" applyFont="1" applyFill="1" applyAlignment="1">
      <alignment horizontal="center" vertical="center"/>
    </xf>
    <xf numFmtId="166" fontId="55" fillId="18" borderId="0" xfId="0" applyNumberFormat="1" applyFont="1" applyFill="1" applyAlignment="1">
      <alignment horizontal="center" vertical="center"/>
    </xf>
    <xf numFmtId="178" fontId="55" fillId="18" borderId="0" xfId="0" applyNumberFormat="1" applyFont="1" applyFill="1" applyAlignment="1">
      <alignment horizontal="right" vertical="center"/>
    </xf>
    <xf numFmtId="176" fontId="55" fillId="18" borderId="0" xfId="0" applyNumberFormat="1" applyFont="1" applyFill="1" applyAlignment="1">
      <alignment horizontal="center" vertical="center"/>
    </xf>
    <xf numFmtId="167" fontId="18" fillId="2" borderId="0" xfId="0" applyNumberFormat="1" applyFont="1" applyFill="1" applyAlignment="1">
      <alignment horizontal="right"/>
    </xf>
    <xf numFmtId="0" fontId="117" fillId="21" borderId="0" xfId="0" applyFont="1" applyFill="1"/>
    <xf numFmtId="0" fontId="89" fillId="9" borderId="0" xfId="0" applyFont="1" applyFill="1" applyAlignment="1">
      <alignment wrapText="1"/>
    </xf>
    <xf numFmtId="0" fontId="89" fillId="9" borderId="0" xfId="0" applyFont="1" applyFill="1"/>
    <xf numFmtId="0" fontId="118" fillId="0" borderId="0" xfId="0" applyFont="1"/>
    <xf numFmtId="0" fontId="120" fillId="39" borderId="18" xfId="0" applyFont="1" applyFill="1" applyBorder="1" applyAlignment="1">
      <alignment horizontal="center" vertical="center" wrapText="1"/>
    </xf>
    <xf numFmtId="0" fontId="120" fillId="40" borderId="18" xfId="0" applyFont="1" applyFill="1" applyBorder="1" applyAlignment="1">
      <alignment horizontal="center" vertical="center" wrapText="1"/>
    </xf>
    <xf numFmtId="0" fontId="120" fillId="41" borderId="18" xfId="0" applyFont="1" applyFill="1" applyBorder="1" applyAlignment="1">
      <alignment horizontal="center" vertical="center" wrapText="1"/>
    </xf>
    <xf numFmtId="179" fontId="73" fillId="5" borderId="18" xfId="0" applyNumberFormat="1" applyFont="1" applyFill="1" applyBorder="1" applyAlignment="1">
      <alignment horizontal="center" vertical="center"/>
    </xf>
    <xf numFmtId="164" fontId="121" fillId="28" borderId="18" xfId="0" applyNumberFormat="1" applyFont="1" applyFill="1" applyBorder="1" applyAlignment="1">
      <alignment horizontal="right" vertical="center"/>
    </xf>
    <xf numFmtId="164" fontId="122" fillId="42" borderId="18" xfId="0" applyNumberFormat="1" applyFont="1" applyFill="1" applyBorder="1" applyAlignment="1">
      <alignment horizontal="right" vertical="center"/>
    </xf>
    <xf numFmtId="0" fontId="73" fillId="37" borderId="18" xfId="0" applyFont="1" applyFill="1" applyBorder="1" applyAlignment="1">
      <alignment horizontal="center" vertical="center" wrapText="1"/>
    </xf>
    <xf numFmtId="179" fontId="73" fillId="37" borderId="18" xfId="0" applyNumberFormat="1" applyFont="1" applyFill="1" applyBorder="1" applyAlignment="1">
      <alignment horizontal="center" vertical="center"/>
    </xf>
    <xf numFmtId="164" fontId="73" fillId="37" borderId="18" xfId="0" applyNumberFormat="1" applyFont="1" applyFill="1" applyBorder="1" applyAlignment="1">
      <alignment horizontal="right" vertical="center"/>
    </xf>
    <xf numFmtId="164" fontId="121" fillId="36" borderId="18" xfId="0" applyNumberFormat="1" applyFont="1" applyFill="1" applyBorder="1" applyAlignment="1">
      <alignment horizontal="right" vertical="center"/>
    </xf>
    <xf numFmtId="164" fontId="122" fillId="18" borderId="18" xfId="0" applyNumberFormat="1" applyFont="1" applyFill="1" applyBorder="1" applyAlignment="1">
      <alignment horizontal="right" vertical="center"/>
    </xf>
    <xf numFmtId="179" fontId="73" fillId="18" borderId="18" xfId="0" applyNumberFormat="1" applyFont="1" applyFill="1" applyBorder="1" applyAlignment="1">
      <alignment horizontal="center" vertical="center"/>
    </xf>
    <xf numFmtId="164" fontId="121" fillId="30" borderId="18" xfId="0" applyNumberFormat="1" applyFont="1" applyFill="1" applyBorder="1" applyAlignment="1">
      <alignment horizontal="right" vertical="center"/>
    </xf>
    <xf numFmtId="0" fontId="73" fillId="43" borderId="18" xfId="0" applyFont="1" applyFill="1" applyBorder="1" applyAlignment="1">
      <alignment horizontal="center" vertical="center" wrapText="1"/>
    </xf>
    <xf numFmtId="179" fontId="73" fillId="43" borderId="18" xfId="0" applyNumberFormat="1" applyFont="1" applyFill="1" applyBorder="1" applyAlignment="1">
      <alignment horizontal="center" vertical="center"/>
    </xf>
    <xf numFmtId="0" fontId="99" fillId="43" borderId="18" xfId="0" applyFont="1" applyFill="1" applyBorder="1" applyAlignment="1">
      <alignment horizontal="center" vertical="center" wrapText="1"/>
    </xf>
    <xf numFmtId="164" fontId="73" fillId="43" borderId="18" xfId="0" applyNumberFormat="1" applyFont="1" applyFill="1" applyBorder="1" applyAlignment="1">
      <alignment horizontal="right" vertical="center"/>
    </xf>
    <xf numFmtId="164" fontId="121" fillId="8" borderId="18" xfId="0" applyNumberFormat="1" applyFont="1" applyFill="1" applyBorder="1" applyAlignment="1">
      <alignment horizontal="right" vertical="center"/>
    </xf>
    <xf numFmtId="164" fontId="123" fillId="44" borderId="18" xfId="0" applyNumberFormat="1" applyFont="1" applyFill="1" applyBorder="1" applyAlignment="1">
      <alignment horizontal="right" vertical="center"/>
    </xf>
    <xf numFmtId="4" fontId="98" fillId="2" borderId="0" xfId="0" applyNumberFormat="1" applyFont="1" applyFill="1" applyAlignment="1">
      <alignment horizontal="right"/>
    </xf>
    <xf numFmtId="4" fontId="98" fillId="2" borderId="0" xfId="0" applyNumberFormat="1" applyFont="1" applyFill="1" applyAlignment="1">
      <alignment horizontal="right" vertical="center"/>
    </xf>
    <xf numFmtId="0" fontId="98" fillId="39" borderId="18" xfId="0" applyFont="1" applyFill="1" applyBorder="1" applyAlignment="1">
      <alignment horizontal="center" vertical="center" wrapText="1"/>
    </xf>
    <xf numFmtId="0" fontId="98" fillId="39" borderId="0" xfId="0" applyFont="1" applyFill="1" applyAlignment="1">
      <alignment horizontal="center"/>
    </xf>
    <xf numFmtId="0" fontId="123" fillId="37" borderId="18" xfId="0" applyFont="1" applyFill="1" applyBorder="1" applyAlignment="1">
      <alignment horizontal="left" vertical="center" wrapText="1"/>
    </xf>
    <xf numFmtId="3" fontId="124" fillId="37" borderId="18" xfId="0" applyNumberFormat="1" applyFont="1" applyFill="1" applyBorder="1" applyAlignment="1">
      <alignment horizontal="right" vertical="center"/>
    </xf>
    <xf numFmtId="4" fontId="124" fillId="37" borderId="18" xfId="0" applyNumberFormat="1" applyFont="1" applyFill="1" applyBorder="1" applyAlignment="1">
      <alignment horizontal="right" vertical="center"/>
    </xf>
    <xf numFmtId="0" fontId="123" fillId="5" borderId="18" xfId="0" applyFont="1" applyFill="1" applyBorder="1" applyAlignment="1">
      <alignment horizontal="left" vertical="center" wrapText="1"/>
    </xf>
    <xf numFmtId="3" fontId="124" fillId="5" borderId="18" xfId="0" applyNumberFormat="1" applyFont="1" applyFill="1" applyBorder="1" applyAlignment="1">
      <alignment horizontal="right" vertical="center"/>
    </xf>
    <xf numFmtId="4" fontId="124" fillId="5" borderId="18" xfId="0" applyNumberFormat="1" applyFont="1" applyFill="1" applyBorder="1" applyAlignment="1">
      <alignment horizontal="right" vertical="center"/>
    </xf>
    <xf numFmtId="0" fontId="123" fillId="28" borderId="18" xfId="0" applyFont="1" applyFill="1" applyBorder="1" applyAlignment="1">
      <alignment horizontal="left" vertical="center" wrapText="1"/>
    </xf>
    <xf numFmtId="3" fontId="124" fillId="28" borderId="18" xfId="0" applyNumberFormat="1" applyFont="1" applyFill="1" applyBorder="1" applyAlignment="1">
      <alignment horizontal="right" vertical="center"/>
    </xf>
    <xf numFmtId="4" fontId="124" fillId="28" borderId="18" xfId="0" applyNumberFormat="1" applyFont="1" applyFill="1" applyBorder="1" applyAlignment="1">
      <alignment horizontal="right" vertical="center"/>
    </xf>
    <xf numFmtId="0" fontId="123" fillId="18" borderId="18" xfId="0" applyFont="1" applyFill="1" applyBorder="1" applyAlignment="1">
      <alignment horizontal="left" vertical="center" wrapText="1"/>
    </xf>
    <xf numFmtId="3" fontId="124" fillId="18" borderId="18" xfId="0" applyNumberFormat="1" applyFont="1" applyFill="1" applyBorder="1" applyAlignment="1">
      <alignment horizontal="right" vertical="center"/>
    </xf>
    <xf numFmtId="4" fontId="124" fillId="18" borderId="18" xfId="0" applyNumberFormat="1" applyFont="1" applyFill="1" applyBorder="1" applyAlignment="1">
      <alignment horizontal="right" vertical="center"/>
    </xf>
    <xf numFmtId="0" fontId="98" fillId="2" borderId="0" xfId="0" applyFont="1" applyFill="1"/>
    <xf numFmtId="0" fontId="55" fillId="45" borderId="18" xfId="0" applyFont="1" applyFill="1" applyBorder="1" applyAlignment="1">
      <alignment horizontal="center" vertical="center"/>
    </xf>
    <xf numFmtId="0" fontId="113" fillId="45" borderId="18" xfId="0" applyFont="1" applyFill="1" applyBorder="1" applyAlignment="1">
      <alignment horizontal="left" vertical="center" wrapText="1"/>
    </xf>
    <xf numFmtId="0" fontId="55" fillId="45" borderId="18" xfId="0" applyFont="1" applyFill="1" applyBorder="1" applyAlignment="1">
      <alignment horizontal="left" vertical="center" wrapText="1"/>
    </xf>
    <xf numFmtId="0" fontId="55" fillId="45" borderId="18" xfId="0" applyFont="1" applyFill="1" applyBorder="1" applyAlignment="1">
      <alignment horizontal="center" vertical="center" wrapText="1"/>
    </xf>
    <xf numFmtId="4" fontId="55" fillId="45" borderId="18" xfId="0" applyNumberFormat="1" applyFont="1" applyFill="1" applyBorder="1" applyAlignment="1">
      <alignment horizontal="right" vertical="center"/>
    </xf>
    <xf numFmtId="10" fontId="57" fillId="45" borderId="18" xfId="0" applyNumberFormat="1" applyFont="1" applyFill="1" applyBorder="1" applyAlignment="1">
      <alignment horizontal="center" vertical="center"/>
    </xf>
    <xf numFmtId="178" fontId="113" fillId="45" borderId="18" xfId="0" applyNumberFormat="1" applyFont="1" applyFill="1" applyBorder="1" applyAlignment="1">
      <alignment horizontal="right" vertical="center"/>
    </xf>
    <xf numFmtId="0" fontId="55" fillId="45" borderId="18" xfId="0" applyFont="1" applyFill="1" applyBorder="1" applyAlignment="1">
      <alignment horizontal="left" vertical="center"/>
    </xf>
    <xf numFmtId="178" fontId="113" fillId="5" borderId="18" xfId="0" applyNumberFormat="1" applyFont="1" applyFill="1" applyBorder="1" applyAlignment="1">
      <alignment horizontal="right" vertical="center"/>
    </xf>
    <xf numFmtId="0" fontId="55" fillId="5" borderId="18" xfId="0" applyFont="1" applyFill="1" applyBorder="1" applyAlignment="1">
      <alignment horizontal="left" vertical="center"/>
    </xf>
    <xf numFmtId="178" fontId="113" fillId="23" borderId="18" xfId="0" applyNumberFormat="1" applyFont="1" applyFill="1" applyBorder="1" applyAlignment="1">
      <alignment horizontal="right" vertical="center"/>
    </xf>
    <xf numFmtId="0" fontId="55" fillId="23" borderId="18" xfId="0" applyFont="1" applyFill="1" applyBorder="1" applyAlignment="1">
      <alignment horizontal="left" vertical="center"/>
    </xf>
    <xf numFmtId="0" fontId="55" fillId="46" borderId="18" xfId="0" applyFont="1" applyFill="1" applyBorder="1" applyAlignment="1">
      <alignment horizontal="center" vertical="center"/>
    </xf>
    <xf numFmtId="0" fontId="113" fillId="46" borderId="18" xfId="0" applyFont="1" applyFill="1" applyBorder="1" applyAlignment="1">
      <alignment horizontal="left" vertical="center" wrapText="1"/>
    </xf>
    <xf numFmtId="0" fontId="55" fillId="46" borderId="18" xfId="0" applyFont="1" applyFill="1" applyBorder="1" applyAlignment="1">
      <alignment horizontal="left" vertical="center" wrapText="1"/>
    </xf>
    <xf numFmtId="0" fontId="55" fillId="46" borderId="18" xfId="0" applyFont="1" applyFill="1" applyBorder="1" applyAlignment="1">
      <alignment horizontal="center" vertical="center" wrapText="1"/>
    </xf>
    <xf numFmtId="4" fontId="55" fillId="46" borderId="18" xfId="0" applyNumberFormat="1" applyFont="1" applyFill="1" applyBorder="1" applyAlignment="1">
      <alignment horizontal="right" vertical="center"/>
    </xf>
    <xf numFmtId="10" fontId="57" fillId="46" borderId="18" xfId="0" applyNumberFormat="1" applyFont="1" applyFill="1" applyBorder="1" applyAlignment="1">
      <alignment horizontal="center" vertical="center"/>
    </xf>
    <xf numFmtId="178" fontId="113" fillId="46" borderId="18" xfId="0" applyNumberFormat="1" applyFont="1" applyFill="1" applyBorder="1" applyAlignment="1">
      <alignment horizontal="right" vertical="center"/>
    </xf>
    <xf numFmtId="0" fontId="55" fillId="46" borderId="18" xfId="0" applyFont="1" applyFill="1" applyBorder="1" applyAlignment="1">
      <alignment horizontal="left" vertical="center"/>
    </xf>
    <xf numFmtId="178" fontId="113" fillId="18" borderId="18" xfId="0" applyNumberFormat="1" applyFont="1" applyFill="1" applyBorder="1" applyAlignment="1">
      <alignment horizontal="right" vertical="center"/>
    </xf>
    <xf numFmtId="0" fontId="55" fillId="18" borderId="18" xfId="0" applyFont="1" applyFill="1" applyBorder="1" applyAlignment="1">
      <alignment horizontal="left" vertical="center"/>
    </xf>
    <xf numFmtId="0" fontId="55" fillId="47" borderId="18" xfId="0" applyFont="1" applyFill="1" applyBorder="1" applyAlignment="1">
      <alignment horizontal="center" vertical="center"/>
    </xf>
    <xf numFmtId="0" fontId="74" fillId="47" borderId="18" xfId="0" applyFont="1" applyFill="1" applyBorder="1" applyAlignment="1">
      <alignment horizontal="left" vertical="center" wrapText="1"/>
    </xf>
    <xf numFmtId="0" fontId="55" fillId="47" borderId="18" xfId="0" applyFont="1" applyFill="1" applyBorder="1" applyAlignment="1">
      <alignment horizontal="left" vertical="center" wrapText="1"/>
    </xf>
    <xf numFmtId="0" fontId="55" fillId="47" borderId="18" xfId="0" applyFont="1" applyFill="1" applyBorder="1" applyAlignment="1">
      <alignment horizontal="center" vertical="center" wrapText="1"/>
    </xf>
    <xf numFmtId="4" fontId="55" fillId="47" borderId="18" xfId="0" applyNumberFormat="1" applyFont="1" applyFill="1" applyBorder="1" applyAlignment="1">
      <alignment horizontal="right" vertical="center"/>
    </xf>
    <xf numFmtId="10" fontId="57" fillId="47" borderId="18" xfId="0" applyNumberFormat="1" applyFont="1" applyFill="1" applyBorder="1" applyAlignment="1">
      <alignment horizontal="center" vertical="center"/>
    </xf>
    <xf numFmtId="178" fontId="113" fillId="47" borderId="18" xfId="0" applyNumberFormat="1" applyFont="1" applyFill="1" applyBorder="1" applyAlignment="1">
      <alignment horizontal="right" vertical="center"/>
    </xf>
    <xf numFmtId="0" fontId="55" fillId="47" borderId="18" xfId="0" applyFont="1" applyFill="1" applyBorder="1" applyAlignment="1">
      <alignment horizontal="left" vertical="center"/>
    </xf>
    <xf numFmtId="178" fontId="113" fillId="36" borderId="18" xfId="0" applyNumberFormat="1" applyFont="1" applyFill="1" applyBorder="1" applyAlignment="1">
      <alignment horizontal="right" vertical="center"/>
    </xf>
    <xf numFmtId="0" fontId="55" fillId="36" borderId="18" xfId="0" applyFont="1" applyFill="1" applyBorder="1" applyAlignment="1">
      <alignment horizontal="left" vertical="center"/>
    </xf>
    <xf numFmtId="0" fontId="125" fillId="18" borderId="18" xfId="0" applyFont="1" applyFill="1" applyBorder="1" applyAlignment="1">
      <alignment horizontal="left" vertical="center" wrapText="1"/>
    </xf>
    <xf numFmtId="0" fontId="126" fillId="5" borderId="0" xfId="0" applyFont="1" applyFill="1" applyAlignment="1">
      <alignment horizontal="left" vertical="center" wrapText="1"/>
    </xf>
    <xf numFmtId="0" fontId="126" fillId="5" borderId="0" xfId="0" applyFont="1" applyFill="1"/>
    <xf numFmtId="0" fontId="127" fillId="43" borderId="0" xfId="0" applyFont="1" applyFill="1" applyAlignment="1">
      <alignment horizontal="center"/>
    </xf>
    <xf numFmtId="0" fontId="127" fillId="43" borderId="0" xfId="0" applyFont="1" applyFill="1"/>
    <xf numFmtId="4" fontId="127" fillId="43" borderId="0" xfId="0" applyNumberFormat="1" applyFont="1" applyFill="1" applyAlignment="1">
      <alignment horizontal="right"/>
    </xf>
    <xf numFmtId="167" fontId="127" fillId="43" borderId="0" xfId="0" applyNumberFormat="1" applyFont="1" applyFill="1" applyAlignment="1">
      <alignment horizontal="right"/>
    </xf>
    <xf numFmtId="0" fontId="128" fillId="6" borderId="0" xfId="0" applyFont="1" applyFill="1" applyAlignment="1">
      <alignment horizontal="center"/>
    </xf>
    <xf numFmtId="0" fontId="128" fillId="6" borderId="0" xfId="0" applyFont="1" applyFill="1"/>
    <xf numFmtId="4" fontId="128" fillId="6" borderId="0" xfId="0" applyNumberFormat="1" applyFont="1" applyFill="1" applyAlignment="1">
      <alignment horizontal="right"/>
    </xf>
    <xf numFmtId="167" fontId="128" fillId="6" borderId="0" xfId="0" applyNumberFormat="1" applyFont="1" applyFill="1" applyAlignment="1">
      <alignment horizontal="right"/>
    </xf>
    <xf numFmtId="0" fontId="95" fillId="18" borderId="0" xfId="0" applyFont="1" applyFill="1"/>
    <xf numFmtId="4" fontId="95" fillId="18" borderId="0" xfId="0" applyNumberFormat="1" applyFont="1" applyFill="1" applyAlignment="1">
      <alignment horizontal="right"/>
    </xf>
    <xf numFmtId="167" fontId="95" fillId="18" borderId="0" xfId="0" applyNumberFormat="1" applyFont="1" applyFill="1" applyAlignment="1">
      <alignment horizontal="right"/>
    </xf>
    <xf numFmtId="0" fontId="108" fillId="36" borderId="0" xfId="0" applyFont="1" applyFill="1"/>
    <xf numFmtId="4" fontId="108" fillId="36" borderId="0" xfId="0" applyNumberFormat="1" applyFont="1" applyFill="1" applyAlignment="1">
      <alignment horizontal="right"/>
    </xf>
    <xf numFmtId="167" fontId="108" fillId="36" borderId="0" xfId="0" applyNumberFormat="1" applyFont="1" applyFill="1" applyAlignment="1">
      <alignment horizontal="right"/>
    </xf>
    <xf numFmtId="0" fontId="129" fillId="4" borderId="0" xfId="0" applyFont="1" applyFill="1" applyAlignment="1">
      <alignment horizontal="center"/>
    </xf>
    <xf numFmtId="0" fontId="129" fillId="4" borderId="0" xfId="0" applyFont="1" applyFill="1"/>
    <xf numFmtId="4" fontId="129" fillId="4" borderId="0" xfId="0" applyNumberFormat="1" applyFont="1" applyFill="1" applyAlignment="1">
      <alignment horizontal="right"/>
    </xf>
    <xf numFmtId="167" fontId="129" fillId="4" borderId="0" xfId="0" applyNumberFormat="1" applyFont="1" applyFill="1" applyAlignment="1">
      <alignment horizontal="right"/>
    </xf>
    <xf numFmtId="0" fontId="107" fillId="4" borderId="0" xfId="0" applyFont="1" applyFill="1" applyAlignment="1">
      <alignment horizontal="center"/>
    </xf>
    <xf numFmtId="0" fontId="107" fillId="4" borderId="0" xfId="0" applyFont="1" applyFill="1"/>
    <xf numFmtId="166" fontId="107" fillId="4" borderId="0" xfId="0" applyNumberFormat="1" applyFont="1" applyFill="1" applyAlignment="1">
      <alignment horizontal="right"/>
    </xf>
    <xf numFmtId="0" fontId="54" fillId="41" borderId="18" xfId="0" applyFont="1" applyFill="1" applyBorder="1" applyAlignment="1">
      <alignment horizontal="center" vertical="center" wrapText="1"/>
    </xf>
    <xf numFmtId="0" fontId="54" fillId="41" borderId="18" xfId="0" applyFont="1" applyFill="1" applyBorder="1" applyAlignment="1">
      <alignment horizontal="left" vertical="center" wrapText="1"/>
    </xf>
    <xf numFmtId="0" fontId="54" fillId="41" borderId="18" xfId="0" applyFont="1" applyFill="1" applyBorder="1" applyAlignment="1">
      <alignment horizontal="left" vertical="center"/>
    </xf>
    <xf numFmtId="0" fontId="113" fillId="45" borderId="18" xfId="0" applyFont="1" applyFill="1" applyBorder="1" applyAlignment="1">
      <alignment horizontal="left" vertical="center"/>
    </xf>
    <xf numFmtId="1" fontId="55" fillId="45" borderId="18" xfId="0" applyNumberFormat="1" applyFont="1" applyFill="1" applyBorder="1" applyAlignment="1">
      <alignment horizontal="center" vertical="center"/>
    </xf>
    <xf numFmtId="0" fontId="57" fillId="45" borderId="18" xfId="0" applyFont="1" applyFill="1" applyBorder="1" applyAlignment="1">
      <alignment horizontal="center" vertical="center"/>
    </xf>
    <xf numFmtId="0" fontId="74" fillId="23" borderId="18" xfId="0" applyFont="1" applyFill="1" applyBorder="1" applyAlignment="1">
      <alignment horizontal="left" vertical="center"/>
    </xf>
    <xf numFmtId="1" fontId="55" fillId="23" borderId="18" xfId="0" applyNumberFormat="1" applyFont="1" applyFill="1" applyBorder="1" applyAlignment="1">
      <alignment horizontal="center" vertical="center"/>
    </xf>
    <xf numFmtId="0" fontId="57" fillId="23" borderId="18" xfId="0" applyFont="1" applyFill="1" applyBorder="1" applyAlignment="1">
      <alignment horizontal="center" vertical="center"/>
    </xf>
    <xf numFmtId="0" fontId="74" fillId="5" borderId="18" xfId="0" applyFont="1" applyFill="1" applyBorder="1" applyAlignment="1">
      <alignment horizontal="left" vertical="center"/>
    </xf>
    <xf numFmtId="10" fontId="113" fillId="5" borderId="18" xfId="0" applyNumberFormat="1" applyFont="1" applyFill="1" applyBorder="1" applyAlignment="1">
      <alignment horizontal="center" vertical="center"/>
    </xf>
    <xf numFmtId="0" fontId="113" fillId="5" borderId="18" xfId="0" applyFont="1" applyFill="1" applyBorder="1" applyAlignment="1">
      <alignment horizontal="center" vertical="center"/>
    </xf>
    <xf numFmtId="10" fontId="113" fillId="23" borderId="18" xfId="0" applyNumberFormat="1" applyFont="1" applyFill="1" applyBorder="1" applyAlignment="1">
      <alignment horizontal="center" vertical="center"/>
    </xf>
    <xf numFmtId="0" fontId="113" fillId="23" borderId="18" xfId="0" applyFont="1" applyFill="1" applyBorder="1" applyAlignment="1">
      <alignment horizontal="center" vertical="center"/>
    </xf>
    <xf numFmtId="10" fontId="130" fillId="5" borderId="18" xfId="0" applyNumberFormat="1" applyFont="1" applyFill="1" applyBorder="1" applyAlignment="1">
      <alignment horizontal="center" vertical="center"/>
    </xf>
    <xf numFmtId="0" fontId="113" fillId="46" borderId="18" xfId="0" applyFont="1" applyFill="1" applyBorder="1" applyAlignment="1">
      <alignment horizontal="left" vertical="center"/>
    </xf>
    <xf numFmtId="1" fontId="55" fillId="46" borderId="18" xfId="0" applyNumberFormat="1" applyFont="1" applyFill="1" applyBorder="1" applyAlignment="1">
      <alignment horizontal="center" vertical="center"/>
    </xf>
    <xf numFmtId="10" fontId="130" fillId="46" borderId="18" xfId="0" applyNumberFormat="1" applyFont="1" applyFill="1" applyBorder="1" applyAlignment="1">
      <alignment horizontal="center" vertical="center"/>
    </xf>
    <xf numFmtId="0" fontId="131" fillId="46" borderId="18" xfId="0" applyFont="1" applyFill="1" applyBorder="1" applyAlignment="1">
      <alignment horizontal="center" vertical="center"/>
    </xf>
    <xf numFmtId="0" fontId="113" fillId="18" borderId="18" xfId="0" applyFont="1" applyFill="1" applyBorder="1" applyAlignment="1">
      <alignment horizontal="left" vertical="center"/>
    </xf>
    <xf numFmtId="1" fontId="55" fillId="18" borderId="18" xfId="0" applyNumberFormat="1" applyFont="1" applyFill="1" applyBorder="1" applyAlignment="1">
      <alignment horizontal="center" vertical="center"/>
    </xf>
    <xf numFmtId="10" fontId="130" fillId="18" borderId="18" xfId="0" applyNumberFormat="1" applyFont="1" applyFill="1" applyBorder="1" applyAlignment="1">
      <alignment horizontal="center" vertical="center"/>
    </xf>
    <xf numFmtId="0" fontId="131" fillId="18" borderId="18" xfId="0" applyFont="1" applyFill="1" applyBorder="1" applyAlignment="1">
      <alignment horizontal="center" vertical="center"/>
    </xf>
    <xf numFmtId="0" fontId="74" fillId="18" borderId="18" xfId="0" applyFont="1" applyFill="1" applyBorder="1" applyAlignment="1">
      <alignment horizontal="left" vertical="center"/>
    </xf>
    <xf numFmtId="10" fontId="113" fillId="18" borderId="18" xfId="0" applyNumberFormat="1" applyFont="1" applyFill="1" applyBorder="1" applyAlignment="1">
      <alignment horizontal="center" vertical="center"/>
    </xf>
    <xf numFmtId="0" fontId="113" fillId="18" borderId="18" xfId="0" applyFont="1" applyFill="1" applyBorder="1" applyAlignment="1">
      <alignment horizontal="center" vertical="center"/>
    </xf>
    <xf numFmtId="0" fontId="131" fillId="5" borderId="18" xfId="0" applyFont="1" applyFill="1" applyBorder="1" applyAlignment="1">
      <alignment horizontal="center" vertical="center"/>
    </xf>
    <xf numFmtId="0" fontId="57" fillId="46" borderId="18" xfId="0" applyFont="1" applyFill="1" applyBorder="1" applyAlignment="1">
      <alignment horizontal="center" vertical="center"/>
    </xf>
    <xf numFmtId="0" fontId="74" fillId="47" borderId="18" xfId="0" applyFont="1" applyFill="1" applyBorder="1" applyAlignment="1">
      <alignment horizontal="left" vertical="center"/>
    </xf>
    <xf numFmtId="1" fontId="55" fillId="47" borderId="18" xfId="0" applyNumberFormat="1" applyFont="1" applyFill="1" applyBorder="1" applyAlignment="1">
      <alignment horizontal="center" vertical="center"/>
    </xf>
    <xf numFmtId="10" fontId="113" fillId="47" borderId="18" xfId="0" applyNumberFormat="1" applyFont="1" applyFill="1" applyBorder="1" applyAlignment="1">
      <alignment horizontal="center" vertical="center"/>
    </xf>
    <xf numFmtId="0" fontId="113" fillId="47" borderId="18" xfId="0" applyFont="1" applyFill="1" applyBorder="1" applyAlignment="1">
      <alignment horizontal="center" vertical="center"/>
    </xf>
    <xf numFmtId="10" fontId="130" fillId="23" borderId="18" xfId="0" applyNumberFormat="1" applyFont="1" applyFill="1" applyBorder="1" applyAlignment="1">
      <alignment horizontal="center" vertical="center"/>
    </xf>
    <xf numFmtId="0" fontId="131" fillId="23" borderId="18" xfId="0" applyFont="1" applyFill="1" applyBorder="1" applyAlignment="1">
      <alignment horizontal="center" vertical="center"/>
    </xf>
    <xf numFmtId="0" fontId="55" fillId="48" borderId="18" xfId="0" applyFont="1" applyFill="1" applyBorder="1" applyAlignment="1">
      <alignment horizontal="center" vertical="center"/>
    </xf>
    <xf numFmtId="0" fontId="113" fillId="48" borderId="18" xfId="0" applyFont="1" applyFill="1" applyBorder="1" applyAlignment="1">
      <alignment horizontal="left" vertical="center"/>
    </xf>
    <xf numFmtId="0" fontId="115" fillId="48" borderId="18" xfId="0" applyFont="1" applyFill="1" applyBorder="1" applyAlignment="1">
      <alignment horizontal="left" vertical="center"/>
    </xf>
    <xf numFmtId="0" fontId="55" fillId="48" borderId="18" xfId="0" applyFont="1" applyFill="1" applyBorder="1" applyAlignment="1">
      <alignment horizontal="left" vertical="center"/>
    </xf>
    <xf numFmtId="1" fontId="55" fillId="48" borderId="18" xfId="0" applyNumberFormat="1" applyFont="1" applyFill="1" applyBorder="1" applyAlignment="1">
      <alignment horizontal="center" vertical="center"/>
    </xf>
    <xf numFmtId="10" fontId="130" fillId="48" borderId="18" xfId="0" applyNumberFormat="1" applyFont="1" applyFill="1" applyBorder="1" applyAlignment="1">
      <alignment horizontal="center" vertical="center"/>
    </xf>
    <xf numFmtId="0" fontId="131" fillId="48" borderId="18" xfId="0" applyFont="1" applyFill="1" applyBorder="1" applyAlignment="1">
      <alignment horizontal="center" vertical="center"/>
    </xf>
    <xf numFmtId="0" fontId="74" fillId="36" borderId="18" xfId="0" applyFont="1" applyFill="1" applyBorder="1" applyAlignment="1">
      <alignment horizontal="left" vertical="center"/>
    </xf>
    <xf numFmtId="0" fontId="115" fillId="36" borderId="18" xfId="0" applyFont="1" applyFill="1" applyBorder="1" applyAlignment="1">
      <alignment horizontal="left" vertical="center"/>
    </xf>
    <xf numFmtId="1" fontId="55" fillId="36" borderId="18" xfId="0" applyNumberFormat="1" applyFont="1" applyFill="1" applyBorder="1" applyAlignment="1">
      <alignment horizontal="center" vertical="center"/>
    </xf>
    <xf numFmtId="10" fontId="130" fillId="36" borderId="18" xfId="0" applyNumberFormat="1" applyFont="1" applyFill="1" applyBorder="1" applyAlignment="1">
      <alignment horizontal="center" vertical="center"/>
    </xf>
    <xf numFmtId="0" fontId="131" fillId="36" borderId="18" xfId="0" applyFont="1" applyFill="1" applyBorder="1" applyAlignment="1">
      <alignment horizontal="center" vertical="center"/>
    </xf>
    <xf numFmtId="0" fontId="74" fillId="48" borderId="18" xfId="0" applyFont="1" applyFill="1" applyBorder="1" applyAlignment="1">
      <alignment horizontal="left" vertical="center"/>
    </xf>
    <xf numFmtId="10" fontId="130" fillId="47" borderId="18" xfId="0" applyNumberFormat="1" applyFont="1" applyFill="1" applyBorder="1" applyAlignment="1">
      <alignment horizontal="center" vertical="center"/>
    </xf>
    <xf numFmtId="0" fontId="131" fillId="47" borderId="18" xfId="0" applyFont="1" applyFill="1" applyBorder="1" applyAlignment="1">
      <alignment horizontal="center" vertical="center"/>
    </xf>
    <xf numFmtId="0" fontId="57" fillId="47" borderId="18" xfId="0" applyFont="1" applyFill="1" applyBorder="1" applyAlignment="1">
      <alignment horizontal="center" vertical="center"/>
    </xf>
    <xf numFmtId="0" fontId="125" fillId="18" borderId="18" xfId="0" applyFont="1" applyFill="1" applyBorder="1" applyAlignment="1">
      <alignment horizontal="left" vertical="center"/>
    </xf>
    <xf numFmtId="0" fontId="57" fillId="18" borderId="18" xfId="0" applyFont="1" applyFill="1" applyBorder="1" applyAlignment="1">
      <alignment horizontal="center" vertical="center"/>
    </xf>
    <xf numFmtId="0" fontId="127" fillId="23" borderId="0" xfId="0" applyFont="1" applyFill="1" applyAlignment="1">
      <alignment horizontal="center"/>
    </xf>
    <xf numFmtId="0" fontId="127" fillId="23" borderId="0" xfId="0" applyFont="1" applyFill="1"/>
    <xf numFmtId="4" fontId="127" fillId="23" borderId="0" xfId="0" applyNumberFormat="1" applyFont="1" applyFill="1"/>
    <xf numFmtId="167" fontId="127" fillId="23" borderId="0" xfId="0" applyNumberFormat="1" applyFont="1" applyFill="1"/>
    <xf numFmtId="0" fontId="4" fillId="2" borderId="0" xfId="0" applyFont="1" applyFill="1" applyAlignment="1">
      <alignment horizontal="center"/>
    </xf>
    <xf numFmtId="166" fontId="4" fillId="2" borderId="0" xfId="0" applyNumberFormat="1" applyFont="1" applyFill="1"/>
    <xf numFmtId="0" fontId="132" fillId="37" borderId="0" xfId="0" applyFont="1" applyFill="1"/>
    <xf numFmtId="0" fontId="89" fillId="37" borderId="0" xfId="0" applyFont="1" applyFill="1"/>
    <xf numFmtId="0" fontId="49" fillId="37" borderId="0" xfId="0" applyFont="1" applyFill="1"/>
    <xf numFmtId="0" fontId="111" fillId="37" borderId="0" xfId="0" applyFont="1" applyFill="1"/>
    <xf numFmtId="0" fontId="54" fillId="49" borderId="18" xfId="0" applyFont="1" applyFill="1" applyBorder="1" applyAlignment="1">
      <alignment horizontal="left" vertical="center" wrapText="1"/>
    </xf>
    <xf numFmtId="0" fontId="54" fillId="49" borderId="18" xfId="0" applyFont="1" applyFill="1" applyBorder="1" applyAlignment="1">
      <alignment horizontal="center" vertical="center" wrapText="1"/>
    </xf>
    <xf numFmtId="0" fontId="133" fillId="45" borderId="18" xfId="0" applyFont="1" applyFill="1" applyBorder="1" applyAlignment="1">
      <alignment horizontal="left" vertical="top" wrapText="1"/>
    </xf>
    <xf numFmtId="168" fontId="55" fillId="45" borderId="18" xfId="0" applyNumberFormat="1" applyFont="1" applyFill="1" applyBorder="1" applyAlignment="1">
      <alignment horizontal="center" vertical="top" wrapText="1"/>
    </xf>
    <xf numFmtId="4" fontId="113" fillId="45" borderId="18" xfId="0" applyNumberFormat="1" applyFont="1" applyFill="1" applyBorder="1" applyAlignment="1">
      <alignment horizontal="right" vertical="top" wrapText="1"/>
    </xf>
    <xf numFmtId="0" fontId="73" fillId="45" borderId="18" xfId="0" applyFont="1" applyFill="1" applyBorder="1" applyAlignment="1">
      <alignment horizontal="left" vertical="top" wrapText="1"/>
    </xf>
    <xf numFmtId="0" fontId="134" fillId="45" borderId="18" xfId="0" applyFont="1" applyFill="1" applyBorder="1" applyAlignment="1">
      <alignment horizontal="left" vertical="top" wrapText="1"/>
    </xf>
    <xf numFmtId="0" fontId="135" fillId="45" borderId="18" xfId="0" applyFont="1" applyFill="1" applyBorder="1" applyAlignment="1">
      <alignment horizontal="left" vertical="top" wrapText="1"/>
    </xf>
    <xf numFmtId="0" fontId="136" fillId="47" borderId="18" xfId="0" applyFont="1" applyFill="1" applyBorder="1" applyAlignment="1">
      <alignment horizontal="left" vertical="top" wrapText="1"/>
    </xf>
    <xf numFmtId="168" fontId="55" fillId="47" borderId="18" xfId="0" applyNumberFormat="1" applyFont="1" applyFill="1" applyBorder="1" applyAlignment="1">
      <alignment horizontal="center" vertical="top" wrapText="1"/>
    </xf>
    <xf numFmtId="4" fontId="113" fillId="47" borderId="18" xfId="0" applyNumberFormat="1" applyFont="1" applyFill="1" applyBorder="1" applyAlignment="1">
      <alignment horizontal="right" vertical="top" wrapText="1"/>
    </xf>
    <xf numFmtId="0" fontId="73" fillId="47" borderId="18" xfId="0" applyFont="1" applyFill="1" applyBorder="1" applyAlignment="1">
      <alignment horizontal="left" vertical="top" wrapText="1"/>
    </xf>
    <xf numFmtId="0" fontId="105" fillId="47" borderId="18" xfId="0" applyFont="1" applyFill="1" applyBorder="1" applyAlignment="1">
      <alignment horizontal="left" vertical="top" wrapText="1"/>
    </xf>
    <xf numFmtId="0" fontId="135" fillId="47" borderId="18" xfId="0" applyFont="1" applyFill="1" applyBorder="1" applyAlignment="1">
      <alignment horizontal="left" vertical="top" wrapText="1"/>
    </xf>
    <xf numFmtId="0" fontId="136" fillId="18" borderId="18" xfId="0" applyFont="1" applyFill="1" applyBorder="1" applyAlignment="1">
      <alignment horizontal="left" vertical="top" wrapText="1"/>
    </xf>
    <xf numFmtId="168" fontId="55" fillId="18" borderId="18" xfId="0" applyNumberFormat="1" applyFont="1" applyFill="1" applyBorder="1" applyAlignment="1">
      <alignment horizontal="center" vertical="top" wrapText="1"/>
    </xf>
    <xf numFmtId="4" fontId="113" fillId="18" borderId="18" xfId="0" applyNumberFormat="1" applyFont="1" applyFill="1" applyBorder="1" applyAlignment="1">
      <alignment horizontal="right" vertical="top" wrapText="1"/>
    </xf>
    <xf numFmtId="0" fontId="105" fillId="18" borderId="18" xfId="0" applyFont="1" applyFill="1" applyBorder="1" applyAlignment="1">
      <alignment horizontal="left" vertical="top" wrapText="1"/>
    </xf>
    <xf numFmtId="0" fontId="135" fillId="18" borderId="18" xfId="0" applyFont="1" applyFill="1" applyBorder="1" applyAlignment="1">
      <alignment horizontal="left" vertical="top" wrapText="1"/>
    </xf>
    <xf numFmtId="0" fontId="137" fillId="36" borderId="18" xfId="0" applyFont="1" applyFill="1" applyBorder="1" applyAlignment="1">
      <alignment horizontal="left" vertical="top" wrapText="1"/>
    </xf>
    <xf numFmtId="168" fontId="55" fillId="36" borderId="18" xfId="0" applyNumberFormat="1" applyFont="1" applyFill="1" applyBorder="1" applyAlignment="1">
      <alignment horizontal="center" vertical="top" wrapText="1"/>
    </xf>
    <xf numFmtId="4" fontId="113" fillId="36" borderId="18" xfId="0" applyNumberFormat="1" applyFont="1" applyFill="1" applyBorder="1" applyAlignment="1">
      <alignment horizontal="right" vertical="top" wrapText="1"/>
    </xf>
    <xf numFmtId="0" fontId="138" fillId="36" borderId="18" xfId="0" applyFont="1" applyFill="1" applyBorder="1" applyAlignment="1">
      <alignment horizontal="left" vertical="top" wrapText="1"/>
    </xf>
    <xf numFmtId="0" fontId="135" fillId="36" borderId="18" xfId="0" applyFont="1" applyFill="1" applyBorder="1" applyAlignment="1">
      <alignment horizontal="left" vertical="top" wrapText="1"/>
    </xf>
    <xf numFmtId="0" fontId="133" fillId="47" borderId="18" xfId="0" applyFont="1" applyFill="1" applyBorder="1" applyAlignment="1">
      <alignment horizontal="left" vertical="top" wrapText="1"/>
    </xf>
    <xf numFmtId="0" fontId="134" fillId="47" borderId="18" xfId="0" applyFont="1" applyFill="1" applyBorder="1" applyAlignment="1">
      <alignment horizontal="left" vertical="top" wrapText="1"/>
    </xf>
    <xf numFmtId="0" fontId="133" fillId="18" borderId="18" xfId="0" applyFont="1" applyFill="1" applyBorder="1" applyAlignment="1">
      <alignment horizontal="left" vertical="top" wrapText="1"/>
    </xf>
    <xf numFmtId="0" fontId="134" fillId="18" borderId="18" xfId="0" applyFont="1" applyFill="1" applyBorder="1" applyAlignment="1">
      <alignment horizontal="left" vertical="top" wrapText="1"/>
    </xf>
    <xf numFmtId="0" fontId="139" fillId="6" borderId="0" xfId="0" applyFont="1" applyFill="1" applyAlignment="1">
      <alignment vertical="center"/>
    </xf>
    <xf numFmtId="0" fontId="140" fillId="6" borderId="0" xfId="0" applyFont="1" applyFill="1" applyAlignment="1">
      <alignment vertical="center"/>
    </xf>
    <xf numFmtId="0" fontId="110" fillId="6" borderId="0" xfId="0" applyFont="1" applyFill="1"/>
    <xf numFmtId="0" fontId="49" fillId="23" borderId="0" xfId="0" applyFont="1" applyFill="1" applyAlignment="1">
      <alignment vertical="center"/>
    </xf>
    <xf numFmtId="0" fontId="140" fillId="23" borderId="0" xfId="0" applyFont="1" applyFill="1" applyAlignment="1">
      <alignment vertical="center"/>
    </xf>
    <xf numFmtId="0" fontId="110" fillId="23" borderId="0" xfId="0" applyFont="1" applyFill="1"/>
    <xf numFmtId="0" fontId="141" fillId="36" borderId="0" xfId="0" applyFont="1" applyFill="1" applyAlignment="1">
      <alignment vertical="center"/>
    </xf>
    <xf numFmtId="0" fontId="140" fillId="36" borderId="0" xfId="0" applyFont="1" applyFill="1" applyAlignment="1">
      <alignment vertical="center"/>
    </xf>
    <xf numFmtId="0" fontId="110" fillId="36" borderId="0" xfId="0" applyFont="1" applyFill="1"/>
    <xf numFmtId="0" fontId="111" fillId="18" borderId="0" xfId="0" applyFont="1" applyFill="1" applyAlignment="1">
      <alignment vertical="center"/>
    </xf>
    <xf numFmtId="0" fontId="140" fillId="18" borderId="0" xfId="0" applyFont="1" applyFill="1" applyAlignment="1">
      <alignment vertical="center"/>
    </xf>
    <xf numFmtId="9" fontId="55" fillId="45" borderId="18" xfId="0" applyNumberFormat="1" applyFont="1" applyFill="1" applyBorder="1" applyAlignment="1">
      <alignment horizontal="center" vertical="center"/>
    </xf>
    <xf numFmtId="0" fontId="134" fillId="6" borderId="18" xfId="0" applyFont="1" applyFill="1" applyBorder="1" applyAlignment="1">
      <alignment horizontal="center" vertical="center" wrapText="1"/>
    </xf>
    <xf numFmtId="1" fontId="142" fillId="45" borderId="18" xfId="0" applyNumberFormat="1" applyFont="1" applyFill="1" applyBorder="1" applyAlignment="1">
      <alignment horizontal="center" vertical="center"/>
    </xf>
    <xf numFmtId="0" fontId="143" fillId="43" borderId="18" xfId="0" applyFont="1" applyFill="1" applyBorder="1" applyAlignment="1">
      <alignment horizontal="center" vertical="center" wrapText="1"/>
    </xf>
    <xf numFmtId="1" fontId="142" fillId="23" borderId="18" xfId="0" applyNumberFormat="1" applyFont="1" applyFill="1" applyBorder="1" applyAlignment="1">
      <alignment horizontal="center" vertical="center"/>
    </xf>
    <xf numFmtId="9" fontId="55" fillId="46" borderId="18" xfId="0" applyNumberFormat="1" applyFont="1" applyFill="1" applyBorder="1" applyAlignment="1">
      <alignment horizontal="center" vertical="center"/>
    </xf>
    <xf numFmtId="1" fontId="142" fillId="46" borderId="18" xfId="0" applyNumberFormat="1" applyFont="1" applyFill="1" applyBorder="1" applyAlignment="1">
      <alignment horizontal="center" vertical="center"/>
    </xf>
    <xf numFmtId="0" fontId="144" fillId="18" borderId="18" xfId="0" applyFont="1" applyFill="1" applyBorder="1" applyAlignment="1">
      <alignment horizontal="center" vertical="center" wrapText="1"/>
    </xf>
    <xf numFmtId="1" fontId="65" fillId="5" borderId="18" xfId="0" applyNumberFormat="1" applyFont="1" applyFill="1" applyBorder="1" applyAlignment="1">
      <alignment horizontal="center" vertical="center"/>
    </xf>
    <xf numFmtId="0" fontId="145" fillId="8" borderId="18" xfId="0" applyFont="1" applyFill="1" applyBorder="1" applyAlignment="1">
      <alignment horizontal="center" vertical="center" wrapText="1"/>
    </xf>
    <xf numFmtId="9" fontId="55" fillId="47" borderId="18" xfId="0" applyNumberFormat="1" applyFont="1" applyFill="1" applyBorder="1" applyAlignment="1">
      <alignment horizontal="center" vertical="center"/>
    </xf>
    <xf numFmtId="0" fontId="113" fillId="48" borderId="18" xfId="0" applyFont="1" applyFill="1" applyBorder="1" applyAlignment="1">
      <alignment horizontal="left" vertical="center" wrapText="1"/>
    </xf>
    <xf numFmtId="0" fontId="115" fillId="48" borderId="18" xfId="0" applyFont="1" applyFill="1" applyBorder="1" applyAlignment="1">
      <alignment horizontal="left" vertical="center" wrapText="1"/>
    </xf>
    <xf numFmtId="4" fontId="55" fillId="48" borderId="18" xfId="0" applyNumberFormat="1" applyFont="1" applyFill="1" applyBorder="1" applyAlignment="1">
      <alignment horizontal="right" vertical="center"/>
    </xf>
    <xf numFmtId="9" fontId="55" fillId="48" borderId="18" xfId="0" applyNumberFormat="1" applyFont="1" applyFill="1" applyBorder="1" applyAlignment="1">
      <alignment horizontal="center" vertical="center"/>
    </xf>
    <xf numFmtId="0" fontId="74" fillId="48" borderId="18" xfId="0" applyFont="1" applyFill="1" applyBorder="1" applyAlignment="1">
      <alignment horizontal="left" vertical="center" wrapText="1"/>
    </xf>
    <xf numFmtId="1" fontId="142" fillId="18" borderId="18" xfId="0" applyNumberFormat="1" applyFont="1" applyFill="1" applyBorder="1" applyAlignment="1">
      <alignment horizontal="center" vertical="center"/>
    </xf>
    <xf numFmtId="1" fontId="65" fillId="18" borderId="18" xfId="0" applyNumberFormat="1" applyFont="1" applyFill="1" applyBorder="1" applyAlignment="1">
      <alignment horizontal="center" vertical="center"/>
    </xf>
    <xf numFmtId="0" fontId="146" fillId="8" borderId="0" xfId="0" applyFont="1" applyFill="1"/>
    <xf numFmtId="0" fontId="11" fillId="8" borderId="0" xfId="0" applyFont="1" applyFill="1"/>
    <xf numFmtId="0" fontId="110" fillId="8" borderId="0" xfId="0" applyFont="1" applyFill="1"/>
    <xf numFmtId="0" fontId="147" fillId="18" borderId="0" xfId="0" applyFont="1" applyFill="1"/>
    <xf numFmtId="0" fontId="11" fillId="18" borderId="0" xfId="0" applyFont="1" applyFill="1"/>
    <xf numFmtId="0" fontId="139" fillId="6" borderId="0" xfId="0" applyFont="1" applyFill="1"/>
    <xf numFmtId="0" fontId="11" fillId="6" borderId="0" xfId="0" applyFont="1" applyFill="1"/>
    <xf numFmtId="0" fontId="49" fillId="43" borderId="0" xfId="0" applyFont="1" applyFill="1"/>
    <xf numFmtId="0" fontId="11" fillId="43" borderId="0" xfId="0" applyFont="1" applyFill="1"/>
    <xf numFmtId="0" fontId="110" fillId="43" borderId="0" xfId="0" applyFont="1" applyFill="1"/>
    <xf numFmtId="0" fontId="148" fillId="5" borderId="0" xfId="0" applyFont="1" applyFill="1"/>
    <xf numFmtId="0" fontId="11" fillId="5" borderId="0" xfId="0" applyFont="1" applyFill="1"/>
    <xf numFmtId="0" fontId="110" fillId="5" borderId="0" xfId="0" applyFont="1" applyFill="1"/>
    <xf numFmtId="0" fontId="16" fillId="34" borderId="18" xfId="0" applyFont="1" applyFill="1" applyBorder="1" applyAlignment="1">
      <alignment horizontal="center" vertical="center" wrapText="1"/>
    </xf>
    <xf numFmtId="0" fontId="56" fillId="0" borderId="18" xfId="0" applyFont="1" applyBorder="1" applyAlignment="1">
      <alignment horizontal="left" vertical="center" wrapText="1"/>
    </xf>
    <xf numFmtId="165" fontId="151" fillId="0" borderId="18" xfId="0" applyNumberFormat="1" applyFont="1" applyBorder="1" applyAlignment="1">
      <alignment horizontal="right" vertical="center"/>
    </xf>
    <xf numFmtId="164" fontId="76" fillId="0" borderId="18" xfId="0" applyNumberFormat="1" applyFont="1" applyBorder="1" applyAlignment="1">
      <alignment horizontal="right" vertical="center"/>
    </xf>
    <xf numFmtId="171" fontId="76" fillId="0" borderId="18" xfId="0" applyNumberFormat="1" applyFont="1" applyBorder="1" applyAlignment="1">
      <alignment horizontal="right" vertical="center"/>
    </xf>
    <xf numFmtId="0" fontId="55" fillId="0" borderId="18" xfId="0" applyFont="1" applyBorder="1" applyAlignment="1">
      <alignment horizontal="left" vertical="center" wrapText="1"/>
    </xf>
    <xf numFmtId="0" fontId="17" fillId="0" borderId="18" xfId="0" applyFont="1" applyBorder="1"/>
    <xf numFmtId="164" fontId="56" fillId="32" borderId="18" xfId="0" applyNumberFormat="1" applyFont="1" applyFill="1" applyBorder="1" applyAlignment="1">
      <alignment horizontal="right" vertical="center"/>
    </xf>
    <xf numFmtId="0" fontId="16" fillId="50" borderId="0" xfId="0" applyFont="1" applyFill="1" applyAlignment="1">
      <alignment horizontal="center" vertical="center" wrapText="1"/>
    </xf>
    <xf numFmtId="0" fontId="126" fillId="0" borderId="0" xfId="0" applyFont="1"/>
    <xf numFmtId="0" fontId="52" fillId="0" borderId="0" xfId="0" applyFont="1"/>
    <xf numFmtId="4" fontId="126" fillId="19" borderId="0" xfId="0" applyNumberFormat="1" applyFont="1" applyFill="1" applyAlignment="1">
      <alignment horizontal="right"/>
    </xf>
    <xf numFmtId="2" fontId="154" fillId="19" borderId="0" xfId="0" applyNumberFormat="1" applyFont="1" applyFill="1" applyAlignment="1">
      <alignment horizontal="right"/>
    </xf>
    <xf numFmtId="0" fontId="2" fillId="52" borderId="0" xfId="0" applyFont="1" applyFill="1"/>
    <xf numFmtId="0" fontId="156" fillId="18" borderId="0" xfId="0" applyFont="1" applyFill="1"/>
    <xf numFmtId="0" fontId="157" fillId="18" borderId="0" xfId="0" applyFont="1" applyFill="1"/>
    <xf numFmtId="0" fontId="18" fillId="53" borderId="0" xfId="0" applyFont="1" applyFill="1"/>
    <xf numFmtId="0" fontId="56" fillId="33" borderId="18" xfId="0" applyFont="1" applyFill="1" applyBorder="1" applyAlignment="1">
      <alignment horizontal="center" vertical="center" wrapText="1"/>
    </xf>
    <xf numFmtId="0" fontId="77" fillId="33" borderId="0" xfId="0" applyFont="1" applyFill="1"/>
    <xf numFmtId="0" fontId="158" fillId="5" borderId="18" xfId="0" applyFont="1" applyFill="1" applyBorder="1" applyAlignment="1">
      <alignment horizontal="left" vertical="center" wrapText="1"/>
    </xf>
    <xf numFmtId="176" fontId="151" fillId="18" borderId="18" xfId="0" applyNumberFormat="1" applyFont="1" applyFill="1" applyBorder="1" applyAlignment="1">
      <alignment horizontal="right" vertical="center"/>
    </xf>
    <xf numFmtId="0" fontId="52" fillId="5" borderId="18" xfId="0" applyFont="1" applyFill="1" applyBorder="1" applyAlignment="1">
      <alignment horizontal="left" vertical="center" wrapText="1"/>
    </xf>
    <xf numFmtId="0" fontId="158" fillId="4" borderId="18" xfId="0" applyFont="1" applyFill="1" applyBorder="1" applyAlignment="1">
      <alignment horizontal="left" vertical="center" wrapText="1"/>
    </xf>
    <xf numFmtId="2" fontId="151" fillId="18" borderId="18" xfId="0" applyNumberFormat="1" applyFont="1" applyFill="1" applyBorder="1" applyAlignment="1">
      <alignment horizontal="right" vertical="center"/>
    </xf>
    <xf numFmtId="0" fontId="72" fillId="4" borderId="18" xfId="0" applyFont="1" applyFill="1" applyBorder="1" applyAlignment="1">
      <alignment horizontal="center" vertical="center" wrapText="1"/>
    </xf>
    <xf numFmtId="0" fontId="52" fillId="4" borderId="18" xfId="0" applyFont="1" applyFill="1" applyBorder="1" applyAlignment="1">
      <alignment horizontal="left" vertical="center" wrapText="1"/>
    </xf>
    <xf numFmtId="0" fontId="90" fillId="4" borderId="0" xfId="0" applyFont="1" applyFill="1"/>
    <xf numFmtId="0" fontId="151" fillId="18" borderId="18" xfId="0" applyFont="1" applyFill="1" applyBorder="1" applyAlignment="1">
      <alignment horizontal="right" vertical="center"/>
    </xf>
    <xf numFmtId="1" fontId="151" fillId="18" borderId="18" xfId="0" applyNumberFormat="1" applyFont="1" applyFill="1" applyBorder="1" applyAlignment="1">
      <alignment horizontal="right" vertical="center"/>
    </xf>
    <xf numFmtId="0" fontId="158" fillId="54" borderId="0" xfId="0" applyFont="1" applyFill="1"/>
    <xf numFmtId="176" fontId="151" fillId="54" borderId="0" xfId="0" applyNumberFormat="1" applyFont="1" applyFill="1"/>
    <xf numFmtId="0" fontId="55" fillId="54" borderId="0" xfId="0" applyFont="1" applyFill="1"/>
    <xf numFmtId="0" fontId="52" fillId="54" borderId="0" xfId="0" applyFont="1" applyFill="1"/>
    <xf numFmtId="0" fontId="90" fillId="54" borderId="0" xfId="0" applyFont="1" applyFill="1"/>
    <xf numFmtId="10" fontId="151" fillId="18" borderId="18" xfId="0" applyNumberFormat="1" applyFont="1" applyFill="1" applyBorder="1" applyAlignment="1">
      <alignment horizontal="center" vertical="center"/>
    </xf>
    <xf numFmtId="180" fontId="159" fillId="18" borderId="18" xfId="0" applyNumberFormat="1" applyFont="1" applyFill="1" applyBorder="1" applyAlignment="1">
      <alignment horizontal="center" vertical="center"/>
    </xf>
    <xf numFmtId="0" fontId="67" fillId="54" borderId="0" xfId="0" applyFont="1" applyFill="1"/>
    <xf numFmtId="10" fontId="151" fillId="54" borderId="0" xfId="0" applyNumberFormat="1" applyFont="1" applyFill="1" applyAlignment="1">
      <alignment horizontal="center"/>
    </xf>
    <xf numFmtId="0" fontId="56" fillId="33" borderId="18" xfId="0" applyFont="1" applyFill="1" applyBorder="1" applyAlignment="1">
      <alignment horizontal="left" vertical="center"/>
    </xf>
    <xf numFmtId="170" fontId="56" fillId="33" borderId="18" xfId="0" applyNumberFormat="1" applyFont="1" applyFill="1" applyBorder="1" applyAlignment="1">
      <alignment horizontal="left" vertical="center"/>
    </xf>
    <xf numFmtId="0" fontId="160" fillId="33" borderId="18" xfId="0" applyFont="1" applyFill="1" applyBorder="1" applyAlignment="1">
      <alignment horizontal="left" vertical="center"/>
    </xf>
    <xf numFmtId="0" fontId="158" fillId="4" borderId="18" xfId="0" applyFont="1" applyFill="1" applyBorder="1" applyAlignment="1">
      <alignment horizontal="left" vertical="center"/>
    </xf>
    <xf numFmtId="170" fontId="70" fillId="55" borderId="18" xfId="0" applyNumberFormat="1" applyFont="1" applyFill="1" applyBorder="1" applyAlignment="1">
      <alignment horizontal="right" vertical="center"/>
    </xf>
    <xf numFmtId="0" fontId="72" fillId="4" borderId="18" xfId="0" applyFont="1" applyFill="1" applyBorder="1" applyAlignment="1">
      <alignment horizontal="left" vertical="center" wrapText="1"/>
    </xf>
    <xf numFmtId="0" fontId="158" fillId="5" borderId="18" xfId="0" applyFont="1" applyFill="1" applyBorder="1" applyAlignment="1">
      <alignment horizontal="left" vertical="center"/>
    </xf>
    <xf numFmtId="0" fontId="72" fillId="5" borderId="18" xfId="0" applyFont="1" applyFill="1" applyBorder="1" applyAlignment="1">
      <alignment horizontal="left" vertical="center" wrapText="1"/>
    </xf>
    <xf numFmtId="0" fontId="158" fillId="18" borderId="18" xfId="0" applyFont="1" applyFill="1" applyBorder="1" applyAlignment="1">
      <alignment horizontal="left" vertical="center"/>
    </xf>
    <xf numFmtId="170" fontId="125" fillId="30" borderId="18" xfId="0" applyNumberFormat="1" applyFont="1" applyFill="1" applyBorder="1" applyAlignment="1">
      <alignment horizontal="right" vertical="center"/>
    </xf>
    <xf numFmtId="0" fontId="72" fillId="18" borderId="18" xfId="0" applyFont="1" applyFill="1" applyBorder="1" applyAlignment="1">
      <alignment horizontal="left" vertical="center" wrapText="1"/>
    </xf>
    <xf numFmtId="0" fontId="52" fillId="18" borderId="18" xfId="0" applyFont="1" applyFill="1" applyBorder="1" applyAlignment="1">
      <alignment horizontal="left" vertical="center" wrapText="1"/>
    </xf>
    <xf numFmtId="169" fontId="70" fillId="55" borderId="18" xfId="0" applyNumberFormat="1" applyFont="1" applyFill="1" applyBorder="1" applyAlignment="1">
      <alignment horizontal="right" vertical="center"/>
    </xf>
    <xf numFmtId="0" fontId="17" fillId="54" borderId="0" xfId="0" applyFont="1" applyFill="1"/>
    <xf numFmtId="0" fontId="0" fillId="54" borderId="0" xfId="0" applyFill="1"/>
    <xf numFmtId="4" fontId="151" fillId="18" borderId="18" xfId="0" applyNumberFormat="1" applyFont="1" applyFill="1" applyBorder="1" applyAlignment="1">
      <alignment horizontal="center" vertical="center"/>
    </xf>
    <xf numFmtId="0" fontId="55" fillId="5" borderId="0" xfId="0" applyFont="1" applyFill="1"/>
    <xf numFmtId="0" fontId="55" fillId="4" borderId="0" xfId="0" applyFont="1" applyFill="1"/>
    <xf numFmtId="176" fontId="151" fillId="18" borderId="18" xfId="0" applyNumberFormat="1" applyFont="1" applyFill="1" applyBorder="1" applyAlignment="1">
      <alignment horizontal="center" vertical="center"/>
    </xf>
    <xf numFmtId="177" fontId="151" fillId="18" borderId="18" xfId="0" applyNumberFormat="1" applyFont="1" applyFill="1" applyBorder="1" applyAlignment="1">
      <alignment horizontal="center" vertical="center"/>
    </xf>
    <xf numFmtId="1" fontId="69" fillId="55" borderId="18" xfId="0" applyNumberFormat="1" applyFont="1" applyFill="1" applyBorder="1" applyAlignment="1">
      <alignment horizontal="center" vertical="center"/>
    </xf>
    <xf numFmtId="0" fontId="152" fillId="52" borderId="0" xfId="0" applyFont="1" applyFill="1"/>
    <xf numFmtId="0" fontId="58" fillId="4" borderId="0" xfId="0" applyFont="1" applyFill="1"/>
    <xf numFmtId="0" fontId="16" fillId="53" borderId="0" xfId="0" applyFont="1" applyFill="1"/>
    <xf numFmtId="0" fontId="4" fillId="53" borderId="0" xfId="0" applyFont="1" applyFill="1"/>
    <xf numFmtId="0" fontId="17" fillId="56" borderId="0" xfId="0" applyFont="1" applyFill="1"/>
    <xf numFmtId="0" fontId="0" fillId="56" borderId="0" xfId="0" applyFill="1"/>
    <xf numFmtId="0" fontId="55" fillId="9" borderId="0" xfId="0" applyFont="1" applyFill="1"/>
    <xf numFmtId="0" fontId="55" fillId="18" borderId="0" xfId="0" applyFont="1" applyFill="1"/>
    <xf numFmtId="0" fontId="55" fillId="23" borderId="0" xfId="0" applyFont="1" applyFill="1"/>
    <xf numFmtId="164" fontId="19" fillId="14" borderId="4" xfId="0" applyNumberFormat="1" applyFont="1" applyFill="1" applyBorder="1" applyAlignment="1">
      <alignment horizontal="center" vertical="center" wrapText="1"/>
    </xf>
    <xf numFmtId="164" fontId="19" fillId="14" borderId="0" xfId="0" applyNumberFormat="1" applyFont="1" applyFill="1" applyAlignment="1">
      <alignment horizontal="center" vertical="center" wrapText="1"/>
    </xf>
    <xf numFmtId="3" fontId="20" fillId="15" borderId="4" xfId="0" applyNumberFormat="1" applyFont="1" applyFill="1" applyBorder="1" applyAlignment="1">
      <alignment horizontal="center" vertical="center" wrapText="1"/>
    </xf>
    <xf numFmtId="3" fontId="20" fillId="15" borderId="0" xfId="0" applyNumberFormat="1" applyFont="1" applyFill="1" applyAlignment="1">
      <alignment horizontal="center" vertical="center" wrapText="1"/>
    </xf>
    <xf numFmtId="165" fontId="19" fillId="14" borderId="0" xfId="0" applyNumberFormat="1" applyFont="1" applyFill="1" applyAlignment="1">
      <alignment horizontal="center" vertical="center" wrapText="1"/>
    </xf>
    <xf numFmtId="166" fontId="21" fillId="15" borderId="0" xfId="0" applyNumberFormat="1" applyFont="1" applyFill="1" applyAlignment="1">
      <alignment horizontal="center" vertical="center" wrapText="1"/>
    </xf>
    <xf numFmtId="167" fontId="20" fillId="15" borderId="0" xfId="0" applyNumberFormat="1" applyFont="1" applyFill="1" applyAlignment="1">
      <alignment horizontal="center" vertical="center" wrapText="1"/>
    </xf>
    <xf numFmtId="168" fontId="19" fillId="14" borderId="4" xfId="0" applyNumberFormat="1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 wrapText="1"/>
    </xf>
    <xf numFmtId="1" fontId="21" fillId="15" borderId="4" xfId="0" applyNumberFormat="1" applyFont="1" applyFill="1" applyBorder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9" fontId="21" fillId="15" borderId="0" xfId="0" applyNumberFormat="1" applyFont="1" applyFill="1" applyAlignment="1">
      <alignment horizontal="center" vertical="center"/>
    </xf>
    <xf numFmtId="3" fontId="21" fillId="15" borderId="0" xfId="0" applyNumberFormat="1" applyFont="1" applyFill="1" applyAlignment="1">
      <alignment horizontal="center" vertical="center"/>
    </xf>
    <xf numFmtId="0" fontId="22" fillId="16" borderId="6" xfId="0" applyFont="1" applyFill="1" applyBorder="1" applyAlignment="1">
      <alignment horizontal="center" vertical="center" wrapText="1"/>
    </xf>
    <xf numFmtId="0" fontId="16" fillId="12" borderId="8" xfId="0" applyFont="1" applyFill="1" applyBorder="1" applyAlignment="1">
      <alignment horizontal="right" vertical="center"/>
    </xf>
    <xf numFmtId="168" fontId="16" fillId="12" borderId="8" xfId="0" applyNumberFormat="1" applyFont="1" applyFill="1" applyBorder="1" applyAlignment="1">
      <alignment horizontal="center" vertical="center" wrapText="1"/>
    </xf>
    <xf numFmtId="165" fontId="16" fillId="12" borderId="8" xfId="0" applyNumberFormat="1" applyFont="1" applyFill="1" applyBorder="1" applyAlignment="1">
      <alignment horizontal="center" vertical="center" wrapText="1"/>
    </xf>
    <xf numFmtId="0" fontId="18" fillId="13" borderId="2" xfId="0" applyFont="1" applyFill="1" applyBorder="1" applyAlignment="1">
      <alignment horizontal="left" vertical="center"/>
    </xf>
    <xf numFmtId="0" fontId="19" fillId="14" borderId="4" xfId="0" applyFont="1" applyFill="1" applyBorder="1" applyAlignment="1">
      <alignment horizontal="center"/>
    </xf>
    <xf numFmtId="0" fontId="19" fillId="14" borderId="0" xfId="0" applyFont="1" applyFill="1" applyAlignment="1">
      <alignment horizontal="center"/>
    </xf>
    <xf numFmtId="0" fontId="19" fillId="14" borderId="10" xfId="0" applyFont="1" applyFill="1" applyBorder="1" applyAlignment="1">
      <alignment horizontal="center"/>
    </xf>
    <xf numFmtId="0" fontId="20" fillId="15" borderId="4" xfId="0" applyFont="1" applyFill="1" applyBorder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25" fillId="18" borderId="0" xfId="0" applyFont="1" applyFill="1" applyAlignment="1">
      <alignment horizontal="center" vertical="center"/>
    </xf>
    <xf numFmtId="0" fontId="26" fillId="19" borderId="0" xfId="0" applyFont="1" applyFill="1" applyAlignment="1">
      <alignment horizontal="center" vertical="center"/>
    </xf>
    <xf numFmtId="0" fontId="28" fillId="20" borderId="6" xfId="0" applyFont="1" applyFill="1" applyBorder="1" applyAlignment="1">
      <alignment horizontal="center"/>
    </xf>
    <xf numFmtId="0" fontId="16" fillId="12" borderId="8" xfId="0" applyFont="1" applyFill="1" applyBorder="1" applyAlignment="1">
      <alignment horizontal="left" vertical="center" wrapText="1"/>
    </xf>
    <xf numFmtId="0" fontId="18" fillId="13" borderId="14" xfId="0" applyFont="1" applyFill="1" applyBorder="1" applyAlignment="1">
      <alignment horizontal="left" vertical="center" wrapText="1"/>
    </xf>
    <xf numFmtId="0" fontId="29" fillId="2" borderId="18" xfId="0" applyFont="1" applyFill="1" applyBorder="1" applyAlignment="1">
      <alignment horizontal="left" vertical="center" wrapText="1"/>
    </xf>
    <xf numFmtId="0" fontId="31" fillId="5" borderId="22" xfId="0" applyFont="1" applyFill="1" applyBorder="1" applyAlignment="1">
      <alignment horizontal="left" vertical="center" wrapText="1"/>
    </xf>
    <xf numFmtId="0" fontId="31" fillId="12" borderId="22" xfId="0" applyFont="1" applyFill="1" applyBorder="1" applyAlignment="1">
      <alignment horizontal="left" vertical="center" wrapText="1"/>
    </xf>
    <xf numFmtId="0" fontId="33" fillId="12" borderId="22" xfId="0" applyFont="1" applyFill="1" applyBorder="1" applyAlignment="1">
      <alignment horizontal="left" vertical="center" wrapText="1"/>
    </xf>
    <xf numFmtId="0" fontId="33" fillId="21" borderId="22" xfId="0" applyFont="1" applyFill="1" applyBorder="1"/>
    <xf numFmtId="0" fontId="31" fillId="12" borderId="24" xfId="0" applyFont="1" applyFill="1" applyBorder="1"/>
    <xf numFmtId="0" fontId="16" fillId="12" borderId="8" xfId="0" applyFont="1" applyFill="1" applyBorder="1" applyAlignment="1">
      <alignment horizontal="center" vertical="center" wrapText="1"/>
    </xf>
    <xf numFmtId="0" fontId="18" fillId="13" borderId="29" xfId="0" applyFont="1" applyFill="1" applyBorder="1" applyAlignment="1">
      <alignment horizontal="left" vertical="center" wrapText="1"/>
    </xf>
    <xf numFmtId="0" fontId="29" fillId="2" borderId="8" xfId="0" applyFont="1" applyFill="1" applyBorder="1" applyAlignment="1">
      <alignment horizontal="left" vertical="center" wrapText="1"/>
    </xf>
    <xf numFmtId="0" fontId="30" fillId="5" borderId="30" xfId="0" applyFont="1" applyFill="1" applyBorder="1" applyAlignment="1">
      <alignment horizontal="left" vertical="center" wrapText="1"/>
    </xf>
    <xf numFmtId="0" fontId="30" fillId="12" borderId="30" xfId="0" applyFont="1" applyFill="1" applyBorder="1" applyAlignment="1">
      <alignment horizontal="left" vertical="center" wrapText="1"/>
    </xf>
    <xf numFmtId="0" fontId="36" fillId="22" borderId="30" xfId="0" applyFont="1" applyFill="1" applyBorder="1" applyAlignment="1">
      <alignment horizontal="left" vertical="center" wrapText="1"/>
    </xf>
    <xf numFmtId="0" fontId="30" fillId="12" borderId="30" xfId="0" applyFont="1" applyFill="1" applyBorder="1"/>
    <xf numFmtId="0" fontId="30" fillId="5" borderId="31" xfId="0" applyFont="1" applyFill="1" applyBorder="1"/>
    <xf numFmtId="0" fontId="18" fillId="13" borderId="37" xfId="0" applyFont="1" applyFill="1" applyBorder="1" applyAlignment="1">
      <alignment horizontal="left" vertical="center" wrapText="1"/>
    </xf>
    <xf numFmtId="0" fontId="38" fillId="2" borderId="8" xfId="0" applyFont="1" applyFill="1" applyBorder="1" applyAlignment="1">
      <alignment horizontal="left" vertical="center" wrapText="1"/>
    </xf>
    <xf numFmtId="0" fontId="40" fillId="23" borderId="40" xfId="0" applyFont="1" applyFill="1" applyBorder="1" applyAlignment="1">
      <alignment horizontal="left" vertical="center" wrapText="1"/>
    </xf>
    <xf numFmtId="0" fontId="42" fillId="24" borderId="30" xfId="0" applyFont="1" applyFill="1" applyBorder="1" applyAlignment="1">
      <alignment horizontal="left" vertical="center" wrapText="1"/>
    </xf>
    <xf numFmtId="0" fontId="44" fillId="25" borderId="30" xfId="0" applyFont="1" applyFill="1" applyBorder="1" applyAlignment="1">
      <alignment horizontal="left" vertical="center" wrapText="1"/>
    </xf>
    <xf numFmtId="0" fontId="46" fillId="26" borderId="31" xfId="0" applyFont="1" applyFill="1" applyBorder="1" applyAlignment="1">
      <alignment vertical="center"/>
    </xf>
    <xf numFmtId="0" fontId="48" fillId="27" borderId="42" xfId="0" applyFont="1" applyFill="1" applyBorder="1" applyAlignment="1">
      <alignment vertical="center"/>
    </xf>
    <xf numFmtId="0" fontId="51" fillId="2" borderId="0" xfId="0" applyFont="1" applyFill="1"/>
    <xf numFmtId="0" fontId="52" fillId="9" borderId="0" xfId="0" applyFont="1" applyFill="1" applyAlignment="1">
      <alignment vertical="top" wrapText="1"/>
    </xf>
    <xf numFmtId="0" fontId="53" fillId="6" borderId="0" xfId="0" applyFont="1" applyFill="1"/>
    <xf numFmtId="0" fontId="16" fillId="2" borderId="0" xfId="0" applyFont="1" applyFill="1"/>
    <xf numFmtId="0" fontId="52" fillId="4" borderId="0" xfId="0" applyFont="1" applyFill="1" applyAlignment="1">
      <alignment horizontal="left" vertical="center" wrapText="1"/>
    </xf>
    <xf numFmtId="0" fontId="16" fillId="3" borderId="0" xfId="0" applyFont="1" applyFill="1" applyAlignment="1">
      <alignment horizontal="left" vertical="center" wrapText="1"/>
    </xf>
    <xf numFmtId="0" fontId="98" fillId="34" borderId="0" xfId="0" applyFont="1" applyFill="1" applyAlignment="1">
      <alignment horizontal="center" vertical="center" wrapText="1"/>
    </xf>
    <xf numFmtId="0" fontId="58" fillId="4" borderId="0" xfId="0" applyFont="1" applyFill="1" applyAlignment="1">
      <alignment horizontal="left" vertical="center"/>
    </xf>
    <xf numFmtId="0" fontId="119" fillId="4" borderId="0" xfId="0" applyFont="1" applyFill="1" applyAlignment="1">
      <alignment horizontal="left" vertical="center" wrapText="1"/>
    </xf>
    <xf numFmtId="0" fontId="98" fillId="34" borderId="17" xfId="0" applyFont="1" applyFill="1" applyBorder="1" applyAlignment="1">
      <alignment horizontal="center" vertical="center" wrapText="1"/>
    </xf>
    <xf numFmtId="0" fontId="98" fillId="3" borderId="17" xfId="0" applyFont="1" applyFill="1" applyBorder="1" applyAlignment="1">
      <alignment horizontal="center" vertical="center" wrapText="1"/>
    </xf>
    <xf numFmtId="0" fontId="98" fillId="7" borderId="17" xfId="0" applyFont="1" applyFill="1" applyBorder="1" applyAlignment="1">
      <alignment horizontal="center" vertical="center" wrapText="1"/>
    </xf>
    <xf numFmtId="0" fontId="98" fillId="38" borderId="17" xfId="0" applyFont="1" applyFill="1" applyBorder="1" applyAlignment="1">
      <alignment horizontal="center" vertical="center" wrapText="1"/>
    </xf>
    <xf numFmtId="0" fontId="98" fillId="2" borderId="17" xfId="0" applyFont="1" applyFill="1" applyBorder="1" applyAlignment="1">
      <alignment horizontal="center" vertical="center" wrapText="1"/>
    </xf>
    <xf numFmtId="0" fontId="98" fillId="2" borderId="0" xfId="0" applyFont="1" applyFill="1" applyAlignment="1">
      <alignment horizontal="center" vertical="center" wrapText="1"/>
    </xf>
    <xf numFmtId="0" fontId="54" fillId="34" borderId="0" xfId="0" applyFont="1" applyFill="1" applyAlignment="1">
      <alignment horizontal="left" vertical="center" wrapText="1"/>
    </xf>
    <xf numFmtId="0" fontId="98" fillId="39" borderId="18" xfId="0" applyFont="1" applyFill="1" applyBorder="1" applyAlignment="1">
      <alignment horizontal="center" vertical="center" wrapText="1"/>
    </xf>
    <xf numFmtId="4" fontId="123" fillId="37" borderId="18" xfId="0" applyNumberFormat="1" applyFont="1" applyFill="1" applyBorder="1" applyAlignment="1">
      <alignment horizontal="right" vertical="center"/>
    </xf>
    <xf numFmtId="0" fontId="124" fillId="37" borderId="18" xfId="0" applyFont="1" applyFill="1" applyBorder="1" applyAlignment="1">
      <alignment horizontal="left" vertical="center" wrapText="1"/>
    </xf>
    <xf numFmtId="4" fontId="123" fillId="5" borderId="18" xfId="0" applyNumberFormat="1" applyFont="1" applyFill="1" applyBorder="1" applyAlignment="1">
      <alignment horizontal="right" vertical="center"/>
    </xf>
    <xf numFmtId="0" fontId="124" fillId="5" borderId="18" xfId="0" applyFont="1" applyFill="1" applyBorder="1" applyAlignment="1">
      <alignment horizontal="left" vertical="center" wrapText="1"/>
    </xf>
    <xf numFmtId="4" fontId="123" fillId="28" borderId="18" xfId="0" applyNumberFormat="1" applyFont="1" applyFill="1" applyBorder="1" applyAlignment="1">
      <alignment horizontal="right" vertical="center"/>
    </xf>
    <xf numFmtId="0" fontId="124" fillId="28" borderId="18" xfId="0" applyFont="1" applyFill="1" applyBorder="1" applyAlignment="1">
      <alignment horizontal="left" vertical="center" wrapText="1"/>
    </xf>
    <xf numFmtId="4" fontId="123" fillId="18" borderId="18" xfId="0" applyNumberFormat="1" applyFont="1" applyFill="1" applyBorder="1" applyAlignment="1">
      <alignment horizontal="right" vertical="center"/>
    </xf>
    <xf numFmtId="0" fontId="124" fillId="18" borderId="18" xfId="0" applyFont="1" applyFill="1" applyBorder="1" applyAlignment="1">
      <alignment horizontal="left" vertical="center" wrapText="1"/>
    </xf>
    <xf numFmtId="0" fontId="98" fillId="2" borderId="18" xfId="0" applyFont="1" applyFill="1" applyBorder="1" applyAlignment="1">
      <alignment horizontal="left" vertical="center" wrapText="1"/>
    </xf>
    <xf numFmtId="4" fontId="98" fillId="2" borderId="18" xfId="0" applyNumberFormat="1" applyFont="1" applyFill="1" applyBorder="1" applyAlignment="1">
      <alignment horizontal="right" vertical="center"/>
    </xf>
    <xf numFmtId="0" fontId="149" fillId="2" borderId="0" xfId="0" applyFont="1" applyFill="1" applyAlignment="1">
      <alignment horizontal="left" vertical="center" wrapText="1"/>
    </xf>
    <xf numFmtId="0" fontId="150" fillId="34" borderId="0" xfId="0" applyFont="1" applyFill="1" applyAlignment="1">
      <alignment horizontal="left" vertical="center" wrapText="1"/>
    </xf>
    <xf numFmtId="0" fontId="58" fillId="18" borderId="0" xfId="0" applyFont="1" applyFill="1" applyAlignment="1">
      <alignment horizontal="left" vertical="center" wrapText="1"/>
    </xf>
    <xf numFmtId="0" fontId="152" fillId="50" borderId="0" xfId="0" applyFont="1" applyFill="1"/>
    <xf numFmtId="0" fontId="17" fillId="0" borderId="0" xfId="0" applyFont="1" applyAlignment="1">
      <alignment vertical="top" wrapText="1"/>
    </xf>
    <xf numFmtId="0" fontId="153" fillId="51" borderId="0" xfId="0" applyFont="1" applyFill="1"/>
    <xf numFmtId="0" fontId="155" fillId="0" borderId="0" xfId="0" applyFont="1" applyAlignment="1">
      <alignment vertical="top" wrapText="1"/>
    </xf>
    <xf numFmtId="0" fontId="152" fillId="52" borderId="0" xfId="0" applyFont="1" applyFill="1" applyAlignment="1">
      <alignment horizontal="left" vertical="center" wrapText="1"/>
    </xf>
    <xf numFmtId="0" fontId="54" fillId="53" borderId="0" xfId="0" applyFont="1" applyFill="1" applyAlignment="1">
      <alignment horizontal="left" vertical="center" wrapText="1"/>
    </xf>
    <xf numFmtId="0" fontId="142" fillId="5" borderId="18" xfId="0" applyFont="1" applyFill="1" applyBorder="1" applyAlignment="1">
      <alignment horizontal="left" vertical="center" wrapText="1"/>
    </xf>
    <xf numFmtId="0" fontId="142" fillId="23" borderId="18" xfId="0" applyFont="1" applyFill="1" applyBorder="1" applyAlignment="1">
      <alignment horizontal="left" vertical="center" wrapText="1"/>
    </xf>
    <xf numFmtId="0" fontId="142" fillId="18" borderId="18" xfId="0" applyFont="1" applyFill="1" applyBorder="1" applyAlignment="1">
      <alignment horizontal="left" vertical="center" wrapText="1"/>
    </xf>
    <xf numFmtId="0" fontId="142" fillId="18" borderId="0" xfId="0" applyFont="1" applyFill="1" applyAlignment="1">
      <alignment horizontal="left" vertical="center" wrapText="1"/>
    </xf>
    <xf numFmtId="170" fontId="30" fillId="5" borderId="21" xfId="0" applyNumberFormat="1" applyFont="1" applyFill="1" applyBorder="1" applyAlignment="1">
      <alignment horizontal="right" vertical="center"/>
    </xf>
    <xf numFmtId="170" fontId="30" fillId="12" borderId="21" xfId="0" applyNumberFormat="1" applyFont="1" applyFill="1" applyBorder="1" applyAlignment="1">
      <alignment horizontal="right" vertical="center"/>
    </xf>
    <xf numFmtId="170" fontId="36" fillId="22" borderId="21" xfId="0" applyNumberFormat="1" applyFont="1" applyFill="1" applyBorder="1" applyAlignment="1">
      <alignment horizontal="right" vertical="center"/>
    </xf>
    <xf numFmtId="170" fontId="30" fillId="5" borderId="31" xfId="0" applyNumberFormat="1" applyFont="1" applyFill="1" applyBorder="1" applyAlignment="1">
      <alignment horizontal="right"/>
    </xf>
    <xf numFmtId="181" fontId="35" fillId="10" borderId="27" xfId="0" applyNumberFormat="1" applyFont="1" applyFill="1" applyBorder="1" applyAlignment="1">
      <alignment horizontal="right" vertical="center" wrapText="1"/>
    </xf>
    <xf numFmtId="170" fontId="30" fillId="57" borderId="17" xfId="0" applyNumberFormat="1" applyFont="1" applyFill="1" applyBorder="1" applyAlignment="1">
      <alignment horizontal="right" vertical="center"/>
    </xf>
    <xf numFmtId="0" fontId="161" fillId="58" borderId="0" xfId="0" applyFont="1" applyFill="1" applyAlignment="1">
      <alignment horizontal="left"/>
    </xf>
    <xf numFmtId="0" fontId="163" fillId="59" borderId="0" xfId="0" applyFont="1" applyFill="1" applyAlignment="1">
      <alignment horizontal="left"/>
    </xf>
    <xf numFmtId="0" fontId="0" fillId="57" borderId="0" xfId="0" applyFill="1"/>
    <xf numFmtId="0" fontId="161" fillId="58" borderId="48" xfId="0" applyFont="1" applyFill="1" applyBorder="1" applyAlignment="1">
      <alignment horizontal="left"/>
    </xf>
    <xf numFmtId="0" fontId="162" fillId="58" borderId="48" xfId="0" applyFont="1" applyFill="1" applyBorder="1" applyAlignment="1">
      <alignment horizontal="left"/>
    </xf>
    <xf numFmtId="0" fontId="163" fillId="59" borderId="48" xfId="0" applyFont="1" applyFill="1" applyBorder="1" applyAlignment="1">
      <alignment horizontal="left"/>
    </xf>
    <xf numFmtId="0" fontId="0" fillId="59" borderId="48" xfId="0" applyFill="1" applyBorder="1"/>
    <xf numFmtId="0" fontId="162" fillId="60" borderId="48" xfId="0" applyFont="1" applyFill="1" applyBorder="1" applyAlignment="1">
      <alignment horizontal="left"/>
    </xf>
    <xf numFmtId="0" fontId="0" fillId="60" borderId="48" xfId="0" applyFill="1" applyBorder="1"/>
    <xf numFmtId="0" fontId="166" fillId="61" borderId="48" xfId="0" applyFont="1" applyFill="1" applyBorder="1" applyAlignment="1">
      <alignment horizontal="left" vertical="center" wrapText="1"/>
    </xf>
    <xf numFmtId="0" fontId="166" fillId="57" borderId="48" xfId="0" applyFont="1" applyFill="1" applyBorder="1" applyAlignment="1">
      <alignment horizontal="left" vertical="center" wrapText="1"/>
    </xf>
    <xf numFmtId="0" fontId="0" fillId="60" borderId="48" xfId="0" applyFill="1" applyBorder="1" applyAlignment="1">
      <alignment vertical="center" wrapText="1"/>
    </xf>
    <xf numFmtId="0" fontId="0" fillId="57" borderId="48" xfId="0" applyFill="1" applyBorder="1" applyAlignment="1">
      <alignment vertical="center" wrapText="1"/>
    </xf>
    <xf numFmtId="0" fontId="166" fillId="62" borderId="48" xfId="0" applyFont="1" applyFill="1" applyBorder="1" applyAlignment="1">
      <alignment horizontal="left" vertical="center" wrapText="1"/>
    </xf>
    <xf numFmtId="0" fontId="165" fillId="61" borderId="48" xfId="0" applyFont="1" applyFill="1" applyBorder="1" applyAlignment="1">
      <alignment horizontal="left" vertical="center"/>
    </xf>
    <xf numFmtId="0" fontId="165" fillId="57" borderId="48" xfId="0" applyFont="1" applyFill="1" applyBorder="1" applyAlignment="1">
      <alignment horizontal="left" vertical="center"/>
    </xf>
    <xf numFmtId="0" fontId="162" fillId="60" borderId="48" xfId="0" applyFont="1" applyFill="1" applyBorder="1" applyAlignment="1">
      <alignment horizontal="left" vertical="center"/>
    </xf>
    <xf numFmtId="0" fontId="0" fillId="57" borderId="48" xfId="0" applyFill="1" applyBorder="1" applyAlignment="1">
      <alignment vertical="center"/>
    </xf>
    <xf numFmtId="0" fontId="165" fillId="62" borderId="48" xfId="0" applyFont="1" applyFill="1" applyBorder="1" applyAlignment="1">
      <alignment horizontal="left" vertical="center"/>
    </xf>
    <xf numFmtId="0" fontId="166" fillId="64" borderId="48" xfId="0" applyFont="1" applyFill="1" applyBorder="1" applyAlignment="1">
      <alignment horizontal="center" vertical="center"/>
    </xf>
    <xf numFmtId="0" fontId="166" fillId="64" borderId="48" xfId="0" applyFont="1" applyFill="1" applyBorder="1" applyAlignment="1">
      <alignment horizontal="left" vertical="center"/>
    </xf>
    <xf numFmtId="0" fontId="166" fillId="64" borderId="48" xfId="0" applyFont="1" applyFill="1" applyBorder="1" applyAlignment="1">
      <alignment horizontal="left" vertical="center" wrapText="1"/>
    </xf>
    <xf numFmtId="182" fontId="166" fillId="64" borderId="48" xfId="0" applyNumberFormat="1" applyFont="1" applyFill="1" applyBorder="1" applyAlignment="1">
      <alignment horizontal="center" vertical="center"/>
    </xf>
    <xf numFmtId="3" fontId="166" fillId="64" borderId="48" xfId="0" applyNumberFormat="1" applyFont="1" applyFill="1" applyBorder="1" applyAlignment="1">
      <alignment horizontal="right" vertical="center"/>
    </xf>
    <xf numFmtId="0" fontId="166" fillId="57" borderId="48" xfId="0" applyFont="1" applyFill="1" applyBorder="1" applyAlignment="1">
      <alignment horizontal="center" vertical="center"/>
    </xf>
    <xf numFmtId="0" fontId="166" fillId="57" borderId="48" xfId="0" applyFont="1" applyFill="1" applyBorder="1" applyAlignment="1">
      <alignment horizontal="left" vertical="center"/>
    </xf>
    <xf numFmtId="182" fontId="166" fillId="57" borderId="48" xfId="0" applyNumberFormat="1" applyFont="1" applyFill="1" applyBorder="1" applyAlignment="1">
      <alignment horizontal="center" vertical="center"/>
    </xf>
    <xf numFmtId="3" fontId="166" fillId="57" borderId="48" xfId="0" applyNumberFormat="1" applyFont="1" applyFill="1" applyBorder="1" applyAlignment="1">
      <alignment horizontal="right" vertical="center"/>
    </xf>
    <xf numFmtId="0" fontId="166" fillId="64" borderId="50" xfId="0" applyFont="1" applyFill="1" applyBorder="1" applyAlignment="1">
      <alignment horizontal="center" vertical="center"/>
    </xf>
    <xf numFmtId="0" fontId="166" fillId="64" borderId="50" xfId="0" applyFont="1" applyFill="1" applyBorder="1" applyAlignment="1">
      <alignment horizontal="left" vertical="center" wrapText="1"/>
    </xf>
    <xf numFmtId="182" fontId="166" fillId="64" borderId="50" xfId="0" applyNumberFormat="1" applyFont="1" applyFill="1" applyBorder="1" applyAlignment="1">
      <alignment horizontal="center" vertical="center"/>
    </xf>
    <xf numFmtId="3" fontId="166" fillId="64" borderId="50" xfId="0" applyNumberFormat="1" applyFont="1" applyFill="1" applyBorder="1" applyAlignment="1">
      <alignment horizontal="right" vertical="center"/>
    </xf>
    <xf numFmtId="0" fontId="167" fillId="63" borderId="51" xfId="0" applyFont="1" applyFill="1" applyBorder="1" applyAlignment="1">
      <alignment horizontal="center"/>
    </xf>
    <xf numFmtId="0" fontId="167" fillId="63" borderId="51" xfId="0" applyFont="1" applyFill="1" applyBorder="1" applyAlignment="1">
      <alignment horizontal="left"/>
    </xf>
    <xf numFmtId="0" fontId="162" fillId="67" borderId="0" xfId="0" applyFont="1" applyFill="1"/>
    <xf numFmtId="0" fontId="168" fillId="68" borderId="0" xfId="0" applyFont="1" applyFill="1" applyAlignment="1">
      <alignment wrapText="1"/>
    </xf>
    <xf numFmtId="0" fontId="169" fillId="62" borderId="0" xfId="0" applyFont="1" applyFill="1" applyAlignment="1">
      <alignment wrapText="1"/>
    </xf>
    <xf numFmtId="0" fontId="167" fillId="63" borderId="47" xfId="0" applyFont="1" applyFill="1" applyBorder="1"/>
    <xf numFmtId="0" fontId="167" fillId="63" borderId="46" xfId="0" applyFont="1" applyFill="1" applyBorder="1"/>
    <xf numFmtId="0" fontId="167" fillId="63" borderId="49" xfId="0" applyFont="1" applyFill="1" applyBorder="1"/>
    <xf numFmtId="0" fontId="171" fillId="69" borderId="47" xfId="0" applyFont="1" applyFill="1" applyBorder="1"/>
    <xf numFmtId="0" fontId="171" fillId="69" borderId="46" xfId="0" applyFont="1" applyFill="1" applyBorder="1"/>
    <xf numFmtId="0" fontId="171" fillId="69" borderId="49" xfId="0" applyFont="1" applyFill="1" applyBorder="1"/>
    <xf numFmtId="0" fontId="169" fillId="62" borderId="47" xfId="0" applyFont="1" applyFill="1" applyBorder="1"/>
    <xf numFmtId="0" fontId="169" fillId="62" borderId="46" xfId="0" applyFont="1" applyFill="1" applyBorder="1"/>
    <xf numFmtId="0" fontId="169" fillId="62" borderId="49" xfId="0" applyFont="1" applyFill="1" applyBorder="1"/>
    <xf numFmtId="0" fontId="170" fillId="65" borderId="47" xfId="0" applyFont="1" applyFill="1" applyBorder="1"/>
    <xf numFmtId="0" fontId="170" fillId="65" borderId="46" xfId="0" applyFont="1" applyFill="1" applyBorder="1"/>
    <xf numFmtId="0" fontId="170" fillId="65" borderId="49" xfId="0" applyFont="1" applyFill="1" applyBorder="1"/>
    <xf numFmtId="0" fontId="164" fillId="66" borderId="47" xfId="0" applyFont="1" applyFill="1" applyBorder="1"/>
    <xf numFmtId="0" fontId="164" fillId="66" borderId="46" xfId="0" applyFont="1" applyFill="1" applyBorder="1"/>
    <xf numFmtId="0" fontId="164" fillId="66" borderId="49" xfId="0" applyFont="1" applyFill="1" applyBorder="1"/>
    <xf numFmtId="0" fontId="165" fillId="64" borderId="50" xfId="0" applyFont="1" applyFill="1" applyBorder="1" applyAlignment="1">
      <alignment horizontal="left" vertical="center"/>
    </xf>
    <xf numFmtId="0" fontId="165" fillId="64" borderId="48" xfId="0" applyFont="1" applyFill="1" applyBorder="1" applyAlignment="1">
      <alignment horizontal="left" vertical="center"/>
    </xf>
    <xf numFmtId="0" fontId="167" fillId="63" borderId="51" xfId="0" applyFont="1" applyFill="1" applyBorder="1" applyAlignment="1">
      <alignment horizontal="right"/>
    </xf>
    <xf numFmtId="0" fontId="172" fillId="58" borderId="0" xfId="0" applyFont="1" applyFill="1" applyAlignment="1">
      <alignment horizontal="left" vertical="center" indent="1"/>
    </xf>
    <xf numFmtId="0" fontId="163" fillId="70" borderId="0" xfId="0" applyFont="1" applyFill="1" applyAlignment="1">
      <alignment horizontal="left" indent="1"/>
    </xf>
    <xf numFmtId="0" fontId="167" fillId="63" borderId="52" xfId="0" applyFont="1" applyFill="1" applyBorder="1" applyAlignment="1">
      <alignment indent="1"/>
    </xf>
    <xf numFmtId="0" fontId="167" fillId="63" borderId="54" xfId="0" applyFont="1" applyFill="1" applyBorder="1" applyAlignment="1">
      <alignment indent="1"/>
    </xf>
    <xf numFmtId="0" fontId="167" fillId="63" borderId="57" xfId="0" applyFont="1" applyFill="1" applyBorder="1" applyAlignment="1">
      <alignment indent="1"/>
    </xf>
    <xf numFmtId="0" fontId="167" fillId="63" borderId="56" xfId="0" applyFont="1" applyFill="1" applyBorder="1" applyAlignment="1">
      <alignment indent="1"/>
    </xf>
    <xf numFmtId="0" fontId="174" fillId="72" borderId="56" xfId="0" applyFont="1" applyFill="1" applyBorder="1" applyAlignment="1">
      <alignment vertical="top" wrapText="1"/>
    </xf>
    <xf numFmtId="0" fontId="175" fillId="72" borderId="56" xfId="0" applyFont="1" applyFill="1" applyBorder="1" applyAlignment="1">
      <alignment horizontal="left" vertical="top" wrapText="1"/>
    </xf>
    <xf numFmtId="0" fontId="176" fillId="72" borderId="56" xfId="0" applyFont="1" applyFill="1" applyBorder="1" applyAlignment="1">
      <alignment vertical="top" wrapText="1"/>
    </xf>
    <xf numFmtId="0" fontId="163" fillId="72" borderId="56" xfId="0" applyFont="1" applyFill="1" applyBorder="1" applyAlignment="1">
      <alignment vertical="top" wrapText="1"/>
    </xf>
    <xf numFmtId="0" fontId="177" fillId="75" borderId="56" xfId="0" applyFont="1" applyFill="1" applyBorder="1" applyAlignment="1">
      <alignment vertical="top" wrapText="1"/>
    </xf>
    <xf numFmtId="0" fontId="178" fillId="72" borderId="56" xfId="0" applyFont="1" applyFill="1" applyBorder="1" applyAlignment="1">
      <alignment vertical="top" wrapText="1"/>
    </xf>
    <xf numFmtId="0" fontId="179" fillId="72" borderId="56" xfId="0" applyFont="1" applyFill="1" applyBorder="1" applyAlignment="1">
      <alignment vertical="top" wrapText="1"/>
    </xf>
    <xf numFmtId="0" fontId="0" fillId="74" borderId="56" xfId="0" applyFill="1" applyBorder="1"/>
    <xf numFmtId="0" fontId="174" fillId="73" borderId="56" xfId="0" applyFont="1" applyFill="1" applyBorder="1" applyAlignment="1">
      <alignment vertical="top" wrapText="1"/>
    </xf>
    <xf numFmtId="0" fontId="175" fillId="73" borderId="56" xfId="0" applyFont="1" applyFill="1" applyBorder="1" applyAlignment="1">
      <alignment horizontal="left" vertical="top" wrapText="1"/>
    </xf>
    <xf numFmtId="0" fontId="176" fillId="73" borderId="56" xfId="0" applyFont="1" applyFill="1" applyBorder="1" applyAlignment="1">
      <alignment vertical="top" wrapText="1"/>
    </xf>
    <xf numFmtId="0" fontId="163" fillId="73" borderId="56" xfId="0" applyFont="1" applyFill="1" applyBorder="1" applyAlignment="1">
      <alignment vertical="top" wrapText="1"/>
    </xf>
    <xf numFmtId="0" fontId="178" fillId="73" borderId="56" xfId="0" applyFont="1" applyFill="1" applyBorder="1" applyAlignment="1">
      <alignment vertical="top" wrapText="1"/>
    </xf>
    <xf numFmtId="0" fontId="179" fillId="73" borderId="56" xfId="0" applyFont="1" applyFill="1" applyBorder="1" applyAlignment="1">
      <alignment vertical="top" wrapText="1"/>
    </xf>
    <xf numFmtId="0" fontId="167" fillId="63" borderId="59" xfId="0" applyFont="1" applyFill="1" applyBorder="1" applyAlignment="1">
      <alignment indent="1"/>
    </xf>
    <xf numFmtId="0" fontId="174" fillId="72" borderId="60" xfId="0" applyFont="1" applyFill="1" applyBorder="1" applyAlignment="1">
      <alignment vertical="top" wrapText="1"/>
    </xf>
    <xf numFmtId="0" fontId="175" fillId="72" borderId="60" xfId="0" applyFont="1" applyFill="1" applyBorder="1" applyAlignment="1">
      <alignment horizontal="left" vertical="top" wrapText="1"/>
    </xf>
    <xf numFmtId="0" fontId="176" fillId="72" borderId="60" xfId="0" applyFont="1" applyFill="1" applyBorder="1" applyAlignment="1">
      <alignment vertical="top" wrapText="1"/>
    </xf>
    <xf numFmtId="0" fontId="163" fillId="72" borderId="60" xfId="0" applyFont="1" applyFill="1" applyBorder="1" applyAlignment="1">
      <alignment vertical="top" wrapText="1"/>
    </xf>
    <xf numFmtId="0" fontId="177" fillId="75" borderId="60" xfId="0" applyFont="1" applyFill="1" applyBorder="1" applyAlignment="1">
      <alignment vertical="top" wrapText="1"/>
    </xf>
    <xf numFmtId="0" fontId="178" fillId="72" borderId="60" xfId="0" applyFont="1" applyFill="1" applyBorder="1" applyAlignment="1">
      <alignment vertical="top" wrapText="1"/>
    </xf>
    <xf numFmtId="0" fontId="179" fillId="72" borderId="60" xfId="0" applyFont="1" applyFill="1" applyBorder="1" applyAlignment="1">
      <alignment vertical="top" wrapText="1"/>
    </xf>
    <xf numFmtId="0" fontId="173" fillId="71" borderId="61" xfId="0" applyFont="1" applyFill="1" applyBorder="1" applyAlignment="1">
      <alignment indent="1"/>
    </xf>
    <xf numFmtId="0" fontId="174" fillId="77" borderId="56" xfId="0" applyFont="1" applyFill="1" applyBorder="1" applyAlignment="1">
      <alignment vertical="top" wrapText="1"/>
    </xf>
    <xf numFmtId="0" fontId="175" fillId="77" borderId="56" xfId="0" applyFont="1" applyFill="1" applyBorder="1" applyAlignment="1">
      <alignment vertical="top" wrapText="1"/>
    </xf>
    <xf numFmtId="0" fontId="180" fillId="77" borderId="56" xfId="0" applyFont="1" applyFill="1" applyBorder="1" applyAlignment="1">
      <alignment vertical="top" wrapText="1"/>
    </xf>
    <xf numFmtId="0" fontId="178" fillId="77" borderId="56" xfId="0" applyFont="1" applyFill="1" applyBorder="1" applyAlignment="1">
      <alignment vertical="top" wrapText="1"/>
    </xf>
    <xf numFmtId="0" fontId="179" fillId="77" borderId="56" xfId="0" applyFont="1" applyFill="1" applyBorder="1" applyAlignment="1">
      <alignment vertical="top" wrapText="1"/>
    </xf>
    <xf numFmtId="0" fontId="175" fillId="72" borderId="56" xfId="0" applyFont="1" applyFill="1" applyBorder="1" applyAlignment="1">
      <alignment vertical="top" wrapText="1"/>
    </xf>
    <xf numFmtId="0" fontId="180" fillId="72" borderId="56" xfId="0" applyFont="1" applyFill="1" applyBorder="1" applyAlignment="1">
      <alignment vertical="top" wrapText="1"/>
    </xf>
    <xf numFmtId="0" fontId="174" fillId="73" borderId="59" xfId="0" applyFont="1" applyFill="1" applyBorder="1" applyAlignment="1">
      <alignment vertical="top" wrapText="1"/>
    </xf>
    <xf numFmtId="0" fontId="175" fillId="73" borderId="59" xfId="0" applyFont="1" applyFill="1" applyBorder="1" applyAlignment="1">
      <alignment horizontal="left" vertical="top" wrapText="1"/>
    </xf>
    <xf numFmtId="0" fontId="176" fillId="73" borderId="59" xfId="0" applyFont="1" applyFill="1" applyBorder="1" applyAlignment="1">
      <alignment vertical="top" wrapText="1"/>
    </xf>
    <xf numFmtId="0" fontId="163" fillId="73" borderId="59" xfId="0" applyFont="1" applyFill="1" applyBorder="1" applyAlignment="1">
      <alignment vertical="top" wrapText="1"/>
    </xf>
    <xf numFmtId="0" fontId="177" fillId="75" borderId="59" xfId="0" applyFont="1" applyFill="1" applyBorder="1" applyAlignment="1">
      <alignment vertical="top" wrapText="1"/>
    </xf>
    <xf numFmtId="0" fontId="178" fillId="73" borderId="59" xfId="0" applyFont="1" applyFill="1" applyBorder="1" applyAlignment="1">
      <alignment vertical="top" wrapText="1"/>
    </xf>
    <xf numFmtId="0" fontId="179" fillId="73" borderId="59" xfId="0" applyFont="1" applyFill="1" applyBorder="1" applyAlignment="1">
      <alignment vertical="top" wrapText="1"/>
    </xf>
    <xf numFmtId="0" fontId="163" fillId="76" borderId="53" xfId="0" applyFont="1" applyFill="1" applyBorder="1" applyAlignment="1">
      <alignment vertical="center"/>
    </xf>
    <xf numFmtId="0" fontId="163" fillId="76" borderId="55" xfId="0" applyFont="1" applyFill="1" applyBorder="1" applyAlignment="1">
      <alignment vertical="center"/>
    </xf>
    <xf numFmtId="0" fontId="163" fillId="76" borderId="58" xfId="0" applyFont="1" applyFill="1" applyBorder="1" applyAlignment="1">
      <alignment vertical="center"/>
    </xf>
    <xf numFmtId="0" fontId="163" fillId="76" borderId="53" xfId="0" applyFont="1" applyFill="1" applyBorder="1" applyAlignment="1">
      <alignment vertical="center" wrapText="1" indent="1"/>
    </xf>
  </cellXfs>
  <cellStyles count="1">
    <cellStyle name="Normal" xfId="0" builtinId="0"/>
  </cellStyles>
  <dxfs count="7">
    <dxf>
      <font>
        <color rgb="FF1F3864"/>
      </font>
      <fill>
        <patternFill patternType="solid">
          <fgColor indexed="64"/>
          <bgColor rgb="FFDDEEFF"/>
        </patternFill>
      </fill>
    </dxf>
    <dxf>
      <font>
        <color rgb="FF375623"/>
      </font>
      <fill>
        <patternFill patternType="solid">
          <fgColor indexed="64"/>
          <bgColor rgb="FFE2EFDA"/>
        </patternFill>
      </fill>
    </dxf>
    <dxf>
      <font>
        <color rgb="FF7F6000"/>
      </font>
      <fill>
        <patternFill patternType="solid">
          <fgColor indexed="64"/>
          <bgColor rgb="FFFFFACD"/>
        </patternFill>
      </fill>
    </dxf>
    <dxf>
      <font>
        <b/>
        <i val="0"/>
        <color rgb="FFC55A11"/>
      </font>
      <fill>
        <patternFill patternType="solid">
          <fgColor indexed="64"/>
          <bgColor rgb="FFFCE4D6"/>
        </patternFill>
      </fill>
    </dxf>
    <dxf>
      <font>
        <b val="0"/>
        <i val="0"/>
        <color rgb="FF7F6000"/>
      </font>
      <fill>
        <patternFill patternType="solid">
          <fgColor indexed="64"/>
          <bgColor rgb="FFFFF2CC"/>
        </patternFill>
      </fill>
    </dxf>
    <dxf>
      <font>
        <b/>
        <i val="0"/>
        <color rgb="FFC55A11"/>
      </font>
      <fill>
        <patternFill patternType="solid">
          <fgColor indexed="64"/>
          <bgColor rgb="FFFFECD2"/>
        </patternFill>
      </fill>
    </dxf>
    <dxf>
      <font>
        <b/>
        <i val="0"/>
        <color rgb="FFC00000"/>
      </font>
      <fill>
        <patternFill patternType="solid">
          <fgColor indexed="64"/>
          <bgColor rgb="FFFFDED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20301"/>
      <rgbColor rgb="FFF3F2F2"/>
      <rgbColor rgb="FF0000FF"/>
      <rgbColor rgb="FFFFF8E6"/>
      <rgbColor rgb="FFFFF0F0"/>
      <rgbColor rgb="FFEBF5FB"/>
      <rgbColor rgb="FF710605"/>
      <rgbColor rgb="FF036106"/>
      <rgbColor rgb="FFFFFCEC"/>
      <rgbColor rgb="FFB66102"/>
      <rgbColor rgb="FFF1F5F9"/>
      <rgbColor rgb="FF2A75B8"/>
      <rgbColor rgb="FFE0E0E0"/>
      <rgbColor rgb="FF80807F"/>
      <rgbColor rgb="FFD6E4F3"/>
      <rgbColor rgb="FFF4ECF7"/>
      <rgbColor rgb="FFFFF3CD"/>
      <rgbColor rgb="FFE8F8F5"/>
      <rgbColor rgb="FFFEF5F5"/>
      <rgbColor rgb="FFE8E8E8"/>
      <rgbColor rgb="FF1F6391"/>
      <rgbColor rgb="FFD7D8DB"/>
      <rgbColor rgb="FFFFFDF0"/>
      <rgbColor rgb="FFF5F0FF"/>
      <rgbColor rgb="FFFFF9E7"/>
      <rgbColor rgb="FFEFF6FF"/>
      <rgbColor rgb="FFF2F5F9"/>
      <rgbColor rgb="FFFEF9F0"/>
      <rgbColor rgb="FF2B5E8A"/>
      <rgbColor rgb="FFFAFAFA"/>
      <rgbColor rgb="FFF0F7FF"/>
      <rgbColor rgb="FFDFEEFE"/>
      <rgbColor rgb="FFE2F0DB"/>
      <rgbColor rgb="FFFFF2CC"/>
      <rgbColor rgb="FF9BC0D1"/>
      <rgbColor rgb="FFD9E2F3"/>
      <rgbColor rgb="FFD9E1EC"/>
      <rgbColor rgb="FFFFE1E0"/>
      <rgbColor rgb="FF4672BE"/>
      <rgbColor rgb="FFEAF2FB"/>
      <rgbColor rgb="FFEBF0F8"/>
      <rgbColor rgb="FFFFE328"/>
      <rgbColor rgb="FFC9A645"/>
      <rgbColor rgb="FFED7D1C"/>
      <rgbColor rgb="FF5C585D"/>
      <rgbColor rgb="FFD6EAF8"/>
      <rgbColor rgb="FF182957"/>
      <rgbColor rgb="FF3382C1"/>
      <rgbColor rgb="FFF9F9F9"/>
      <rgbColor rgb="FF244D8E"/>
      <rgbColor rgb="FF804F00"/>
      <rgbColor rgb="FFFDEDEC"/>
      <rgbColor rgb="FF1F3864"/>
      <rgbColor rgb="FF3E40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3E6377-4345-4A26-B06A-4C329E76DA3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3e35c54-61ca-433e-a00a-337300b90e9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B1:F23"/>
  <sheetViews>
    <sheetView showGridLines="0" topLeftCell="A4" zoomScaleNormal="100" workbookViewId="0">
      <selection activeCell="K12" sqref="K12"/>
    </sheetView>
  </sheetViews>
  <sheetFormatPr defaultColWidth="8.6640625" defaultRowHeight="14.4" x14ac:dyDescent="0.3"/>
  <cols>
    <col min="1" max="1" width="3.33203125" customWidth="1"/>
    <col min="2" max="2" width="29.6640625" customWidth="1"/>
    <col min="3" max="3" width="31.44140625" customWidth="1"/>
    <col min="4" max="4" width="3.33203125" customWidth="1"/>
    <col min="5" max="5" width="28.6640625" customWidth="1"/>
    <col min="6" max="6" width="33.33203125" customWidth="1"/>
    <col min="7" max="7" width="3.33203125" customWidth="1"/>
  </cols>
  <sheetData>
    <row r="1" spans="2:6" ht="7.5" customHeight="1" x14ac:dyDescent="0.3"/>
    <row r="2" spans="2:6" ht="39.75" customHeight="1" x14ac:dyDescent="0.45">
      <c r="B2" s="12" t="s">
        <v>0</v>
      </c>
      <c r="C2" s="12"/>
      <c r="D2" s="12"/>
      <c r="E2" s="12"/>
      <c r="F2" s="12"/>
    </row>
    <row r="3" spans="2:6" ht="25.5" customHeight="1" x14ac:dyDescent="0.3">
      <c r="B3" s="11" t="s">
        <v>1168</v>
      </c>
      <c r="C3" s="11"/>
      <c r="D3" s="11"/>
      <c r="E3" s="11"/>
      <c r="F3" s="11"/>
    </row>
    <row r="4" spans="2:6" ht="21.75" customHeight="1" x14ac:dyDescent="0.3">
      <c r="B4" s="10" t="str">
        <f>"As of: "&amp;TEXT('Instructions &amp; Assumptions'!B5,"DD-MMM-YYYY")</f>
        <v>As of: 12-May-2026</v>
      </c>
      <c r="C4" s="10"/>
      <c r="D4" s="10"/>
      <c r="E4" s="10"/>
      <c r="F4" s="10"/>
    </row>
    <row r="5" spans="2:6" ht="9.75" customHeight="1" x14ac:dyDescent="0.3"/>
    <row r="6" spans="2:6" ht="21.75" customHeight="1" x14ac:dyDescent="0.3">
      <c r="B6" s="9" t="s">
        <v>1</v>
      </c>
      <c r="C6" s="9"/>
      <c r="D6" s="9"/>
      <c r="E6" s="9"/>
      <c r="F6" s="9"/>
    </row>
    <row r="7" spans="2:6" ht="33.75" customHeight="1" x14ac:dyDescent="0.3">
      <c r="B7" s="16" t="s">
        <v>2</v>
      </c>
      <c r="C7" s="17" t="s">
        <v>3</v>
      </c>
      <c r="E7" s="16" t="s">
        <v>4</v>
      </c>
      <c r="F7" s="18" t="s">
        <v>5</v>
      </c>
    </row>
    <row r="8" spans="2:6" ht="30" customHeight="1" x14ac:dyDescent="0.3">
      <c r="B8" s="19" t="s">
        <v>6</v>
      </c>
      <c r="C8" s="20" t="s">
        <v>7</v>
      </c>
      <c r="E8" s="19" t="s">
        <v>8</v>
      </c>
      <c r="F8" s="21" t="s">
        <v>9</v>
      </c>
    </row>
    <row r="9" spans="2:6" ht="33.75" customHeight="1" x14ac:dyDescent="0.3">
      <c r="B9" s="16" t="s">
        <v>10</v>
      </c>
      <c r="C9" s="17" t="s">
        <v>11</v>
      </c>
      <c r="E9" s="16" t="s">
        <v>12</v>
      </c>
      <c r="F9" s="18" t="s">
        <v>13</v>
      </c>
    </row>
    <row r="10" spans="2:6" ht="33.75" customHeight="1" x14ac:dyDescent="0.3">
      <c r="B10" s="19" t="s">
        <v>14</v>
      </c>
      <c r="C10" s="20" t="s">
        <v>15</v>
      </c>
      <c r="E10" s="19" t="s">
        <v>16</v>
      </c>
      <c r="F10" s="20" t="s">
        <v>17</v>
      </c>
    </row>
    <row r="11" spans="2:6" ht="9.75" customHeight="1" x14ac:dyDescent="0.3"/>
    <row r="12" spans="2:6" ht="21.75" customHeight="1" x14ac:dyDescent="0.3">
      <c r="B12" s="8" t="s">
        <v>18</v>
      </c>
      <c r="C12" s="8"/>
      <c r="D12" s="8"/>
      <c r="E12" s="8"/>
      <c r="F12" s="8"/>
    </row>
    <row r="13" spans="2:6" ht="18" customHeight="1" x14ac:dyDescent="0.3">
      <c r="B13" s="23" t="s">
        <v>19</v>
      </c>
      <c r="C13" s="23" t="s">
        <v>20</v>
      </c>
      <c r="D13" s="23"/>
      <c r="E13" s="23" t="s">
        <v>19</v>
      </c>
      <c r="F13" s="23" t="s">
        <v>20</v>
      </c>
    </row>
    <row r="14" spans="2:6" ht="21.75" customHeight="1" x14ac:dyDescent="0.3">
      <c r="B14" s="16" t="s">
        <v>21</v>
      </c>
      <c r="C14" s="24" t="s">
        <v>22</v>
      </c>
      <c r="E14" s="16" t="s">
        <v>23</v>
      </c>
      <c r="F14" s="25">
        <v>0.15060000000000001</v>
      </c>
    </row>
    <row r="15" spans="2:6" ht="21.75" customHeight="1" x14ac:dyDescent="0.3">
      <c r="B15" s="19" t="s">
        <v>24</v>
      </c>
      <c r="C15" s="26" t="s">
        <v>25</v>
      </c>
      <c r="E15" s="19" t="s">
        <v>26</v>
      </c>
      <c r="F15" s="26" t="s">
        <v>27</v>
      </c>
    </row>
    <row r="16" spans="2:6" ht="21.75" customHeight="1" x14ac:dyDescent="0.3">
      <c r="B16" s="16" t="s">
        <v>28</v>
      </c>
      <c r="C16" s="25">
        <v>0.127</v>
      </c>
      <c r="E16" s="16" t="s">
        <v>29</v>
      </c>
      <c r="F16" s="24" t="s">
        <v>30</v>
      </c>
    </row>
    <row r="17" spans="2:6" ht="21.75" customHeight="1" x14ac:dyDescent="0.3">
      <c r="B17" s="19" t="s">
        <v>31</v>
      </c>
      <c r="C17" s="26" t="s">
        <v>32</v>
      </c>
      <c r="E17" s="19" t="s">
        <v>33</v>
      </c>
      <c r="F17" s="26" t="s">
        <v>34</v>
      </c>
    </row>
    <row r="18" spans="2:6" ht="21.75" customHeight="1" x14ac:dyDescent="0.3">
      <c r="B18" s="16" t="s">
        <v>35</v>
      </c>
      <c r="C18" s="24" t="s">
        <v>36</v>
      </c>
      <c r="E18" s="16" t="s">
        <v>37</v>
      </c>
      <c r="F18" s="24" t="s">
        <v>38</v>
      </c>
    </row>
    <row r="19" spans="2:6" ht="21.75" customHeight="1" x14ac:dyDescent="0.3">
      <c r="B19" s="19" t="s">
        <v>39</v>
      </c>
      <c r="C19" s="26" t="s">
        <v>40</v>
      </c>
      <c r="E19" s="19" t="s">
        <v>41</v>
      </c>
      <c r="F19" s="26" t="s">
        <v>42</v>
      </c>
    </row>
    <row r="20" spans="2:6" ht="9.75" customHeight="1" x14ac:dyDescent="0.3"/>
    <row r="21" spans="2:6" ht="21.75" customHeight="1" x14ac:dyDescent="0.3">
      <c r="B21" s="9" t="s">
        <v>43</v>
      </c>
      <c r="C21" s="9"/>
      <c r="D21" s="9"/>
      <c r="E21" s="9"/>
      <c r="F21" s="9"/>
    </row>
    <row r="22" spans="2:6" ht="25.5" customHeight="1" x14ac:dyDescent="0.3">
      <c r="B22" s="7" t="s">
        <v>44</v>
      </c>
      <c r="C22" s="7"/>
      <c r="D22" s="7"/>
      <c r="E22" s="7"/>
      <c r="F22" s="7"/>
    </row>
    <row r="23" spans="2:6" ht="30" customHeight="1" x14ac:dyDescent="0.3">
      <c r="B23" s="6" t="s">
        <v>45</v>
      </c>
      <c r="C23" s="6"/>
      <c r="D23" s="6"/>
      <c r="E23" s="6"/>
      <c r="F23" s="6"/>
    </row>
  </sheetData>
  <mergeCells count="8">
    <mergeCell ref="B21:F21"/>
    <mergeCell ref="B22:F22"/>
    <mergeCell ref="B23:F23"/>
    <mergeCell ref="B2:F2"/>
    <mergeCell ref="B3:F3"/>
    <mergeCell ref="B4:F4"/>
    <mergeCell ref="B6:F6"/>
    <mergeCell ref="B12:F12"/>
  </mergeCells>
  <pageMargins left="0.75" right="0.75" top="1" bottom="1" header="0.511811023622047" footer="0.51180555555555596"/>
  <pageSetup paperSize="9" orientation="portrait" horizontalDpi="300" verticalDpi="300"/>
  <headerFooter>
    <oddFooter>&amp;LJFL Debt Model v11 — Cover&amp;RPage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Q190"/>
  <sheetViews>
    <sheetView showGridLines="0" zoomScale="98" zoomScaleNormal="98" workbookViewId="0">
      <pane ySplit="3" topLeftCell="A46" activePane="bottomLeft" state="frozen"/>
      <selection activeCell="E1" sqref="E1"/>
      <selection pane="bottomLeft" activeCell="C203" sqref="C203"/>
    </sheetView>
  </sheetViews>
  <sheetFormatPr defaultColWidth="8.6640625" defaultRowHeight="14.4" x14ac:dyDescent="0.3"/>
  <cols>
    <col min="1" max="1" width="1.44140625" customWidth="1"/>
    <col min="2" max="2" width="29.6640625" customWidth="1"/>
    <col min="3" max="3" width="46.33203125" customWidth="1"/>
    <col min="4" max="4" width="16.6640625" customWidth="1"/>
    <col min="5" max="5" width="13.88671875" customWidth="1"/>
    <col min="6" max="6" width="12" customWidth="1"/>
    <col min="7" max="7" width="10.21875" customWidth="1"/>
    <col min="8" max="8" width="24.109375" customWidth="1"/>
    <col min="9" max="9" width="1.88671875" customWidth="1"/>
    <col min="10" max="10" width="16.6640625" customWidth="1"/>
    <col min="11" max="11" width="55.5546875" customWidth="1"/>
    <col min="12" max="12" width="1.88671875" customWidth="1"/>
    <col min="13" max="14" width="17.5546875" customWidth="1"/>
    <col min="15" max="15" width="13" customWidth="1"/>
    <col min="16" max="16" width="1.88671875" customWidth="1"/>
    <col min="17" max="17" width="1.44140625" customWidth="1"/>
  </cols>
  <sheetData>
    <row r="1" spans="1:17" ht="36" customHeight="1" x14ac:dyDescent="0.3">
      <c r="A1" s="5" t="s">
        <v>46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29"/>
    </row>
    <row r="2" spans="1:17" ht="18" customHeight="1" x14ac:dyDescent="0.3">
      <c r="A2" s="4" t="s">
        <v>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0"/>
    </row>
    <row r="3" spans="1:17" ht="15.7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1"/>
    </row>
    <row r="4" spans="1:17" ht="6" customHeight="1" x14ac:dyDescent="0.3">
      <c r="A4" s="2" t="s">
        <v>48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32"/>
    </row>
    <row r="5" spans="1:17" ht="19.5" customHeight="1" x14ac:dyDescent="0.3">
      <c r="A5" s="33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34"/>
    </row>
    <row r="6" spans="1:17" ht="15.75" customHeight="1" x14ac:dyDescent="0.3">
      <c r="A6" s="35"/>
      <c r="B6" s="845" t="s">
        <v>49</v>
      </c>
      <c r="C6" s="845"/>
      <c r="D6" s="845"/>
      <c r="E6" s="846" t="s">
        <v>50</v>
      </c>
      <c r="F6" s="846"/>
      <c r="G6" s="846"/>
      <c r="H6" s="846" t="s">
        <v>51</v>
      </c>
      <c r="I6" s="846"/>
      <c r="J6" s="846"/>
      <c r="K6" s="846" t="s">
        <v>52</v>
      </c>
      <c r="L6" s="846"/>
      <c r="M6" s="846"/>
      <c r="N6" s="846" t="s">
        <v>53</v>
      </c>
      <c r="O6" s="846"/>
      <c r="P6" s="846"/>
      <c r="Q6" s="36"/>
    </row>
    <row r="7" spans="1:17" ht="30" customHeight="1" x14ac:dyDescent="0.3">
      <c r="A7" s="37"/>
      <c r="B7" s="847">
        <f>'Lender Summary'!B20</f>
        <v>4666</v>
      </c>
      <c r="C7" s="847"/>
      <c r="D7" s="847"/>
      <c r="E7" s="848">
        <f>'Lender Summary'!B21</f>
        <v>4116</v>
      </c>
      <c r="F7" s="848"/>
      <c r="G7" s="848"/>
      <c r="H7" s="848">
        <f>'Lender Summary'!B22</f>
        <v>550</v>
      </c>
      <c r="I7" s="848"/>
      <c r="J7" s="848"/>
      <c r="K7" s="848">
        <f>'Lender Summary'!B23</f>
        <v>2040</v>
      </c>
      <c r="L7" s="848"/>
      <c r="M7" s="848"/>
      <c r="N7" s="848">
        <f>AdjustedConsortiumDebt</f>
        <v>3826</v>
      </c>
      <c r="O7" s="848"/>
      <c r="P7" s="848"/>
      <c r="Q7" s="38"/>
    </row>
    <row r="8" spans="1:17" ht="15.75" customHeight="1" x14ac:dyDescent="0.3">
      <c r="A8" s="35"/>
      <c r="B8" s="845" t="s">
        <v>54</v>
      </c>
      <c r="C8" s="845"/>
      <c r="D8" s="845"/>
      <c r="E8" s="846" t="s">
        <v>55</v>
      </c>
      <c r="F8" s="846"/>
      <c r="G8" s="846"/>
      <c r="H8" s="846" t="s">
        <v>56</v>
      </c>
      <c r="I8" s="846"/>
      <c r="J8" s="846"/>
      <c r="K8" s="849" t="s">
        <v>57</v>
      </c>
      <c r="L8" s="849"/>
      <c r="M8" s="849"/>
      <c r="N8" s="846" t="s">
        <v>58</v>
      </c>
      <c r="O8" s="846"/>
      <c r="P8" s="846"/>
      <c r="Q8" s="36"/>
    </row>
    <row r="9" spans="1:17" ht="30" customHeight="1" x14ac:dyDescent="0.3">
      <c r="A9" s="37"/>
      <c r="B9" s="847">
        <f>'Lender Summary'!B24</f>
        <v>150</v>
      </c>
      <c r="C9" s="847"/>
      <c r="D9" s="847"/>
      <c r="E9" s="848">
        <f>'Lender Summary'!B25</f>
        <v>0</v>
      </c>
      <c r="F9" s="848"/>
      <c r="G9" s="848"/>
      <c r="H9" s="848">
        <f>'Lender Summary'!B26</f>
        <v>75</v>
      </c>
      <c r="I9" s="848"/>
      <c r="J9" s="848"/>
      <c r="K9" s="850">
        <f>'Interest Schedule'!C59</f>
        <v>9.1499271137026231E-2</v>
      </c>
      <c r="L9" s="850"/>
      <c r="M9" s="850"/>
      <c r="N9" s="851">
        <f>TotalIntComm</f>
        <v>393.161</v>
      </c>
      <c r="O9" s="851"/>
      <c r="P9" s="851"/>
      <c r="Q9" s="38"/>
    </row>
    <row r="10" spans="1:17" ht="15.75" customHeight="1" x14ac:dyDescent="0.3">
      <c r="A10" s="35"/>
      <c r="B10" s="852" t="s">
        <v>59</v>
      </c>
      <c r="C10" s="852"/>
      <c r="D10" s="852"/>
      <c r="E10" s="853" t="s">
        <v>60</v>
      </c>
      <c r="F10" s="853"/>
      <c r="G10" s="853"/>
      <c r="H10" s="849" t="s">
        <v>61</v>
      </c>
      <c r="I10" s="849"/>
      <c r="J10" s="849"/>
      <c r="K10" s="846" t="s">
        <v>62</v>
      </c>
      <c r="L10" s="846"/>
      <c r="M10" s="846"/>
      <c r="N10" s="846" t="s">
        <v>63</v>
      </c>
      <c r="O10" s="846"/>
      <c r="P10" s="846"/>
      <c r="Q10" s="36"/>
    </row>
    <row r="11" spans="1:17" ht="25.5" customHeight="1" x14ac:dyDescent="0.3">
      <c r="A11" s="39"/>
      <c r="B11" s="854">
        <f>COUNTA('Facility Master'!A5:A48)</f>
        <v>44</v>
      </c>
      <c r="C11" s="854"/>
      <c r="D11" s="854"/>
      <c r="E11" s="855" t="str">
        <f>COUNTIF('FY29 Covenant Compliance (TEV)'!G7:G52,"Compliant*")&amp;" / "&amp;'FY29 Covenant Compliance (TEV)'!B59&amp;" Compliant (FY29)"</f>
        <v>43 / 44 Compliant (FY29)</v>
      </c>
      <c r="F11" s="855"/>
      <c r="G11" s="855"/>
      <c r="H11" s="856">
        <f>AVERAGEIFS('Facility Master'!N5:N48,'Facility Master'!H5:H48,"&gt;0")</f>
        <v>1</v>
      </c>
      <c r="I11" s="856"/>
      <c r="J11" s="856"/>
      <c r="K11" s="857">
        <f>Total_TL_PrincOS</f>
        <v>3816</v>
      </c>
      <c r="L11" s="857"/>
      <c r="M11" s="857"/>
      <c r="N11" s="857">
        <f>ICICI_TL_Takeover</f>
        <v>840</v>
      </c>
      <c r="O11" s="857"/>
      <c r="P11" s="857"/>
      <c r="Q11" s="40"/>
    </row>
    <row r="12" spans="1:17" ht="13.5" customHeight="1" x14ac:dyDescent="0.3">
      <c r="A12" s="41"/>
      <c r="B12" s="858" t="s">
        <v>64</v>
      </c>
      <c r="C12" s="858"/>
      <c r="D12" s="858"/>
      <c r="E12" s="858"/>
      <c r="F12" s="858"/>
      <c r="G12" s="858"/>
      <c r="H12" s="858"/>
      <c r="I12" s="858"/>
      <c r="J12" s="858"/>
      <c r="K12" s="858"/>
      <c r="L12" s="858"/>
      <c r="M12" s="858"/>
      <c r="N12" s="858"/>
      <c r="O12" s="858"/>
      <c r="P12" s="858"/>
      <c r="Q12" s="42"/>
    </row>
    <row r="13" spans="1:17" ht="6" customHeight="1" x14ac:dyDescent="0.3">
      <c r="A13" s="43"/>
      <c r="B13" s="859"/>
      <c r="C13" s="859"/>
      <c r="D13" s="859"/>
      <c r="E13" s="859"/>
      <c r="F13" s="860"/>
      <c r="G13" s="860"/>
      <c r="H13" s="859"/>
      <c r="I13" s="859"/>
      <c r="J13" s="859"/>
      <c r="K13" s="859"/>
      <c r="L13" s="861"/>
      <c r="M13" s="861"/>
      <c r="N13" s="861"/>
      <c r="O13" s="861"/>
      <c r="P13" s="32"/>
      <c r="Q13" s="32"/>
    </row>
    <row r="14" spans="1:17" ht="19.5" customHeight="1" x14ac:dyDescent="0.3">
      <c r="A14" s="33"/>
      <c r="B14" s="862" t="s">
        <v>65</v>
      </c>
      <c r="C14" s="862"/>
      <c r="D14" s="862"/>
      <c r="E14" s="862"/>
      <c r="F14" s="862"/>
      <c r="G14" s="862"/>
      <c r="H14" s="862"/>
      <c r="I14" s="862"/>
      <c r="J14" s="862"/>
      <c r="K14" s="862"/>
      <c r="L14" s="862"/>
      <c r="M14" s="862"/>
      <c r="N14" s="862"/>
      <c r="O14" s="862"/>
      <c r="P14" s="862"/>
      <c r="Q14" s="44"/>
    </row>
    <row r="15" spans="1:17" ht="15.75" customHeight="1" x14ac:dyDescent="0.3">
      <c r="A15" s="45"/>
      <c r="B15" s="863" t="s">
        <v>66</v>
      </c>
      <c r="C15" s="863"/>
      <c r="D15" s="863"/>
      <c r="E15" s="863"/>
      <c r="F15" s="864" t="s">
        <v>67</v>
      </c>
      <c r="G15" s="864"/>
      <c r="H15" s="864"/>
      <c r="I15" s="864"/>
      <c r="J15" s="864" t="s">
        <v>68</v>
      </c>
      <c r="K15" s="864"/>
      <c r="L15" s="864"/>
      <c r="M15" s="865" t="s">
        <v>69</v>
      </c>
      <c r="N15" s="865"/>
      <c r="O15" s="865"/>
      <c r="P15" s="865"/>
      <c r="Q15" s="46"/>
    </row>
    <row r="16" spans="1:17" ht="30" customHeight="1" x14ac:dyDescent="0.45">
      <c r="A16" s="47"/>
      <c r="B16" s="866">
        <f>'FY29 Covenant Compliance (TEV)'!B59</f>
        <v>44</v>
      </c>
      <c r="C16" s="866"/>
      <c r="D16" s="866"/>
      <c r="E16" s="866"/>
      <c r="F16" s="867">
        <f>COUNTIF('FY29 Covenant Compliance (TEV)'!G7:G52,"Compliant*")</f>
        <v>43</v>
      </c>
      <c r="G16" s="867"/>
      <c r="H16" s="867"/>
      <c r="I16" s="867"/>
      <c r="J16" s="868">
        <f>COUNTIF('FY29 Covenant Compliance (TEV)'!G7:G52,"Near Breach")</f>
        <v>1</v>
      </c>
      <c r="K16" s="868"/>
      <c r="L16" s="868"/>
      <c r="M16" s="869">
        <f>COUNTIF('FY29 Covenant Compliance (TEV)'!G7:G52,"Breached")</f>
        <v>0</v>
      </c>
      <c r="N16" s="869"/>
      <c r="O16" s="869"/>
      <c r="P16" s="869"/>
      <c r="Q16" s="48"/>
    </row>
    <row r="17" spans="1:17" ht="13.5" customHeight="1" x14ac:dyDescent="0.3">
      <c r="A17" s="49"/>
      <c r="B17" s="870" t="s">
        <v>70</v>
      </c>
      <c r="C17" s="870"/>
      <c r="D17" s="870"/>
      <c r="E17" s="870"/>
      <c r="F17" s="870"/>
      <c r="G17" s="870"/>
      <c r="H17" s="870"/>
      <c r="I17" s="870"/>
      <c r="J17" s="870"/>
      <c r="K17" s="870"/>
      <c r="L17" s="870"/>
      <c r="M17" s="870"/>
      <c r="N17" s="870"/>
      <c r="O17" s="870"/>
      <c r="P17" s="870"/>
      <c r="Q17" s="50"/>
    </row>
    <row r="18" spans="1:17" ht="6" customHeight="1" x14ac:dyDescent="0.3">
      <c r="A18" s="43"/>
      <c r="B18" s="871" t="s">
        <v>71</v>
      </c>
      <c r="C18" s="871"/>
      <c r="D18" s="871"/>
      <c r="E18" s="871"/>
      <c r="F18" s="871"/>
      <c r="G18" s="871"/>
      <c r="H18" s="871"/>
      <c r="I18" s="871"/>
      <c r="J18" s="871"/>
      <c r="K18" s="871"/>
      <c r="L18" s="871"/>
      <c r="M18" s="871"/>
      <c r="N18" s="871"/>
      <c r="O18" s="871"/>
      <c r="P18" s="871"/>
      <c r="Q18" s="32"/>
    </row>
    <row r="19" spans="1:17" ht="19.5" customHeight="1" x14ac:dyDescent="0.3">
      <c r="A19" s="51"/>
      <c r="B19" s="52" t="s">
        <v>72</v>
      </c>
      <c r="C19" s="53"/>
      <c r="D19" s="53"/>
      <c r="E19" s="54" t="s">
        <v>73</v>
      </c>
      <c r="F19" s="55"/>
      <c r="G19" s="56" t="s">
        <v>74</v>
      </c>
      <c r="H19" s="872" t="s">
        <v>75</v>
      </c>
      <c r="I19" s="872"/>
      <c r="J19" s="872"/>
      <c r="K19" s="872"/>
      <c r="L19" s="872"/>
      <c r="M19" s="872"/>
      <c r="N19" s="53" t="s">
        <v>76</v>
      </c>
      <c r="O19" s="57"/>
      <c r="P19" s="58"/>
      <c r="Q19" s="59"/>
    </row>
    <row r="20" spans="1:17" ht="18" customHeight="1" x14ac:dyDescent="0.3">
      <c r="A20" s="60"/>
      <c r="B20" s="61" t="s">
        <v>77</v>
      </c>
      <c r="C20" s="62"/>
      <c r="D20" s="62"/>
      <c r="E20" s="63">
        <f>'Lender Summary'!D6</f>
        <v>1361</v>
      </c>
      <c r="F20" s="64"/>
      <c r="G20" s="65">
        <f>'Lender Summary'!E6</f>
        <v>0.29168452636090869</v>
      </c>
      <c r="H20" s="873" t="str">
        <f t="shared" ref="H20:H28" si="0">REPT("█",ROUND(G20*100,0))</f>
        <v>█████████████████████████████</v>
      </c>
      <c r="I20" s="873"/>
      <c r="J20" s="873"/>
      <c r="K20" s="873"/>
      <c r="L20" s="873"/>
      <c r="M20" s="873"/>
      <c r="N20" s="62">
        <f>'Lender Summary'!G6</f>
        <v>750</v>
      </c>
      <c r="O20" s="66"/>
      <c r="P20" s="60"/>
      <c r="Q20" s="67"/>
    </row>
    <row r="21" spans="1:17" ht="15.75" customHeight="1" x14ac:dyDescent="0.3">
      <c r="A21" s="68"/>
      <c r="B21" s="69" t="s">
        <v>78</v>
      </c>
      <c r="C21" s="70"/>
      <c r="D21" s="70"/>
      <c r="E21" s="71">
        <f>'Lender Summary'!D7</f>
        <v>235</v>
      </c>
      <c r="F21" s="72"/>
      <c r="G21" s="73">
        <f>'Lender Summary'!E7</f>
        <v>5.0364337762537507E-2</v>
      </c>
      <c r="H21" s="874" t="str">
        <f t="shared" si="0"/>
        <v>█████</v>
      </c>
      <c r="I21" s="874"/>
      <c r="J21" s="874"/>
      <c r="K21" s="874"/>
      <c r="L21" s="874"/>
      <c r="M21" s="874"/>
      <c r="N21" s="70">
        <f>'Lender Summary'!G7</f>
        <v>0</v>
      </c>
      <c r="O21" s="74"/>
      <c r="P21" s="68"/>
      <c r="Q21" s="75"/>
    </row>
    <row r="22" spans="1:17" ht="15.75" customHeight="1" x14ac:dyDescent="0.3">
      <c r="A22" s="76"/>
      <c r="B22" s="77" t="s">
        <v>79</v>
      </c>
      <c r="C22" s="78"/>
      <c r="D22" s="78"/>
      <c r="E22" s="79">
        <f>'Lender Summary'!D8</f>
        <v>200</v>
      </c>
      <c r="F22" s="80"/>
      <c r="G22" s="81">
        <f>'Lender Summary'!E8</f>
        <v>4.2863266180882986E-2</v>
      </c>
      <c r="H22" s="875" t="str">
        <f t="shared" si="0"/>
        <v>████</v>
      </c>
      <c r="I22" s="875"/>
      <c r="J22" s="875"/>
      <c r="K22" s="875"/>
      <c r="L22" s="875"/>
      <c r="M22" s="875"/>
      <c r="N22" s="78">
        <f>'Lender Summary'!G8</f>
        <v>200</v>
      </c>
      <c r="O22" s="82"/>
      <c r="P22" s="76"/>
      <c r="Q22" s="83"/>
    </row>
    <row r="23" spans="1:17" ht="15.75" customHeight="1" x14ac:dyDescent="0.3">
      <c r="A23" s="68"/>
      <c r="B23" s="69" t="s">
        <v>80</v>
      </c>
      <c r="C23" s="70"/>
      <c r="D23" s="70"/>
      <c r="E23" s="71">
        <f>'Lender Summary'!D9</f>
        <v>650</v>
      </c>
      <c r="F23" s="72"/>
      <c r="G23" s="73">
        <f>'Lender Summary'!E9</f>
        <v>0.13930561508786971</v>
      </c>
      <c r="H23" s="874" t="str">
        <f t="shared" si="0"/>
        <v>██████████████</v>
      </c>
      <c r="I23" s="874"/>
      <c r="J23" s="874"/>
      <c r="K23" s="874"/>
      <c r="L23" s="874"/>
      <c r="M23" s="874"/>
      <c r="N23" s="70">
        <f>'Lender Summary'!G9</f>
        <v>100</v>
      </c>
      <c r="O23" s="74"/>
      <c r="P23" s="68"/>
      <c r="Q23" s="75"/>
    </row>
    <row r="24" spans="1:17" ht="15.75" customHeight="1" x14ac:dyDescent="0.3">
      <c r="A24" s="76"/>
      <c r="B24" s="77" t="s">
        <v>81</v>
      </c>
      <c r="C24" s="78"/>
      <c r="D24" s="78"/>
      <c r="E24" s="79">
        <f>'Lender Summary'!D10</f>
        <v>530</v>
      </c>
      <c r="F24" s="80"/>
      <c r="G24" s="81">
        <f>'Lender Summary'!E10</f>
        <v>0.1135876553793399</v>
      </c>
      <c r="H24" s="875" t="str">
        <f t="shared" si="0"/>
        <v>███████████</v>
      </c>
      <c r="I24" s="875"/>
      <c r="J24" s="875"/>
      <c r="K24" s="875"/>
      <c r="L24" s="875"/>
      <c r="M24" s="875"/>
      <c r="N24" s="78">
        <f>'Lender Summary'!G10</f>
        <v>400</v>
      </c>
      <c r="O24" s="82"/>
      <c r="P24" s="76"/>
      <c r="Q24" s="83"/>
    </row>
    <row r="25" spans="1:17" ht="15.75" customHeight="1" x14ac:dyDescent="0.3">
      <c r="A25" s="68"/>
      <c r="B25" s="69" t="s">
        <v>82</v>
      </c>
      <c r="C25" s="70"/>
      <c r="D25" s="70"/>
      <c r="E25" s="71">
        <f>'Lender Summary'!D11</f>
        <v>400</v>
      </c>
      <c r="F25" s="72"/>
      <c r="G25" s="73">
        <f>'Lender Summary'!E11</f>
        <v>8.5726532361765972E-2</v>
      </c>
      <c r="H25" s="874" t="str">
        <f t="shared" si="0"/>
        <v>█████████</v>
      </c>
      <c r="I25" s="874"/>
      <c r="J25" s="874"/>
      <c r="K25" s="874"/>
      <c r="L25" s="874"/>
      <c r="M25" s="874"/>
      <c r="N25" s="70">
        <f>'Lender Summary'!G11</f>
        <v>300</v>
      </c>
      <c r="O25" s="74"/>
      <c r="P25" s="68"/>
      <c r="Q25" s="75"/>
    </row>
    <row r="26" spans="1:17" ht="15.75" customHeight="1" x14ac:dyDescent="0.3">
      <c r="A26" s="84"/>
      <c r="B26" s="85" t="s">
        <v>83</v>
      </c>
      <c r="C26" s="86"/>
      <c r="D26" s="86"/>
      <c r="E26" s="87">
        <f>'Lender Summary'!D12</f>
        <v>200</v>
      </c>
      <c r="F26" s="88"/>
      <c r="G26" s="89">
        <f>'Lender Summary'!E12</f>
        <v>4.2863266180882986E-2</v>
      </c>
      <c r="H26" s="876" t="str">
        <f t="shared" si="0"/>
        <v>████</v>
      </c>
      <c r="I26" s="876"/>
      <c r="J26" s="876"/>
      <c r="K26" s="876"/>
      <c r="L26" s="876"/>
      <c r="M26" s="876"/>
      <c r="N26" s="78">
        <f>'Lender Summary'!G12</f>
        <v>0</v>
      </c>
      <c r="O26" s="82"/>
      <c r="P26" s="76"/>
      <c r="Q26" s="83"/>
    </row>
    <row r="27" spans="1:17" ht="15.75" customHeight="1" x14ac:dyDescent="0.3">
      <c r="A27" s="90"/>
      <c r="B27" s="91" t="s">
        <v>84</v>
      </c>
      <c r="C27" s="92"/>
      <c r="D27" s="92"/>
      <c r="E27" s="93">
        <f>'Lender Summary'!D13</f>
        <v>250</v>
      </c>
      <c r="F27" s="94"/>
      <c r="G27" s="95">
        <f>'Lender Summary'!E13</f>
        <v>5.3579082726103726E-2</v>
      </c>
      <c r="H27" s="877" t="str">
        <f t="shared" si="0"/>
        <v>█████</v>
      </c>
      <c r="I27" s="877"/>
      <c r="J27" s="877"/>
      <c r="K27" s="877"/>
      <c r="L27" s="877"/>
      <c r="M27" s="877"/>
      <c r="N27" s="96">
        <f>'Lender Summary'!G13</f>
        <v>250</v>
      </c>
      <c r="O27" s="97"/>
      <c r="P27" s="90"/>
      <c r="Q27" s="98"/>
    </row>
    <row r="28" spans="1:17" ht="15.75" customHeight="1" x14ac:dyDescent="0.3">
      <c r="A28" s="99"/>
      <c r="B28" s="100" t="s">
        <v>85</v>
      </c>
      <c r="C28" s="99"/>
      <c r="D28" s="99"/>
      <c r="E28" s="101">
        <f>'Lender Summary'!D14</f>
        <v>840</v>
      </c>
      <c r="F28" s="102"/>
      <c r="G28" s="103">
        <f>'Lender Summary'!E14</f>
        <v>0.18002571795970854</v>
      </c>
      <c r="H28" s="878" t="str">
        <f t="shared" si="0"/>
        <v>██████████████████</v>
      </c>
      <c r="I28" s="878"/>
      <c r="J28" s="878"/>
      <c r="K28" s="878"/>
      <c r="L28" s="878"/>
      <c r="M28" s="878"/>
      <c r="N28" s="104">
        <f>'Lender Summary'!G14</f>
        <v>40</v>
      </c>
      <c r="O28" s="99"/>
      <c r="P28" s="99"/>
      <c r="Q28" s="105"/>
    </row>
    <row r="29" spans="1:17" ht="16.5" customHeight="1" x14ac:dyDescent="0.3">
      <c r="A29" s="106"/>
      <c r="B29" s="107" t="s">
        <v>86</v>
      </c>
      <c r="C29" s="108"/>
      <c r="D29" s="108"/>
      <c r="E29" s="109">
        <f>SUM(E20:E28)</f>
        <v>4666</v>
      </c>
      <c r="F29" s="110"/>
      <c r="G29" s="111">
        <f>SUM(G20:G28)</f>
        <v>1</v>
      </c>
      <c r="H29" s="108"/>
      <c r="I29" s="108"/>
      <c r="J29" s="108"/>
      <c r="K29" s="108"/>
      <c r="L29" s="108"/>
      <c r="M29" s="108"/>
      <c r="N29" s="938">
        <f>SUM(N20:N28)</f>
        <v>2040</v>
      </c>
      <c r="O29" s="108"/>
      <c r="P29" s="108"/>
      <c r="Q29" s="112"/>
    </row>
    <row r="30" spans="1:17" ht="6" customHeight="1" x14ac:dyDescent="0.3">
      <c r="A30" s="43"/>
      <c r="B30" s="879" t="s">
        <v>87</v>
      </c>
      <c r="C30" s="879"/>
      <c r="D30" s="879"/>
      <c r="E30" s="879"/>
      <c r="F30" s="879"/>
      <c r="G30" s="879"/>
      <c r="H30" s="879"/>
      <c r="I30" s="879"/>
      <c r="J30" s="879"/>
      <c r="K30" s="879"/>
      <c r="L30" s="879"/>
      <c r="M30" s="879"/>
      <c r="N30" s="879"/>
      <c r="O30" s="879"/>
      <c r="P30" s="879"/>
      <c r="Q30" s="32"/>
    </row>
    <row r="31" spans="1:17" ht="19.5" customHeight="1" x14ac:dyDescent="0.3">
      <c r="A31" s="51"/>
      <c r="B31" s="52" t="s">
        <v>88</v>
      </c>
      <c r="C31" s="113"/>
      <c r="D31" s="114" t="s">
        <v>89</v>
      </c>
      <c r="E31" s="54"/>
      <c r="F31" s="54"/>
      <c r="G31" s="880" t="s">
        <v>90</v>
      </c>
      <c r="H31" s="880"/>
      <c r="I31" s="880"/>
      <c r="J31" s="880"/>
      <c r="K31" s="880"/>
      <c r="L31" s="880"/>
      <c r="M31" s="880"/>
      <c r="N31" s="880"/>
      <c r="O31" s="880"/>
      <c r="P31" s="880"/>
      <c r="Q31" s="59"/>
    </row>
    <row r="32" spans="1:17" ht="18" customHeight="1" x14ac:dyDescent="0.3">
      <c r="A32" s="60"/>
      <c r="B32" s="61" t="s">
        <v>91</v>
      </c>
      <c r="C32" s="115"/>
      <c r="D32" s="939">
        <f>SUMIFS('Repayment Schedule'!AM5:AM68,'Repayment Schedule'!B5:B68,"&gt;="&amp;DATE(2023,4,1),'Repayment Schedule'!B5:B68,"&lt;="&amp;DATE(2024,3,31))</f>
        <v>0</v>
      </c>
      <c r="E32" s="63"/>
      <c r="F32" s="63"/>
      <c r="G32" s="881" t="str">
        <f t="shared" ref="G32:G47" si="1">IFERROR(REPT("█",ROUND(D32/40,0)),"")</f>
        <v/>
      </c>
      <c r="H32" s="881"/>
      <c r="I32" s="881"/>
      <c r="J32" s="881"/>
      <c r="K32" s="881"/>
      <c r="L32" s="881"/>
      <c r="M32" s="881"/>
      <c r="N32" s="881"/>
      <c r="O32" s="881"/>
      <c r="P32" s="881"/>
      <c r="Q32" s="67"/>
    </row>
    <row r="33" spans="1:17" ht="15" customHeight="1" x14ac:dyDescent="0.3">
      <c r="A33" s="68"/>
      <c r="B33" s="69" t="s">
        <v>92</v>
      </c>
      <c r="C33" s="116"/>
      <c r="D33" s="934">
        <f>SUMIFS('Repayment Schedule'!AM5:AM68,'Repayment Schedule'!B5:B68,"&gt;="&amp;DATE(2024,4,1),'Repayment Schedule'!B5:B68,"&lt;="&amp;DATE(2025,3,31))</f>
        <v>0</v>
      </c>
      <c r="E33" s="117"/>
      <c r="F33" s="118"/>
      <c r="G33" s="882" t="str">
        <f t="shared" si="1"/>
        <v/>
      </c>
      <c r="H33" s="882"/>
      <c r="I33" s="882"/>
      <c r="J33" s="882"/>
      <c r="K33" s="882"/>
      <c r="L33" s="882"/>
      <c r="M33" s="882"/>
      <c r="N33" s="882"/>
      <c r="O33" s="882"/>
      <c r="P33" s="882"/>
      <c r="Q33" s="75"/>
    </row>
    <row r="34" spans="1:17" ht="15" customHeight="1" x14ac:dyDescent="0.3">
      <c r="A34" s="76"/>
      <c r="B34" s="77" t="s">
        <v>93</v>
      </c>
      <c r="C34" s="119"/>
      <c r="D34" s="935">
        <f>SUMIFS('Repayment Schedule'!AM5:AM68,'Repayment Schedule'!B5:B68,"&gt;="&amp;DATE(2025,4,1),'Repayment Schedule'!B5:B68,"&lt;="&amp;DATE(2026,3,31))</f>
        <v>0</v>
      </c>
      <c r="E34" s="120"/>
      <c r="F34" s="121"/>
      <c r="G34" s="883" t="str">
        <f t="shared" si="1"/>
        <v/>
      </c>
      <c r="H34" s="883"/>
      <c r="I34" s="883"/>
      <c r="J34" s="883"/>
      <c r="K34" s="883"/>
      <c r="L34" s="883"/>
      <c r="M34" s="883"/>
      <c r="N34" s="883"/>
      <c r="O34" s="883"/>
      <c r="P34" s="883"/>
      <c r="Q34" s="83"/>
    </row>
    <row r="35" spans="1:17" ht="15" customHeight="1" x14ac:dyDescent="0.3">
      <c r="A35" s="68"/>
      <c r="B35" s="69" t="s">
        <v>94</v>
      </c>
      <c r="C35" s="116"/>
      <c r="D35" s="934">
        <f>SUMIFS('Repayment Schedule'!AM5:AM68,'Repayment Schedule'!B5:B68,"&gt;="&amp;DATE(2026,4,1),'Repayment Schedule'!B5:B68,"&lt;="&amp;DATE(2027,3,31))</f>
        <v>2.9375</v>
      </c>
      <c r="E35" s="117"/>
      <c r="F35" s="118"/>
      <c r="G35" s="882" t="str">
        <f t="shared" si="1"/>
        <v/>
      </c>
      <c r="H35" s="882"/>
      <c r="I35" s="882"/>
      <c r="J35" s="882"/>
      <c r="K35" s="882"/>
      <c r="L35" s="882"/>
      <c r="M35" s="882"/>
      <c r="N35" s="882"/>
      <c r="O35" s="882"/>
      <c r="P35" s="882"/>
      <c r="Q35" s="75"/>
    </row>
    <row r="36" spans="1:17" ht="15" customHeight="1" x14ac:dyDescent="0.3">
      <c r="A36" s="76"/>
      <c r="B36" s="77" t="s">
        <v>95</v>
      </c>
      <c r="C36" s="119"/>
      <c r="D36" s="935">
        <f>SUMIFS('Repayment Schedule'!AM5:AM68,'Repayment Schedule'!B5:B68,"&gt;="&amp;DATE(2027,4,1),'Repayment Schedule'!B5:B68,"&lt;="&amp;DATE(2028,3,31))</f>
        <v>180.8</v>
      </c>
      <c r="E36" s="120"/>
      <c r="F36" s="121"/>
      <c r="G36" s="883" t="str">
        <f t="shared" si="1"/>
        <v>█████</v>
      </c>
      <c r="H36" s="883"/>
      <c r="I36" s="883"/>
      <c r="J36" s="883"/>
      <c r="K36" s="883"/>
      <c r="L36" s="883"/>
      <c r="M36" s="883"/>
      <c r="N36" s="883"/>
      <c r="O36" s="883"/>
      <c r="P36" s="883"/>
      <c r="Q36" s="83"/>
    </row>
    <row r="37" spans="1:17" ht="15" customHeight="1" x14ac:dyDescent="0.3">
      <c r="A37" s="122"/>
      <c r="B37" s="123" t="s">
        <v>96</v>
      </c>
      <c r="C37" s="124"/>
      <c r="D37" s="936">
        <f>SUMIFS('Repayment Schedule'!AM5:AM68,'Repayment Schedule'!B5:B68,"&gt;="&amp;DATE(2028,4,1),'Repayment Schedule'!B5:B68,"&lt;="&amp;DATE(2029,3,31))</f>
        <v>183.15000000000003</v>
      </c>
      <c r="E37" s="125"/>
      <c r="F37" s="126"/>
      <c r="G37" s="884" t="str">
        <f t="shared" si="1"/>
        <v>█████</v>
      </c>
      <c r="H37" s="884"/>
      <c r="I37" s="884"/>
      <c r="J37" s="884"/>
      <c r="K37" s="884"/>
      <c r="L37" s="884"/>
      <c r="M37" s="884"/>
      <c r="N37" s="884"/>
      <c r="O37" s="884"/>
      <c r="P37" s="884"/>
      <c r="Q37" s="127"/>
    </row>
    <row r="38" spans="1:17" ht="15" customHeight="1" x14ac:dyDescent="0.3">
      <c r="A38" s="76"/>
      <c r="B38" s="77" t="s">
        <v>97</v>
      </c>
      <c r="C38" s="119"/>
      <c r="D38" s="935">
        <f>SUMIFS('Repayment Schedule'!AM5:AM68,'Repayment Schedule'!B5:B68,"&gt;="&amp;DATE(2029,4,1),'Repayment Schedule'!B5:B68,"&lt;="&amp;DATE(2030,3,31))</f>
        <v>325.43999999999994</v>
      </c>
      <c r="E38" s="120"/>
      <c r="F38" s="121"/>
      <c r="G38" s="883" t="str">
        <f t="shared" si="1"/>
        <v>████████</v>
      </c>
      <c r="H38" s="883"/>
      <c r="I38" s="883"/>
      <c r="J38" s="883"/>
      <c r="K38" s="883"/>
      <c r="L38" s="883"/>
      <c r="M38" s="883"/>
      <c r="N38" s="883"/>
      <c r="O38" s="883"/>
      <c r="P38" s="883"/>
      <c r="Q38" s="83"/>
    </row>
    <row r="39" spans="1:17" ht="15" customHeight="1" x14ac:dyDescent="0.3">
      <c r="A39" s="68"/>
      <c r="B39" s="69" t="s">
        <v>98</v>
      </c>
      <c r="C39" s="116"/>
      <c r="D39" s="934">
        <f>SUMIFS('Repayment Schedule'!AM5:AM68,'Repayment Schedule'!B5:B68,"&gt;="&amp;DATE(2030,4,1),'Repayment Schedule'!B5:B68,"&lt;="&amp;DATE(2031,3,31))</f>
        <v>325.43999999999994</v>
      </c>
      <c r="E39" s="117"/>
      <c r="F39" s="118"/>
      <c r="G39" s="882" t="str">
        <f t="shared" si="1"/>
        <v>████████</v>
      </c>
      <c r="H39" s="882"/>
      <c r="I39" s="882"/>
      <c r="J39" s="882"/>
      <c r="K39" s="882"/>
      <c r="L39" s="882"/>
      <c r="M39" s="882"/>
      <c r="N39" s="882"/>
      <c r="O39" s="882"/>
      <c r="P39" s="882"/>
      <c r="Q39" s="75"/>
    </row>
    <row r="40" spans="1:17" ht="15" customHeight="1" x14ac:dyDescent="0.3">
      <c r="A40" s="76"/>
      <c r="B40" s="77" t="s">
        <v>99</v>
      </c>
      <c r="C40" s="119"/>
      <c r="D40" s="935">
        <f>SUMIFS('Repayment Schedule'!AM5:AM68,'Repayment Schedule'!B5:B68,"&gt;="&amp;DATE(2031,4,1),'Repayment Schedule'!B5:B68,"&lt;="&amp;DATE(2032,3,31))</f>
        <v>325.43999999999994</v>
      </c>
      <c r="E40" s="120"/>
      <c r="F40" s="121"/>
      <c r="G40" s="883" t="str">
        <f t="shared" si="1"/>
        <v>████████</v>
      </c>
      <c r="H40" s="883"/>
      <c r="I40" s="883"/>
      <c r="J40" s="883"/>
      <c r="K40" s="883"/>
      <c r="L40" s="883"/>
      <c r="M40" s="883"/>
      <c r="N40" s="883"/>
      <c r="O40" s="883"/>
      <c r="P40" s="883"/>
      <c r="Q40" s="83"/>
    </row>
    <row r="41" spans="1:17" ht="15" customHeight="1" x14ac:dyDescent="0.3">
      <c r="A41" s="68"/>
      <c r="B41" s="69" t="s">
        <v>100</v>
      </c>
      <c r="C41" s="116"/>
      <c r="D41" s="934">
        <f>SUMIFS('Repayment Schedule'!AM5:AM68,'Repayment Schedule'!B5:B68,"&gt;="&amp;DATE(2032,4,1),'Repayment Schedule'!B5:B68,"&lt;="&amp;DATE(2033,3,31))</f>
        <v>325.43999999999994</v>
      </c>
      <c r="E41" s="117"/>
      <c r="F41" s="118"/>
      <c r="G41" s="882" t="str">
        <f t="shared" si="1"/>
        <v>████████</v>
      </c>
      <c r="H41" s="882"/>
      <c r="I41" s="882"/>
      <c r="J41" s="882"/>
      <c r="K41" s="882"/>
      <c r="L41" s="882"/>
      <c r="M41" s="882"/>
      <c r="N41" s="882"/>
      <c r="O41" s="882"/>
      <c r="P41" s="882"/>
      <c r="Q41" s="75"/>
    </row>
    <row r="42" spans="1:17" ht="15" customHeight="1" x14ac:dyDescent="0.3">
      <c r="A42" s="76"/>
      <c r="B42" s="77" t="s">
        <v>101</v>
      </c>
      <c r="C42" s="119"/>
      <c r="D42" s="935">
        <f>SUMIFS('Repayment Schedule'!AM5:AM68,'Repayment Schedule'!B5:B68,"&gt;="&amp;DATE(2033,4,1),'Repayment Schedule'!B5:B68,"&lt;="&amp;DATE(2034,3,31))</f>
        <v>325.43999999999994</v>
      </c>
      <c r="E42" s="120"/>
      <c r="F42" s="121"/>
      <c r="G42" s="883" t="str">
        <f t="shared" si="1"/>
        <v>████████</v>
      </c>
      <c r="H42" s="883"/>
      <c r="I42" s="883"/>
      <c r="J42" s="883"/>
      <c r="K42" s="883"/>
      <c r="L42" s="883"/>
      <c r="M42" s="883"/>
      <c r="N42" s="883"/>
      <c r="O42" s="883"/>
      <c r="P42" s="883"/>
      <c r="Q42" s="83"/>
    </row>
    <row r="43" spans="1:17" ht="15" customHeight="1" x14ac:dyDescent="0.3">
      <c r="A43" s="68"/>
      <c r="B43" s="69" t="s">
        <v>102</v>
      </c>
      <c r="C43" s="116"/>
      <c r="D43" s="934">
        <f>SUMIFS('Repayment Schedule'!AM5:AM68,'Repayment Schedule'!B5:B68,"&gt;="&amp;DATE(2034,4,1),'Repayment Schedule'!B5:B68,"&lt;="&amp;DATE(2035,3,31))</f>
        <v>325.43999999999994</v>
      </c>
      <c r="E43" s="117"/>
      <c r="F43" s="118"/>
      <c r="G43" s="882" t="str">
        <f t="shared" si="1"/>
        <v>████████</v>
      </c>
      <c r="H43" s="882"/>
      <c r="I43" s="882"/>
      <c r="J43" s="882"/>
      <c r="K43" s="882"/>
      <c r="L43" s="882"/>
      <c r="M43" s="882"/>
      <c r="N43" s="882"/>
      <c r="O43" s="882"/>
      <c r="P43" s="882"/>
      <c r="Q43" s="75"/>
    </row>
    <row r="44" spans="1:17" ht="15" customHeight="1" x14ac:dyDescent="0.3">
      <c r="A44" s="76"/>
      <c r="B44" s="77" t="s">
        <v>103</v>
      </c>
      <c r="C44" s="119"/>
      <c r="D44" s="935">
        <f>SUMIFS('Repayment Schedule'!AM5:AM68,'Repayment Schedule'!B5:B68,"&gt;="&amp;DATE(2035,4,1),'Repayment Schedule'!B5:B68,"&lt;="&amp;DATE(2036,3,31))</f>
        <v>325.43999999999994</v>
      </c>
      <c r="E44" s="120"/>
      <c r="F44" s="121"/>
      <c r="G44" s="883" t="str">
        <f t="shared" si="1"/>
        <v>████████</v>
      </c>
      <c r="H44" s="883"/>
      <c r="I44" s="883"/>
      <c r="J44" s="883"/>
      <c r="K44" s="883"/>
      <c r="L44" s="883"/>
      <c r="M44" s="883"/>
      <c r="N44" s="883"/>
      <c r="O44" s="883"/>
      <c r="P44" s="883"/>
      <c r="Q44" s="83"/>
    </row>
    <row r="45" spans="1:17" ht="15" customHeight="1" x14ac:dyDescent="0.3">
      <c r="A45" s="68"/>
      <c r="B45" s="69" t="s">
        <v>104</v>
      </c>
      <c r="C45" s="116"/>
      <c r="D45" s="934">
        <f>SUMIFS('Repayment Schedule'!AM5:AM68,'Repayment Schedule'!B5:B68,"&gt;="&amp;DATE(2036,4,1),'Repayment Schedule'!B5:B68,"&lt;="&amp;DATE(2037,3,31))</f>
        <v>325.43999999999994</v>
      </c>
      <c r="E45" s="117"/>
      <c r="F45" s="118"/>
      <c r="G45" s="882" t="str">
        <f t="shared" si="1"/>
        <v>████████</v>
      </c>
      <c r="H45" s="882"/>
      <c r="I45" s="882"/>
      <c r="J45" s="882"/>
      <c r="K45" s="882"/>
      <c r="L45" s="882"/>
      <c r="M45" s="882"/>
      <c r="N45" s="882"/>
      <c r="O45" s="882"/>
      <c r="P45" s="882"/>
      <c r="Q45" s="75"/>
    </row>
    <row r="46" spans="1:17" ht="15" customHeight="1" x14ac:dyDescent="0.3">
      <c r="A46" s="76"/>
      <c r="B46" s="77" t="s">
        <v>105</v>
      </c>
      <c r="C46" s="119"/>
      <c r="D46" s="935">
        <f>SUMIFS('Repayment Schedule'!AM5:AM68,'Repayment Schedule'!B5:B68,"&gt;="&amp;DATE(2037,4,1),'Repayment Schedule'!B5:B68,"&lt;="&amp;DATE(2038,3,31))</f>
        <v>325.43999999999994</v>
      </c>
      <c r="E46" s="120"/>
      <c r="F46" s="121"/>
      <c r="G46" s="885" t="str">
        <f t="shared" si="1"/>
        <v>████████</v>
      </c>
      <c r="H46" s="885"/>
      <c r="I46" s="885"/>
      <c r="J46" s="885"/>
      <c r="K46" s="885"/>
      <c r="L46" s="885"/>
      <c r="M46" s="885"/>
      <c r="N46" s="885"/>
      <c r="O46" s="885"/>
      <c r="P46" s="885"/>
      <c r="Q46" s="83"/>
    </row>
    <row r="47" spans="1:17" ht="15" customHeight="1" x14ac:dyDescent="0.3">
      <c r="A47" s="128"/>
      <c r="B47" s="129" t="s">
        <v>106</v>
      </c>
      <c r="C47" s="128"/>
      <c r="D47" s="937">
        <f>SUMIFS('Repayment Schedule'!AM5:AM68,'Repayment Schedule'!B5:B68,"&gt;="&amp;DATE(2038,4,1),'Repayment Schedule'!B5:B68,"&lt;="&amp;DATE(2039,3,31))</f>
        <v>320.15249999999992</v>
      </c>
      <c r="E47" s="128"/>
      <c r="F47" s="130"/>
      <c r="G47" s="886" t="str">
        <f t="shared" si="1"/>
        <v>████████</v>
      </c>
      <c r="H47" s="886"/>
      <c r="I47" s="886"/>
      <c r="J47" s="886"/>
      <c r="K47" s="886"/>
      <c r="L47" s="886"/>
      <c r="M47" s="886"/>
      <c r="N47" s="886"/>
      <c r="O47" s="886"/>
      <c r="P47" s="886"/>
      <c r="Q47" s="131"/>
    </row>
    <row r="48" spans="1:17" ht="15" customHeight="1" x14ac:dyDescent="0.3">
      <c r="A48" s="132"/>
      <c r="B48" s="133" t="s">
        <v>107</v>
      </c>
      <c r="C48" s="132"/>
      <c r="D48" s="134">
        <f>SUM(D32:D47)</f>
        <v>3616</v>
      </c>
      <c r="E48" s="132"/>
      <c r="F48" s="135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6"/>
    </row>
    <row r="49" spans="1:17" ht="21.75" customHeight="1" x14ac:dyDescent="0.3">
      <c r="A49" s="137"/>
      <c r="B49" s="887" t="s">
        <v>108</v>
      </c>
      <c r="C49" s="887"/>
      <c r="D49" s="887"/>
      <c r="E49" s="887"/>
      <c r="F49" s="887"/>
      <c r="G49" s="887"/>
      <c r="H49" s="887"/>
      <c r="I49" s="887"/>
      <c r="J49" s="887"/>
      <c r="K49" s="887"/>
      <c r="L49" s="887"/>
      <c r="M49" s="887"/>
      <c r="N49" s="887"/>
      <c r="O49" s="887"/>
      <c r="P49" s="887"/>
      <c r="Q49" s="138"/>
    </row>
    <row r="50" spans="1:17" ht="18" customHeight="1" x14ac:dyDescent="0.3">
      <c r="A50" s="139"/>
      <c r="B50" s="140" t="s">
        <v>109</v>
      </c>
      <c r="C50" s="140"/>
      <c r="D50" s="141"/>
      <c r="E50" s="142" t="s">
        <v>110</v>
      </c>
      <c r="F50" s="143"/>
      <c r="G50" s="144" t="s">
        <v>111</v>
      </c>
      <c r="H50" s="144"/>
      <c r="I50" s="144"/>
      <c r="J50" s="888" t="s">
        <v>112</v>
      </c>
      <c r="K50" s="888"/>
      <c r="L50" s="888"/>
      <c r="M50" s="888"/>
      <c r="N50" s="888"/>
      <c r="O50" s="888"/>
      <c r="P50" s="888"/>
      <c r="Q50" s="139"/>
    </row>
    <row r="51" spans="1:17" ht="19.5" customHeight="1" x14ac:dyDescent="0.3">
      <c r="A51" s="145"/>
      <c r="B51" s="146" t="s">
        <v>113</v>
      </c>
      <c r="C51" s="147"/>
      <c r="D51" s="148"/>
      <c r="E51" s="149">
        <f>COUNTIF('Facility Master'!D5:D48,"FB-Term")</f>
        <v>7</v>
      </c>
      <c r="F51" s="150"/>
      <c r="G51" s="151">
        <f>SUMIFS('Facility Master'!K5:K48,'Facility Master'!D5:D48,"FB-Term")</f>
        <v>3816</v>
      </c>
      <c r="H51" s="152"/>
      <c r="I51" s="152"/>
      <c r="J51" s="889" t="str">
        <f>IFERROR(REPT("█",ROUND(G51/150,0)),"")</f>
        <v>█████████████████████████</v>
      </c>
      <c r="K51" s="889"/>
      <c r="L51" s="889"/>
      <c r="M51" s="889"/>
      <c r="N51" s="889"/>
      <c r="O51" s="889"/>
      <c r="P51" s="889"/>
      <c r="Q51" s="153"/>
    </row>
    <row r="52" spans="1:17" ht="19.5" customHeight="1" x14ac:dyDescent="0.3">
      <c r="A52" s="154"/>
      <c r="B52" s="155" t="s">
        <v>114</v>
      </c>
      <c r="C52" s="156"/>
      <c r="D52" s="157"/>
      <c r="E52" s="158">
        <f>COUNTIF('Facility Master'!D5:D48,"FB")</f>
        <v>12</v>
      </c>
      <c r="F52" s="159"/>
      <c r="G52" s="160">
        <f>SUMIFS('Facility Master'!K5:K48,'Facility Master'!D5:D48,"FB")</f>
        <v>740.83199999999988</v>
      </c>
      <c r="H52" s="161"/>
      <c r="I52" s="161"/>
      <c r="J52" s="890" t="str">
        <f>IFERROR(REPT("█",ROUND(G52/150,0)),"")</f>
        <v>█████</v>
      </c>
      <c r="K52" s="890"/>
      <c r="L52" s="890"/>
      <c r="M52" s="890"/>
      <c r="N52" s="890"/>
      <c r="O52" s="890"/>
      <c r="P52" s="890"/>
      <c r="Q52" s="162"/>
    </row>
    <row r="53" spans="1:17" ht="19.5" customHeight="1" x14ac:dyDescent="0.3">
      <c r="A53" s="163"/>
      <c r="B53" s="164" t="s">
        <v>115</v>
      </c>
      <c r="C53" s="165"/>
      <c r="D53" s="166"/>
      <c r="E53" s="167">
        <f>COUNTIF('Facility Master'!D5:D48,"FB-FDbacked")</f>
        <v>2</v>
      </c>
      <c r="F53" s="168"/>
      <c r="G53" s="169">
        <f>SUMIFS('Facility Master'!K5:K48,'Facility Master'!D5:D48,"FB-FDbacked")</f>
        <v>150</v>
      </c>
      <c r="H53" s="170"/>
      <c r="I53" s="170"/>
      <c r="J53" s="891" t="str">
        <f>IFERROR(REPT("█",ROUND(G53/150,0)),"")</f>
        <v>█</v>
      </c>
      <c r="K53" s="891"/>
      <c r="L53" s="891"/>
      <c r="M53" s="891"/>
      <c r="N53" s="891"/>
      <c r="O53" s="891"/>
      <c r="P53" s="891"/>
      <c r="Q53" s="171"/>
    </row>
    <row r="54" spans="1:17" ht="19.5" customHeight="1" x14ac:dyDescent="0.3">
      <c r="A54" s="172"/>
      <c r="B54" s="173" t="s">
        <v>116</v>
      </c>
      <c r="C54" s="172"/>
      <c r="D54" s="174"/>
      <c r="E54" s="175">
        <f>COUNTIF('Facility Master'!D5:D48,"NFB")</f>
        <v>22</v>
      </c>
      <c r="F54" s="176"/>
      <c r="G54" s="177">
        <f>SUMIFS('Facility Master'!K5:K48,'Facility Master'!D5:D48,"NFB")</f>
        <v>3469.24</v>
      </c>
      <c r="H54" s="172"/>
      <c r="I54" s="172"/>
      <c r="J54" s="892" t="str">
        <f>IFERROR(REPT("█",ROUND(G54/150,0)),"")</f>
        <v>███████████████████████</v>
      </c>
      <c r="K54" s="892"/>
      <c r="L54" s="892"/>
      <c r="M54" s="892"/>
      <c r="N54" s="892"/>
      <c r="O54" s="892"/>
      <c r="P54" s="892"/>
      <c r="Q54" s="178"/>
    </row>
    <row r="55" spans="1:17" ht="19.5" customHeight="1" x14ac:dyDescent="0.3">
      <c r="A55" s="179"/>
      <c r="B55" s="180" t="s">
        <v>117</v>
      </c>
      <c r="C55" s="179"/>
      <c r="D55" s="181"/>
      <c r="E55" s="182">
        <f>COUNTIF('Facility Master'!D5:D48,"Hedge")</f>
        <v>1</v>
      </c>
      <c r="F55" s="183"/>
      <c r="G55" s="184">
        <f>SUMIFS('Facility Master'!K5:K48,'Facility Master'!D5:D48,"Hedge")</f>
        <v>75</v>
      </c>
      <c r="H55" s="179"/>
      <c r="I55" s="179"/>
      <c r="J55" s="893" t="str">
        <f>IFERROR(REPT("█",ROUND(G55/150,0)),"")</f>
        <v>█</v>
      </c>
      <c r="K55" s="893"/>
      <c r="L55" s="893"/>
      <c r="M55" s="893"/>
      <c r="N55" s="893"/>
      <c r="O55" s="893"/>
      <c r="P55" s="893"/>
      <c r="Q55" s="185"/>
    </row>
    <row r="56" spans="1:17" ht="6" customHeight="1" x14ac:dyDescent="0.3">
      <c r="A56" s="186"/>
      <c r="B56" s="186"/>
      <c r="C56" s="186"/>
      <c r="D56" s="186"/>
      <c r="E56" s="186"/>
      <c r="F56" s="186"/>
      <c r="G56" s="186"/>
      <c r="H56" s="186"/>
      <c r="I56" s="186"/>
      <c r="J56" s="186"/>
      <c r="K56" s="186"/>
      <c r="L56" s="186"/>
      <c r="M56" s="186"/>
      <c r="N56" s="186"/>
      <c r="O56" s="186"/>
      <c r="P56" s="186"/>
      <c r="Q56" s="186"/>
    </row>
    <row r="57" spans="1:17" ht="15" hidden="1" customHeight="1" x14ac:dyDescent="0.3"/>
    <row r="58" spans="1:17" ht="14.25" hidden="1" customHeight="1" x14ac:dyDescent="0.3"/>
    <row r="59" spans="1:17" ht="14.25" hidden="1" customHeight="1" x14ac:dyDescent="0.3"/>
    <row r="60" spans="1:17" ht="14.25" hidden="1" customHeight="1" x14ac:dyDescent="0.3"/>
    <row r="61" spans="1:17" ht="14.25" hidden="1" customHeight="1" x14ac:dyDescent="0.3"/>
    <row r="62" spans="1:17" ht="14.25" hidden="1" customHeight="1" x14ac:dyDescent="0.3"/>
    <row r="63" spans="1:17" ht="14.25" hidden="1" customHeight="1" x14ac:dyDescent="0.3"/>
    <row r="64" spans="1:17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</sheetData>
  <mergeCells count="86">
    <mergeCell ref="J55:P55"/>
    <mergeCell ref="J50:P50"/>
    <mergeCell ref="J51:P51"/>
    <mergeCell ref="J52:P52"/>
    <mergeCell ref="J53:P53"/>
    <mergeCell ref="J54:P54"/>
    <mergeCell ref="G44:P44"/>
    <mergeCell ref="G45:P45"/>
    <mergeCell ref="G46:P46"/>
    <mergeCell ref="G47:P47"/>
    <mergeCell ref="B49:P49"/>
    <mergeCell ref="G39:P39"/>
    <mergeCell ref="G40:P40"/>
    <mergeCell ref="G41:P41"/>
    <mergeCell ref="G42:P42"/>
    <mergeCell ref="G43:P43"/>
    <mergeCell ref="G34:P34"/>
    <mergeCell ref="G35:P35"/>
    <mergeCell ref="G36:P36"/>
    <mergeCell ref="G37:P37"/>
    <mergeCell ref="G38:P38"/>
    <mergeCell ref="H28:M28"/>
    <mergeCell ref="B30:P30"/>
    <mergeCell ref="G31:P31"/>
    <mergeCell ref="G32:P32"/>
    <mergeCell ref="G33:P33"/>
    <mergeCell ref="H23:M23"/>
    <mergeCell ref="H24:M24"/>
    <mergeCell ref="H25:M25"/>
    <mergeCell ref="H26:M26"/>
    <mergeCell ref="H27:M27"/>
    <mergeCell ref="B18:P18"/>
    <mergeCell ref="H19:M19"/>
    <mergeCell ref="H20:M20"/>
    <mergeCell ref="H21:M21"/>
    <mergeCell ref="H22:M22"/>
    <mergeCell ref="B16:E16"/>
    <mergeCell ref="F16:I16"/>
    <mergeCell ref="J16:L16"/>
    <mergeCell ref="M16:P16"/>
    <mergeCell ref="B17:P17"/>
    <mergeCell ref="B14:P14"/>
    <mergeCell ref="B15:E15"/>
    <mergeCell ref="F15:I15"/>
    <mergeCell ref="J15:L15"/>
    <mergeCell ref="M15:P15"/>
    <mergeCell ref="B12:P12"/>
    <mergeCell ref="B13:E13"/>
    <mergeCell ref="F13:G13"/>
    <mergeCell ref="H13:K13"/>
    <mergeCell ref="L13:O13"/>
    <mergeCell ref="B11:D11"/>
    <mergeCell ref="E11:G11"/>
    <mergeCell ref="H11:J11"/>
    <mergeCell ref="K11:M11"/>
    <mergeCell ref="N11:P11"/>
    <mergeCell ref="B10:D10"/>
    <mergeCell ref="E10:G10"/>
    <mergeCell ref="H10:J10"/>
    <mergeCell ref="K10:M10"/>
    <mergeCell ref="N10:P10"/>
    <mergeCell ref="B9:D9"/>
    <mergeCell ref="E9:G9"/>
    <mergeCell ref="H9:J9"/>
    <mergeCell ref="K9:M9"/>
    <mergeCell ref="N9:P9"/>
    <mergeCell ref="B8:D8"/>
    <mergeCell ref="E8:G8"/>
    <mergeCell ref="H8:J8"/>
    <mergeCell ref="K8:M8"/>
    <mergeCell ref="N8:P8"/>
    <mergeCell ref="B7:D7"/>
    <mergeCell ref="E7:G7"/>
    <mergeCell ref="H7:J7"/>
    <mergeCell ref="K7:M7"/>
    <mergeCell ref="N7:P7"/>
    <mergeCell ref="B6:D6"/>
    <mergeCell ref="E6:G6"/>
    <mergeCell ref="H6:J6"/>
    <mergeCell ref="K6:M6"/>
    <mergeCell ref="N6:P6"/>
    <mergeCell ref="A1:P1"/>
    <mergeCell ref="A2:P2"/>
    <mergeCell ref="A3:P3"/>
    <mergeCell ref="A4:P4"/>
    <mergeCell ref="B5:P5"/>
  </mergeCells>
  <printOptions horizontalCentered="1"/>
  <pageMargins left="0.75" right="0.75" top="1" bottom="1" header="0.511811023622047" footer="0.51180555555555596"/>
  <pageSetup paperSize="9" fitToHeight="0" orientation="landscape" horizontalDpi="300" verticalDpi="300"/>
  <headerFooter>
    <oddFooter>&amp;C&amp;8 JFL Debt Model v11 | CONFIDENTIAL | Dashboard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L74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23" sqref="A23"/>
      <selection pane="bottomRight" activeCell="G37" sqref="G37"/>
    </sheetView>
  </sheetViews>
  <sheetFormatPr defaultColWidth="8.6640625" defaultRowHeight="14.4" x14ac:dyDescent="0.3"/>
  <cols>
    <col min="1" max="1" width="5.21875" customWidth="1"/>
    <col min="2" max="2" width="20.33203125" customWidth="1"/>
    <col min="3" max="3" width="29.6640625" customWidth="1"/>
    <col min="4" max="4" width="5.5546875" customWidth="1"/>
    <col min="5" max="5" width="13" customWidth="1"/>
    <col min="6" max="6" width="14.77734375" customWidth="1"/>
    <col min="7" max="7" width="16.6640625" customWidth="1"/>
    <col min="8" max="8" width="13.33203125" customWidth="1"/>
    <col min="9" max="11" width="0.77734375" hidden="1" customWidth="1"/>
    <col min="12" max="12" width="45.5546875" customWidth="1"/>
  </cols>
  <sheetData>
    <row r="1" spans="1:12" ht="30" customHeight="1" x14ac:dyDescent="0.3">
      <c r="A1" s="894" t="s">
        <v>118</v>
      </c>
      <c r="B1" s="894"/>
      <c r="C1" s="894"/>
      <c r="D1" s="894"/>
      <c r="E1" s="894"/>
      <c r="F1" s="894"/>
      <c r="G1" s="894"/>
      <c r="H1" s="894"/>
      <c r="I1" s="894"/>
      <c r="J1" s="894"/>
      <c r="K1" s="894"/>
      <c r="L1" s="894"/>
    </row>
    <row r="2" spans="1:12" ht="15.75" customHeight="1" x14ac:dyDescent="0.3">
      <c r="A2" s="895" t="s">
        <v>119</v>
      </c>
      <c r="B2" s="895"/>
      <c r="C2" s="895"/>
      <c r="D2" s="895"/>
      <c r="E2" s="895"/>
      <c r="F2" s="895"/>
      <c r="G2" s="895"/>
      <c r="H2" s="895"/>
      <c r="I2" s="895"/>
      <c r="J2" s="895"/>
      <c r="K2" s="895"/>
      <c r="L2" s="895"/>
    </row>
    <row r="3" spans="1:12" ht="21.75" customHeight="1" x14ac:dyDescent="0.3">
      <c r="A3" s="896" t="s">
        <v>120</v>
      </c>
      <c r="B3" s="896"/>
      <c r="C3" s="896"/>
      <c r="D3" s="896"/>
      <c r="E3" s="896"/>
      <c r="F3" s="896"/>
      <c r="G3" s="896"/>
      <c r="H3" s="896"/>
      <c r="I3" s="896"/>
      <c r="J3" s="896"/>
      <c r="K3" s="896"/>
      <c r="L3" s="896"/>
    </row>
    <row r="4" spans="1:12" ht="3.75" hidden="1" customHeight="1" x14ac:dyDescent="0.3"/>
    <row r="5" spans="1:12" ht="15" hidden="1" customHeight="1" x14ac:dyDescent="0.3">
      <c r="A5" s="189"/>
      <c r="B5" s="189"/>
      <c r="C5" s="189"/>
      <c r="D5" s="189"/>
      <c r="E5" s="189"/>
      <c r="F5" s="189"/>
      <c r="G5" s="189"/>
      <c r="H5" s="189"/>
      <c r="I5" s="189"/>
      <c r="J5" s="189"/>
      <c r="K5" s="189"/>
      <c r="L5" s="189"/>
    </row>
    <row r="6" spans="1:12" ht="21.75" customHeight="1" x14ac:dyDescent="0.3">
      <c r="A6" s="190" t="s">
        <v>121</v>
      </c>
      <c r="B6" s="190" t="s">
        <v>72</v>
      </c>
      <c r="C6" s="190" t="s">
        <v>122</v>
      </c>
      <c r="D6" s="190" t="s">
        <v>123</v>
      </c>
      <c r="E6" s="190" t="s">
        <v>124</v>
      </c>
      <c r="F6" s="190" t="s">
        <v>125</v>
      </c>
      <c r="G6" s="190" t="s">
        <v>126</v>
      </c>
      <c r="H6" s="190" t="s">
        <v>127</v>
      </c>
      <c r="I6" s="191"/>
      <c r="J6" s="191"/>
      <c r="K6" s="191"/>
      <c r="L6" s="190" t="s">
        <v>128</v>
      </c>
    </row>
    <row r="7" spans="1:12" ht="18" customHeight="1" x14ac:dyDescent="0.3">
      <c r="A7" s="192">
        <v>4</v>
      </c>
      <c r="B7" s="193" t="s">
        <v>129</v>
      </c>
      <c r="C7" s="192" t="s">
        <v>130</v>
      </c>
      <c r="D7" s="192" t="s">
        <v>131</v>
      </c>
      <c r="E7" s="194">
        <v>1.25</v>
      </c>
      <c r="F7" s="194">
        <v>1.80088294651867</v>
      </c>
      <c r="G7" s="195" t="s">
        <v>132</v>
      </c>
      <c r="H7" s="192" t="s">
        <v>133</v>
      </c>
      <c r="I7" s="194"/>
      <c r="J7" s="192"/>
      <c r="K7" s="192"/>
      <c r="L7" s="196" t="s">
        <v>134</v>
      </c>
    </row>
    <row r="8" spans="1:12" ht="18" customHeight="1" x14ac:dyDescent="0.3">
      <c r="A8" s="197">
        <v>5</v>
      </c>
      <c r="B8" s="198"/>
      <c r="C8" s="197" t="s">
        <v>135</v>
      </c>
      <c r="D8" s="197" t="s">
        <v>131</v>
      </c>
      <c r="E8" s="199">
        <v>1.2</v>
      </c>
      <c r="F8" s="199">
        <v>1.5100186344507001</v>
      </c>
      <c r="G8" s="195" t="s">
        <v>132</v>
      </c>
      <c r="H8" s="197" t="s">
        <v>136</v>
      </c>
      <c r="I8" s="199"/>
      <c r="J8" s="197"/>
      <c r="K8" s="197"/>
      <c r="L8" s="200" t="s">
        <v>134</v>
      </c>
    </row>
    <row r="9" spans="1:12" ht="18" customHeight="1" x14ac:dyDescent="0.3">
      <c r="A9" s="192">
        <v>6</v>
      </c>
      <c r="B9" s="201"/>
      <c r="C9" s="192" t="s">
        <v>137</v>
      </c>
      <c r="D9" s="192" t="s">
        <v>131</v>
      </c>
      <c r="E9" s="194">
        <v>2</v>
      </c>
      <c r="F9" s="194">
        <v>3.6548827975872298</v>
      </c>
      <c r="G9" s="195" t="s">
        <v>132</v>
      </c>
      <c r="H9" s="192" t="s">
        <v>138</v>
      </c>
      <c r="I9" s="194"/>
      <c r="J9" s="192"/>
      <c r="K9" s="192"/>
      <c r="L9" s="196" t="s">
        <v>134</v>
      </c>
    </row>
    <row r="10" spans="1:12" ht="18" customHeight="1" x14ac:dyDescent="0.3">
      <c r="A10" s="197">
        <v>7</v>
      </c>
      <c r="B10" s="198"/>
      <c r="C10" s="197" t="s">
        <v>139</v>
      </c>
      <c r="D10" s="197" t="s">
        <v>140</v>
      </c>
      <c r="E10" s="199">
        <v>4</v>
      </c>
      <c r="F10" s="199">
        <v>2.4944117155511001</v>
      </c>
      <c r="G10" s="195" t="s">
        <v>132</v>
      </c>
      <c r="H10" s="197" t="s">
        <v>141</v>
      </c>
      <c r="I10" s="197"/>
      <c r="J10" s="197"/>
      <c r="K10" s="197"/>
      <c r="L10" s="200" t="s">
        <v>134</v>
      </c>
    </row>
    <row r="11" spans="1:12" ht="18" customHeight="1" x14ac:dyDescent="0.3">
      <c r="A11" s="192">
        <v>8</v>
      </c>
      <c r="B11" s="201"/>
      <c r="C11" s="192" t="s">
        <v>142</v>
      </c>
      <c r="D11" s="192" t="s">
        <v>140</v>
      </c>
      <c r="E11" s="194">
        <v>2</v>
      </c>
      <c r="F11" s="194">
        <v>1.0922542136437401</v>
      </c>
      <c r="G11" s="195" t="s">
        <v>132</v>
      </c>
      <c r="H11" s="192" t="s">
        <v>143</v>
      </c>
      <c r="I11" s="194"/>
      <c r="J11" s="192"/>
      <c r="K11" s="192"/>
      <c r="L11" s="196" t="s">
        <v>134</v>
      </c>
    </row>
    <row r="12" spans="1:12" ht="18" customHeight="1" x14ac:dyDescent="0.3">
      <c r="A12" s="202">
        <v>9</v>
      </c>
      <c r="B12" s="203" t="s">
        <v>78</v>
      </c>
      <c r="C12" s="202" t="s">
        <v>144</v>
      </c>
      <c r="D12" s="202" t="s">
        <v>131</v>
      </c>
      <c r="E12" s="204">
        <v>1.25</v>
      </c>
      <c r="F12" s="204">
        <v>1.80088294651867</v>
      </c>
      <c r="G12" s="195" t="s">
        <v>132</v>
      </c>
      <c r="H12" s="202" t="s">
        <v>133</v>
      </c>
      <c r="I12" s="199"/>
      <c r="J12" s="197"/>
      <c r="K12" s="197"/>
      <c r="L12" s="205" t="s">
        <v>134</v>
      </c>
    </row>
    <row r="13" spans="1:12" ht="18" customHeight="1" x14ac:dyDescent="0.3">
      <c r="A13" s="202">
        <v>10</v>
      </c>
      <c r="B13" s="203" t="s">
        <v>80</v>
      </c>
      <c r="C13" s="202" t="s">
        <v>130</v>
      </c>
      <c r="D13" s="202" t="s">
        <v>131</v>
      </c>
      <c r="E13" s="204">
        <v>1.25</v>
      </c>
      <c r="F13" s="204">
        <v>1.80088294651867</v>
      </c>
      <c r="G13" s="195" t="s">
        <v>132</v>
      </c>
      <c r="H13" s="202" t="s">
        <v>133</v>
      </c>
      <c r="I13" s="194"/>
      <c r="J13" s="192"/>
      <c r="K13" s="192"/>
      <c r="L13" s="205" t="s">
        <v>134</v>
      </c>
    </row>
    <row r="14" spans="1:12" ht="18" customHeight="1" x14ac:dyDescent="0.3">
      <c r="A14" s="197">
        <v>11</v>
      </c>
      <c r="B14" s="198"/>
      <c r="C14" s="197" t="s">
        <v>135</v>
      </c>
      <c r="D14" s="197" t="s">
        <v>131</v>
      </c>
      <c r="E14" s="199">
        <v>1.2</v>
      </c>
      <c r="F14" s="199">
        <v>1.5100186344507001</v>
      </c>
      <c r="G14" s="195" t="s">
        <v>132</v>
      </c>
      <c r="H14" s="197" t="s">
        <v>136</v>
      </c>
      <c r="I14" s="199"/>
      <c r="J14" s="197"/>
      <c r="K14" s="197"/>
      <c r="L14" s="200" t="s">
        <v>134</v>
      </c>
    </row>
    <row r="15" spans="1:12" ht="18" customHeight="1" x14ac:dyDescent="0.3">
      <c r="A15" s="192">
        <v>12</v>
      </c>
      <c r="B15" s="201"/>
      <c r="C15" s="192" t="s">
        <v>137</v>
      </c>
      <c r="D15" s="192" t="s">
        <v>131</v>
      </c>
      <c r="E15" s="194">
        <v>2</v>
      </c>
      <c r="F15" s="194">
        <v>3.6548827975872298</v>
      </c>
      <c r="G15" s="195" t="s">
        <v>132</v>
      </c>
      <c r="H15" s="192" t="s">
        <v>138</v>
      </c>
      <c r="I15" s="194"/>
      <c r="J15" s="192"/>
      <c r="K15" s="192"/>
      <c r="L15" s="196" t="s">
        <v>134</v>
      </c>
    </row>
    <row r="16" spans="1:12" ht="18" customHeight="1" x14ac:dyDescent="0.3">
      <c r="A16" s="197">
        <v>13</v>
      </c>
      <c r="B16" s="198"/>
      <c r="C16" s="197" t="s">
        <v>139</v>
      </c>
      <c r="D16" s="197" t="s">
        <v>140</v>
      </c>
      <c r="E16" s="199">
        <v>4</v>
      </c>
      <c r="F16" s="199">
        <v>2.4944117155511001</v>
      </c>
      <c r="G16" s="195" t="s">
        <v>132</v>
      </c>
      <c r="H16" s="197" t="s">
        <v>141</v>
      </c>
      <c r="I16" s="197"/>
      <c r="J16" s="197"/>
      <c r="K16" s="197"/>
      <c r="L16" s="200" t="s">
        <v>134</v>
      </c>
    </row>
    <row r="17" spans="1:12" ht="18" customHeight="1" x14ac:dyDescent="0.3">
      <c r="A17" s="192">
        <v>14</v>
      </c>
      <c r="B17" s="201"/>
      <c r="C17" s="192" t="s">
        <v>142</v>
      </c>
      <c r="D17" s="192" t="s">
        <v>140</v>
      </c>
      <c r="E17" s="194">
        <v>2</v>
      </c>
      <c r="F17" s="194">
        <v>1.0922542136437401</v>
      </c>
      <c r="G17" s="195" t="s">
        <v>132</v>
      </c>
      <c r="H17" s="192" t="s">
        <v>143</v>
      </c>
      <c r="I17" s="194"/>
      <c r="J17" s="192"/>
      <c r="K17" s="192"/>
      <c r="L17" s="196" t="s">
        <v>134</v>
      </c>
    </row>
    <row r="18" spans="1:12" ht="18" customHeight="1" x14ac:dyDescent="0.3">
      <c r="A18" s="197">
        <v>15</v>
      </c>
      <c r="B18" s="198"/>
      <c r="C18" s="197" t="s">
        <v>145</v>
      </c>
      <c r="D18" s="197" t="s">
        <v>131</v>
      </c>
      <c r="E18" s="199">
        <v>1.5</v>
      </c>
      <c r="F18" s="199">
        <v>1.80088294651867</v>
      </c>
      <c r="G18" s="195" t="s">
        <v>132</v>
      </c>
      <c r="H18" s="197" t="s">
        <v>146</v>
      </c>
      <c r="I18" s="199"/>
      <c r="J18" s="197"/>
      <c r="K18" s="197"/>
      <c r="L18" s="200" t="s">
        <v>134</v>
      </c>
    </row>
    <row r="19" spans="1:12" ht="18" customHeight="1" x14ac:dyDescent="0.3">
      <c r="A19" s="202">
        <v>16</v>
      </c>
      <c r="B19" s="203" t="s">
        <v>81</v>
      </c>
      <c r="C19" s="202" t="s">
        <v>147</v>
      </c>
      <c r="D19" s="202" t="s">
        <v>131</v>
      </c>
      <c r="E19" s="204">
        <v>1.25</v>
      </c>
      <c r="F19" s="204">
        <f>('TEV Inputs'!I8 - 'TEV Inputs'!I11 - 'TEV Inputs'!I14) / ('TEV Inputs'!I40 + 'TEV Inputs'!I12)</f>
        <v>2.0479876723211752</v>
      </c>
      <c r="G19" s="195" t="str">
        <f>IFERROR(IF(D19="&gt;=",IF(F19&gt;=E19,IF((F19-E19)/MAX(ABS(E19),1)&gt;0.1,"Compliant","Near Breach"),"Breached"),IF(F19&lt;=E19,IF((E19-F19)/MAX(ABS(E19),1)&gt;0.1,"Compliant","Near Breach"),"Breached")),"Pending")</f>
        <v>Compliant</v>
      </c>
      <c r="H19" s="202" t="s">
        <v>148</v>
      </c>
      <c r="I19" s="194"/>
      <c r="J19" s="192"/>
      <c r="K19" s="192"/>
      <c r="L19" s="205" t="s">
        <v>149</v>
      </c>
    </row>
    <row r="20" spans="1:12" ht="18" customHeight="1" x14ac:dyDescent="0.3">
      <c r="A20" s="197">
        <v>17</v>
      </c>
      <c r="B20" s="198"/>
      <c r="C20" s="197" t="s">
        <v>135</v>
      </c>
      <c r="D20" s="197" t="s">
        <v>131</v>
      </c>
      <c r="E20" s="199">
        <v>1.2</v>
      </c>
      <c r="F20" s="199">
        <v>1.5100186344507001</v>
      </c>
      <c r="G20" s="195" t="s">
        <v>132</v>
      </c>
      <c r="H20" s="197" t="s">
        <v>136</v>
      </c>
      <c r="I20" s="199"/>
      <c r="J20" s="197"/>
      <c r="K20" s="197"/>
      <c r="L20" s="200" t="s">
        <v>134</v>
      </c>
    </row>
    <row r="21" spans="1:12" ht="18" customHeight="1" x14ac:dyDescent="0.3">
      <c r="A21" s="192">
        <v>18</v>
      </c>
      <c r="B21" s="201"/>
      <c r="C21" s="192" t="s">
        <v>137</v>
      </c>
      <c r="D21" s="192" t="s">
        <v>131</v>
      </c>
      <c r="E21" s="194">
        <v>2</v>
      </c>
      <c r="F21" s="194">
        <v>3.6548827975872298</v>
      </c>
      <c r="G21" s="195" t="s">
        <v>132</v>
      </c>
      <c r="H21" s="192" t="s">
        <v>138</v>
      </c>
      <c r="I21" s="194"/>
      <c r="J21" s="192"/>
      <c r="K21" s="192"/>
      <c r="L21" s="196" t="s">
        <v>134</v>
      </c>
    </row>
    <row r="22" spans="1:12" ht="18" customHeight="1" x14ac:dyDescent="0.3">
      <c r="A22" s="197">
        <v>19</v>
      </c>
      <c r="B22" s="198"/>
      <c r="C22" s="197" t="s">
        <v>139</v>
      </c>
      <c r="D22" s="197" t="s">
        <v>140</v>
      </c>
      <c r="E22" s="199">
        <v>4</v>
      </c>
      <c r="F22" s="199">
        <v>2.4944117155511001</v>
      </c>
      <c r="G22" s="195" t="s">
        <v>132</v>
      </c>
      <c r="H22" s="197" t="s">
        <v>141</v>
      </c>
      <c r="I22" s="197"/>
      <c r="J22" s="197"/>
      <c r="K22" s="197"/>
      <c r="L22" s="200" t="s">
        <v>134</v>
      </c>
    </row>
    <row r="23" spans="1:12" ht="18" customHeight="1" x14ac:dyDescent="0.3">
      <c r="A23" s="192">
        <v>20</v>
      </c>
      <c r="B23" s="201"/>
      <c r="C23" s="192" t="s">
        <v>142</v>
      </c>
      <c r="D23" s="192" t="s">
        <v>140</v>
      </c>
      <c r="E23" s="194">
        <v>2</v>
      </c>
      <c r="F23" s="194">
        <v>1.0922542136437401</v>
      </c>
      <c r="G23" s="195" t="s">
        <v>132</v>
      </c>
      <c r="H23" s="192" t="s">
        <v>143</v>
      </c>
      <c r="I23" s="194"/>
      <c r="J23" s="192"/>
      <c r="K23" s="192"/>
      <c r="L23" s="196" t="s">
        <v>134</v>
      </c>
    </row>
    <row r="24" spans="1:12" ht="18" customHeight="1" x14ac:dyDescent="0.3">
      <c r="A24" s="197">
        <v>21</v>
      </c>
      <c r="B24" s="198"/>
      <c r="C24" s="197" t="s">
        <v>150</v>
      </c>
      <c r="D24" s="197" t="s">
        <v>140</v>
      </c>
      <c r="E24" s="206">
        <v>337.5</v>
      </c>
      <c r="F24" s="199">
        <v>0</v>
      </c>
      <c r="G24" s="195" t="s">
        <v>132</v>
      </c>
      <c r="H24" s="197" t="s">
        <v>151</v>
      </c>
      <c r="I24" s="206"/>
      <c r="J24" s="197"/>
      <c r="K24" s="197"/>
      <c r="L24" s="200"/>
    </row>
    <row r="25" spans="1:12" ht="18" customHeight="1" x14ac:dyDescent="0.3">
      <c r="A25" s="202">
        <v>22</v>
      </c>
      <c r="B25" s="203" t="s">
        <v>85</v>
      </c>
      <c r="C25" s="202" t="s">
        <v>130</v>
      </c>
      <c r="D25" s="202" t="s">
        <v>131</v>
      </c>
      <c r="E25" s="204">
        <v>1.25</v>
      </c>
      <c r="F25" s="204">
        <v>1.80088294651867</v>
      </c>
      <c r="G25" s="195" t="s">
        <v>132</v>
      </c>
      <c r="H25" s="202" t="s">
        <v>133</v>
      </c>
      <c r="I25" s="194"/>
      <c r="J25" s="192"/>
      <c r="K25" s="192"/>
      <c r="L25" s="205" t="s">
        <v>134</v>
      </c>
    </row>
    <row r="26" spans="1:12" ht="18" customHeight="1" x14ac:dyDescent="0.3">
      <c r="A26" s="197">
        <v>23</v>
      </c>
      <c r="B26" s="198"/>
      <c r="C26" s="197" t="s">
        <v>135</v>
      </c>
      <c r="D26" s="197" t="s">
        <v>131</v>
      </c>
      <c r="E26" s="199">
        <v>1.2</v>
      </c>
      <c r="F26" s="199">
        <v>1.5100186344507001</v>
      </c>
      <c r="G26" s="195" t="s">
        <v>132</v>
      </c>
      <c r="H26" s="197" t="s">
        <v>136</v>
      </c>
      <c r="I26" s="199"/>
      <c r="J26" s="197"/>
      <c r="K26" s="197"/>
      <c r="L26" s="200" t="s">
        <v>134</v>
      </c>
    </row>
    <row r="27" spans="1:12" ht="18" customHeight="1" x14ac:dyDescent="0.3">
      <c r="A27" s="192">
        <v>24</v>
      </c>
      <c r="B27" s="201"/>
      <c r="C27" s="192" t="s">
        <v>137</v>
      </c>
      <c r="D27" s="192" t="s">
        <v>131</v>
      </c>
      <c r="E27" s="194">
        <v>2</v>
      </c>
      <c r="F27" s="194">
        <v>3.6548827975872298</v>
      </c>
      <c r="G27" s="195" t="s">
        <v>132</v>
      </c>
      <c r="H27" s="192" t="s">
        <v>138</v>
      </c>
      <c r="I27" s="194"/>
      <c r="J27" s="192"/>
      <c r="K27" s="192"/>
      <c r="L27" s="196" t="s">
        <v>134</v>
      </c>
    </row>
    <row r="28" spans="1:12" ht="18" customHeight="1" x14ac:dyDescent="0.3">
      <c r="A28" s="197">
        <v>25</v>
      </c>
      <c r="B28" s="198"/>
      <c r="C28" s="197" t="s">
        <v>139</v>
      </c>
      <c r="D28" s="197" t="s">
        <v>140</v>
      </c>
      <c r="E28" s="199">
        <v>4</v>
      </c>
      <c r="F28" s="199">
        <v>2.4944117155511001</v>
      </c>
      <c r="G28" s="195" t="s">
        <v>132</v>
      </c>
      <c r="H28" s="197" t="s">
        <v>141</v>
      </c>
      <c r="I28" s="197"/>
      <c r="J28" s="197"/>
      <c r="K28" s="197"/>
      <c r="L28" s="200" t="s">
        <v>134</v>
      </c>
    </row>
    <row r="29" spans="1:12" ht="18" customHeight="1" x14ac:dyDescent="0.3">
      <c r="A29" s="192">
        <v>26</v>
      </c>
      <c r="B29" s="201"/>
      <c r="C29" s="192" t="s">
        <v>142</v>
      </c>
      <c r="D29" s="192" t="s">
        <v>140</v>
      </c>
      <c r="E29" s="194">
        <v>2</v>
      </c>
      <c r="F29" s="194">
        <v>1.0922542136437401</v>
      </c>
      <c r="G29" s="195" t="s">
        <v>132</v>
      </c>
      <c r="H29" s="192" t="s">
        <v>143</v>
      </c>
      <c r="I29" s="194"/>
      <c r="J29" s="192"/>
      <c r="K29" s="192"/>
      <c r="L29" s="196" t="s">
        <v>134</v>
      </c>
    </row>
    <row r="30" spans="1:12" ht="18" customHeight="1" x14ac:dyDescent="0.3">
      <c r="A30" s="202">
        <v>27</v>
      </c>
      <c r="B30" s="203" t="s">
        <v>79</v>
      </c>
      <c r="C30" s="202" t="s">
        <v>152</v>
      </c>
      <c r="D30" s="202" t="s">
        <v>131</v>
      </c>
      <c r="E30" s="207">
        <v>1363</v>
      </c>
      <c r="F30" s="207">
        <v>2186.35</v>
      </c>
      <c r="G30" s="195" t="s">
        <v>132</v>
      </c>
      <c r="H30" s="202" t="s">
        <v>153</v>
      </c>
      <c r="I30" s="206"/>
      <c r="J30" s="197"/>
      <c r="K30" s="197"/>
      <c r="L30" s="205" t="s">
        <v>154</v>
      </c>
    </row>
    <row r="31" spans="1:12" ht="18" customHeight="1" x14ac:dyDescent="0.3">
      <c r="A31" s="192">
        <v>28</v>
      </c>
      <c r="B31" s="201"/>
      <c r="C31" s="192" t="s">
        <v>155</v>
      </c>
      <c r="D31" s="192" t="s">
        <v>131</v>
      </c>
      <c r="E31" s="194">
        <v>2.5</v>
      </c>
      <c r="F31" s="208">
        <v>11.381328</v>
      </c>
      <c r="G31" s="195" t="s">
        <v>132</v>
      </c>
      <c r="H31" s="192" t="s">
        <v>156</v>
      </c>
      <c r="I31" s="192"/>
      <c r="J31" s="209"/>
      <c r="K31" s="192"/>
      <c r="L31" s="196" t="s">
        <v>157</v>
      </c>
    </row>
    <row r="32" spans="1:12" ht="18" customHeight="1" x14ac:dyDescent="0.3">
      <c r="A32" s="197">
        <v>29</v>
      </c>
      <c r="B32" s="198"/>
      <c r="C32" s="197" t="s">
        <v>158</v>
      </c>
      <c r="D32" s="197" t="s">
        <v>131</v>
      </c>
      <c r="E32" s="206">
        <v>10</v>
      </c>
      <c r="F32" s="206">
        <v>14</v>
      </c>
      <c r="G32" s="195" t="s">
        <v>132</v>
      </c>
      <c r="H32" s="197" t="s">
        <v>159</v>
      </c>
      <c r="I32" s="206"/>
      <c r="J32" s="197"/>
      <c r="K32" s="197"/>
      <c r="L32" s="200" t="s">
        <v>160</v>
      </c>
    </row>
    <row r="33" spans="1:12" ht="18" customHeight="1" x14ac:dyDescent="0.3">
      <c r="A33" s="202">
        <v>30</v>
      </c>
      <c r="B33" s="203" t="s">
        <v>161</v>
      </c>
      <c r="C33" s="202" t="s">
        <v>162</v>
      </c>
      <c r="D33" s="202" t="s">
        <v>140</v>
      </c>
      <c r="E33" s="204">
        <v>4</v>
      </c>
      <c r="F33" s="204">
        <v>2.8147718726497901</v>
      </c>
      <c r="G33" s="195" t="s">
        <v>132</v>
      </c>
      <c r="H33" s="202" t="s">
        <v>163</v>
      </c>
      <c r="I33" s="192"/>
      <c r="J33" s="192"/>
      <c r="K33" s="192"/>
      <c r="L33" s="205" t="s">
        <v>134</v>
      </c>
    </row>
    <row r="34" spans="1:12" ht="18" customHeight="1" x14ac:dyDescent="0.3">
      <c r="A34" s="197">
        <v>31</v>
      </c>
      <c r="B34" s="198"/>
      <c r="C34" s="197" t="s">
        <v>164</v>
      </c>
      <c r="D34" s="197" t="s">
        <v>140</v>
      </c>
      <c r="E34" s="199">
        <v>2.5</v>
      </c>
      <c r="F34" s="199">
        <v>1.72161364831797</v>
      </c>
      <c r="G34" s="195" t="s">
        <v>132</v>
      </c>
      <c r="H34" s="197" t="s">
        <v>165</v>
      </c>
      <c r="I34" s="199"/>
      <c r="J34" s="197"/>
      <c r="K34" s="197"/>
      <c r="L34" s="200" t="s">
        <v>134</v>
      </c>
    </row>
    <row r="35" spans="1:12" ht="18" customHeight="1" x14ac:dyDescent="0.3">
      <c r="A35" s="192">
        <v>32</v>
      </c>
      <c r="B35" s="201"/>
      <c r="C35" s="192" t="s">
        <v>166</v>
      </c>
      <c r="D35" s="192" t="s">
        <v>131</v>
      </c>
      <c r="E35" s="194">
        <v>1.1000000000000001</v>
      </c>
      <c r="F35" s="194">
        <v>1.88786337209302</v>
      </c>
      <c r="G35" s="195" t="s">
        <v>132</v>
      </c>
      <c r="H35" s="192" t="s">
        <v>167</v>
      </c>
      <c r="I35" s="194"/>
      <c r="J35" s="192"/>
      <c r="K35" s="192"/>
      <c r="L35" s="196" t="s">
        <v>134</v>
      </c>
    </row>
    <row r="36" spans="1:12" ht="18" customHeight="1" x14ac:dyDescent="0.3">
      <c r="A36" s="197">
        <v>33</v>
      </c>
      <c r="B36" s="198"/>
      <c r="C36" s="197" t="s">
        <v>168</v>
      </c>
      <c r="D36" s="197" t="s">
        <v>131</v>
      </c>
      <c r="E36" s="206">
        <v>14</v>
      </c>
      <c r="F36" s="206">
        <v>14</v>
      </c>
      <c r="G36" s="210" t="s">
        <v>169</v>
      </c>
      <c r="H36" s="197" t="s">
        <v>170</v>
      </c>
      <c r="I36" s="206"/>
      <c r="J36" s="197"/>
      <c r="K36" s="197"/>
      <c r="L36" s="200" t="s">
        <v>171</v>
      </c>
    </row>
    <row r="37" spans="1:12" ht="18" customHeight="1" x14ac:dyDescent="0.3">
      <c r="A37" s="202">
        <v>35</v>
      </c>
      <c r="B37" s="203" t="s">
        <v>84</v>
      </c>
      <c r="C37" s="202" t="s">
        <v>172</v>
      </c>
      <c r="D37" s="202" t="s">
        <v>131</v>
      </c>
      <c r="E37" s="204">
        <v>2.5</v>
      </c>
      <c r="F37" s="207">
        <v>11.381328</v>
      </c>
      <c r="G37" s="211" t="s">
        <v>132</v>
      </c>
      <c r="H37" s="202" t="s">
        <v>156</v>
      </c>
      <c r="I37" s="192"/>
      <c r="J37" s="209"/>
      <c r="K37" s="192"/>
      <c r="L37" s="205" t="s">
        <v>173</v>
      </c>
    </row>
    <row r="38" spans="1:12" ht="18" customHeight="1" x14ac:dyDescent="0.3">
      <c r="A38" s="197">
        <v>36</v>
      </c>
      <c r="B38" s="198"/>
      <c r="C38" s="197" t="s">
        <v>130</v>
      </c>
      <c r="D38" s="197" t="s">
        <v>131</v>
      </c>
      <c r="E38" s="199">
        <v>1.25</v>
      </c>
      <c r="F38" s="199">
        <v>1.80088294651867</v>
      </c>
      <c r="G38" s="195" t="s">
        <v>132</v>
      </c>
      <c r="H38" s="197" t="s">
        <v>133</v>
      </c>
      <c r="I38" s="199"/>
      <c r="J38" s="197"/>
      <c r="K38" s="197"/>
      <c r="L38" s="200" t="s">
        <v>134</v>
      </c>
    </row>
    <row r="39" spans="1:12" ht="18" customHeight="1" x14ac:dyDescent="0.3">
      <c r="A39" s="192">
        <v>37</v>
      </c>
      <c r="B39" s="201"/>
      <c r="C39" s="192" t="s">
        <v>135</v>
      </c>
      <c r="D39" s="192" t="s">
        <v>131</v>
      </c>
      <c r="E39" s="194">
        <v>1.2</v>
      </c>
      <c r="F39" s="194">
        <v>1.5100186344507001</v>
      </c>
      <c r="G39" s="195" t="s">
        <v>132</v>
      </c>
      <c r="H39" s="192" t="s">
        <v>136</v>
      </c>
      <c r="I39" s="194"/>
      <c r="J39" s="192"/>
      <c r="K39" s="192"/>
      <c r="L39" s="196" t="s">
        <v>134</v>
      </c>
    </row>
    <row r="40" spans="1:12" ht="18" customHeight="1" x14ac:dyDescent="0.3">
      <c r="A40" s="197">
        <v>38</v>
      </c>
      <c r="B40" s="198"/>
      <c r="C40" s="197" t="s">
        <v>137</v>
      </c>
      <c r="D40" s="197" t="s">
        <v>131</v>
      </c>
      <c r="E40" s="199">
        <v>2</v>
      </c>
      <c r="F40" s="199">
        <v>3.6548827975872298</v>
      </c>
      <c r="G40" s="195" t="s">
        <v>132</v>
      </c>
      <c r="H40" s="197" t="s">
        <v>138</v>
      </c>
      <c r="I40" s="199"/>
      <c r="J40" s="197"/>
      <c r="K40" s="197"/>
      <c r="L40" s="200" t="s">
        <v>134</v>
      </c>
    </row>
    <row r="41" spans="1:12" ht="18" customHeight="1" x14ac:dyDescent="0.3">
      <c r="A41" s="192">
        <v>39</v>
      </c>
      <c r="B41" s="201"/>
      <c r="C41" s="192" t="s">
        <v>139</v>
      </c>
      <c r="D41" s="192" t="s">
        <v>140</v>
      </c>
      <c r="E41" s="194">
        <v>4</v>
      </c>
      <c r="F41" s="194">
        <v>2.4944117155511001</v>
      </c>
      <c r="G41" s="195" t="s">
        <v>132</v>
      </c>
      <c r="H41" s="192" t="s">
        <v>141</v>
      </c>
      <c r="I41" s="192"/>
      <c r="J41" s="192"/>
      <c r="K41" s="192"/>
      <c r="L41" s="196" t="s">
        <v>134</v>
      </c>
    </row>
    <row r="42" spans="1:12" ht="18" customHeight="1" x14ac:dyDescent="0.3">
      <c r="A42" s="197">
        <v>40</v>
      </c>
      <c r="B42" s="198"/>
      <c r="C42" s="197" t="s">
        <v>142</v>
      </c>
      <c r="D42" s="197" t="s">
        <v>140</v>
      </c>
      <c r="E42" s="199">
        <v>2</v>
      </c>
      <c r="F42" s="199">
        <v>1.0922542136437401</v>
      </c>
      <c r="G42" s="195" t="s">
        <v>132</v>
      </c>
      <c r="H42" s="197" t="s">
        <v>143</v>
      </c>
      <c r="I42" s="199"/>
      <c r="J42" s="197"/>
      <c r="K42" s="197"/>
      <c r="L42" s="200" t="s">
        <v>134</v>
      </c>
    </row>
    <row r="43" spans="1:12" ht="18" customHeight="1" x14ac:dyDescent="0.3">
      <c r="A43" s="192">
        <v>41</v>
      </c>
      <c r="B43" s="201"/>
      <c r="C43" s="192" t="s">
        <v>162</v>
      </c>
      <c r="D43" s="192" t="s">
        <v>140</v>
      </c>
      <c r="E43" s="194">
        <v>4.25</v>
      </c>
      <c r="F43" s="194">
        <v>2.8147718726497901</v>
      </c>
      <c r="G43" s="195" t="s">
        <v>132</v>
      </c>
      <c r="H43" s="192" t="s">
        <v>174</v>
      </c>
      <c r="I43" s="192"/>
      <c r="J43" s="192"/>
      <c r="K43" s="192"/>
      <c r="L43" s="196" t="s">
        <v>134</v>
      </c>
    </row>
    <row r="44" spans="1:12" ht="18" customHeight="1" x14ac:dyDescent="0.3">
      <c r="A44" s="202">
        <v>43</v>
      </c>
      <c r="B44" s="203" t="s">
        <v>175</v>
      </c>
      <c r="C44" s="202" t="s">
        <v>176</v>
      </c>
      <c r="D44" s="202" t="s">
        <v>140</v>
      </c>
      <c r="E44" s="204">
        <v>0.4</v>
      </c>
      <c r="F44" s="212">
        <v>0.1241</v>
      </c>
      <c r="G44" s="195" t="s">
        <v>132</v>
      </c>
      <c r="H44" s="202" t="s">
        <v>177</v>
      </c>
      <c r="I44" s="197"/>
      <c r="J44" s="213"/>
      <c r="K44" s="197"/>
      <c r="L44" s="205" t="s">
        <v>157</v>
      </c>
    </row>
    <row r="45" spans="1:12" ht="18" customHeight="1" x14ac:dyDescent="0.3">
      <c r="A45" s="202">
        <v>45</v>
      </c>
      <c r="B45" s="203" t="s">
        <v>80</v>
      </c>
      <c r="C45" s="202" t="s">
        <v>162</v>
      </c>
      <c r="D45" s="202" t="s">
        <v>140</v>
      </c>
      <c r="E45" s="204">
        <v>4.25</v>
      </c>
      <c r="F45" s="204">
        <v>2.8147718726497901</v>
      </c>
      <c r="G45" s="195" t="s">
        <v>132</v>
      </c>
      <c r="H45" s="202" t="s">
        <v>174</v>
      </c>
      <c r="I45" s="192"/>
      <c r="J45" s="192"/>
      <c r="K45" s="192"/>
      <c r="L45" s="205" t="s">
        <v>134</v>
      </c>
    </row>
    <row r="46" spans="1:12" ht="18" customHeight="1" x14ac:dyDescent="0.3">
      <c r="A46" s="202">
        <v>46</v>
      </c>
      <c r="B46" s="203" t="s">
        <v>85</v>
      </c>
      <c r="C46" s="202" t="s">
        <v>162</v>
      </c>
      <c r="D46" s="202" t="s">
        <v>140</v>
      </c>
      <c r="E46" s="204">
        <v>4.25</v>
      </c>
      <c r="F46" s="204">
        <v>2.8147718726497901</v>
      </c>
      <c r="G46" s="195" t="s">
        <v>132</v>
      </c>
      <c r="H46" s="202" t="s">
        <v>174</v>
      </c>
      <c r="I46" s="197"/>
      <c r="J46" s="197"/>
      <c r="K46" s="197"/>
      <c r="L46" s="205" t="s">
        <v>134</v>
      </c>
    </row>
    <row r="47" spans="1:12" ht="18" customHeight="1" x14ac:dyDescent="0.3">
      <c r="A47" s="202">
        <v>47</v>
      </c>
      <c r="B47" s="203" t="s">
        <v>78</v>
      </c>
      <c r="C47" s="202" t="s">
        <v>178</v>
      </c>
      <c r="D47" s="202" t="s">
        <v>131</v>
      </c>
      <c r="E47" s="204">
        <v>1.2</v>
      </c>
      <c r="F47" s="204">
        <v>1.5100186344507001</v>
      </c>
      <c r="G47" s="195" t="s">
        <v>132</v>
      </c>
      <c r="H47" s="202" t="s">
        <v>136</v>
      </c>
      <c r="I47" s="194"/>
      <c r="J47" s="192"/>
      <c r="K47" s="192"/>
      <c r="L47" s="205" t="s">
        <v>134</v>
      </c>
    </row>
    <row r="48" spans="1:12" ht="18" customHeight="1" x14ac:dyDescent="0.3">
      <c r="A48" s="197">
        <v>48</v>
      </c>
      <c r="B48" s="198"/>
      <c r="C48" s="197" t="s">
        <v>179</v>
      </c>
      <c r="D48" s="197" t="s">
        <v>131</v>
      </c>
      <c r="E48" s="199">
        <v>2</v>
      </c>
      <c r="F48" s="199">
        <v>3.6548827975872298</v>
      </c>
      <c r="G48" s="195" t="s">
        <v>132</v>
      </c>
      <c r="H48" s="197" t="s">
        <v>138</v>
      </c>
      <c r="I48" s="199"/>
      <c r="J48" s="197"/>
      <c r="K48" s="197"/>
      <c r="L48" s="200" t="s">
        <v>134</v>
      </c>
    </row>
    <row r="49" spans="1:12" ht="18" customHeight="1" x14ac:dyDescent="0.3">
      <c r="A49" s="192">
        <v>49</v>
      </c>
      <c r="B49" s="201"/>
      <c r="C49" s="192" t="s">
        <v>180</v>
      </c>
      <c r="D49" s="192" t="s">
        <v>140</v>
      </c>
      <c r="E49" s="194">
        <v>4</v>
      </c>
      <c r="F49" s="194">
        <v>2.4944117155511001</v>
      </c>
      <c r="G49" s="195" t="s">
        <v>132</v>
      </c>
      <c r="H49" s="192" t="s">
        <v>141</v>
      </c>
      <c r="I49" s="192"/>
      <c r="J49" s="192"/>
      <c r="K49" s="192"/>
      <c r="L49" s="196" t="s">
        <v>134</v>
      </c>
    </row>
    <row r="50" spans="1:12" ht="18" customHeight="1" x14ac:dyDescent="0.3">
      <c r="A50" s="197">
        <v>50</v>
      </c>
      <c r="B50" s="198"/>
      <c r="C50" s="197" t="s">
        <v>181</v>
      </c>
      <c r="D50" s="197" t="s">
        <v>140</v>
      </c>
      <c r="E50" s="199">
        <v>2</v>
      </c>
      <c r="F50" s="199">
        <v>1.0922542136437401</v>
      </c>
      <c r="G50" s="195" t="s">
        <v>132</v>
      </c>
      <c r="H50" s="197" t="s">
        <v>143</v>
      </c>
      <c r="I50" s="199"/>
      <c r="J50" s="197"/>
      <c r="K50" s="197"/>
      <c r="L50" s="200" t="s">
        <v>134</v>
      </c>
    </row>
    <row r="51" spans="1:12" ht="6" customHeight="1" x14ac:dyDescent="0.3">
      <c r="A51" s="189"/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</row>
    <row r="52" spans="1:12" ht="6" customHeight="1" x14ac:dyDescent="0.3">
      <c r="A52" s="189"/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</row>
    <row r="53" spans="1:12" ht="24" customHeight="1" x14ac:dyDescent="0.3">
      <c r="A53" s="897" t="s">
        <v>182</v>
      </c>
      <c r="B53" s="897"/>
      <c r="C53" s="897"/>
      <c r="D53" s="897"/>
      <c r="E53" s="897"/>
      <c r="F53" s="897"/>
      <c r="G53" s="897"/>
      <c r="H53" s="897"/>
      <c r="I53" s="897"/>
      <c r="J53" s="897"/>
      <c r="K53" s="897"/>
      <c r="L53" s="897"/>
    </row>
    <row r="54" spans="1:12" ht="19.5" customHeight="1" x14ac:dyDescent="0.3">
      <c r="A54" s="214" t="s">
        <v>126</v>
      </c>
      <c r="B54" s="214" t="s">
        <v>110</v>
      </c>
      <c r="C54" s="214" t="s">
        <v>183</v>
      </c>
      <c r="I54" s="189"/>
      <c r="J54" s="189"/>
      <c r="K54" s="189"/>
      <c r="L54" s="189"/>
    </row>
    <row r="55" spans="1:12" ht="21.75" customHeight="1" x14ac:dyDescent="0.3">
      <c r="A55" s="215" t="s">
        <v>132</v>
      </c>
      <c r="B55" s="216">
        <v>43</v>
      </c>
      <c r="C55" s="217">
        <f>IFERROR(B55/B59,"-")</f>
        <v>0.97727272727272729</v>
      </c>
    </row>
    <row r="56" spans="1:12" ht="21.75" customHeight="1" x14ac:dyDescent="0.3">
      <c r="A56" s="218" t="s">
        <v>169</v>
      </c>
      <c r="B56" s="219">
        <v>1</v>
      </c>
      <c r="C56" s="220">
        <f>IFERROR(B56/B59,"-")</f>
        <v>2.2727272727272728E-2</v>
      </c>
    </row>
    <row r="57" spans="1:12" ht="21.75" customHeight="1" x14ac:dyDescent="0.3">
      <c r="A57" s="221" t="s">
        <v>184</v>
      </c>
      <c r="B57" s="222">
        <v>0</v>
      </c>
      <c r="C57" s="223">
        <f>IFERROR(B57/B59,"-")</f>
        <v>0</v>
      </c>
    </row>
    <row r="58" spans="1:12" ht="21.75" customHeight="1" x14ac:dyDescent="0.3">
      <c r="A58" s="224" t="s">
        <v>185</v>
      </c>
      <c r="B58" s="225">
        <v>0</v>
      </c>
      <c r="C58" s="226">
        <f>IFERROR(B58/B59,"-")</f>
        <v>0</v>
      </c>
    </row>
    <row r="59" spans="1:12" ht="21.75" customHeight="1" x14ac:dyDescent="0.3">
      <c r="A59" s="227" t="s">
        <v>186</v>
      </c>
      <c r="B59" s="228">
        <f>B55+B56+B57+B58</f>
        <v>44</v>
      </c>
      <c r="C59" s="229">
        <v>1</v>
      </c>
    </row>
    <row r="60" spans="1:12" ht="15" customHeight="1" x14ac:dyDescent="0.3"/>
    <row r="61" spans="1:12" ht="15" customHeight="1" x14ac:dyDescent="0.3"/>
    <row r="62" spans="1:12" ht="15" customHeight="1" x14ac:dyDescent="0.3"/>
    <row r="63" spans="1:12" ht="30" customHeight="1" x14ac:dyDescent="0.3"/>
    <row r="64" spans="1:12" ht="30" customHeight="1" x14ac:dyDescent="0.3"/>
    <row r="65" ht="30" customHeight="1" x14ac:dyDescent="0.3"/>
    <row r="66" ht="15" customHeight="1" x14ac:dyDescent="0.3"/>
    <row r="67" ht="15" customHeight="1" x14ac:dyDescent="0.3"/>
    <row r="68" ht="15" customHeight="1" x14ac:dyDescent="0.3"/>
    <row r="69" ht="31.5" customHeight="1" x14ac:dyDescent="0.3"/>
    <row r="70" ht="31.5" customHeight="1" x14ac:dyDescent="0.3"/>
    <row r="71" ht="31.5" customHeight="1" x14ac:dyDescent="0.3"/>
    <row r="72" ht="31.5" customHeight="1" x14ac:dyDescent="0.3"/>
    <row r="73" ht="31.5" customHeight="1" x14ac:dyDescent="0.3"/>
    <row r="74" ht="31.5" customHeight="1" x14ac:dyDescent="0.3"/>
  </sheetData>
  <mergeCells count="4">
    <mergeCell ref="A1:L1"/>
    <mergeCell ref="A2:L2"/>
    <mergeCell ref="A3:L3"/>
    <mergeCell ref="A53:L53"/>
  </mergeCells>
  <printOptions horizontalCentered="1"/>
  <pageMargins left="0.75" right="0.75" top="1" bottom="1" header="0.511811023622047" footer="0.51180555555555596"/>
  <pageSetup paperSize="9" fitToHeight="0" orientation="landscape" horizontalDpi="300" verticalDpi="300"/>
  <headerFooter>
    <oddFooter>&amp;C&amp;8 JFL Debt Model v11 | CONFIDENTIAL | FY29 Covenant Compliance (TEV)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M57"/>
  <sheetViews>
    <sheetView showGridLines="0" zoomScaleNormal="100" workbookViewId="0">
      <pane xSplit="1" ySplit="3" topLeftCell="B47" activePane="bottomRight" state="frozen"/>
      <selection pane="topRight" activeCell="B1" sqref="B1"/>
      <selection pane="bottomLeft" activeCell="A4" sqref="A4"/>
      <selection pane="bottomRight" activeCell="G13" sqref="G13"/>
    </sheetView>
  </sheetViews>
  <sheetFormatPr defaultColWidth="8.6640625" defaultRowHeight="14.4" x14ac:dyDescent="0.3"/>
  <cols>
    <col min="1" max="1" width="20.33203125" customWidth="1"/>
    <col min="2" max="2" width="26.88671875" customWidth="1"/>
    <col min="3" max="3" width="13.88671875" customWidth="1"/>
    <col min="4" max="4" width="13" customWidth="1"/>
    <col min="5" max="6" width="12" customWidth="1"/>
    <col min="7" max="7" width="16.6640625" customWidth="1"/>
    <col min="8" max="8" width="10.21875" customWidth="1"/>
    <col min="9" max="9" width="31.44140625" customWidth="1"/>
    <col min="10" max="10" width="11.109375" customWidth="1"/>
    <col min="11" max="11" width="14.77734375" customWidth="1"/>
    <col min="12" max="12" width="22.21875" customWidth="1"/>
    <col min="13" max="13" width="11.5546875" hidden="1" customWidth="1"/>
  </cols>
  <sheetData>
    <row r="1" spans="1:13" ht="30" customHeight="1" x14ac:dyDescent="0.3">
      <c r="A1" s="14" t="s">
        <v>187</v>
      </c>
      <c r="B1" s="14"/>
      <c r="C1" s="14"/>
      <c r="D1" s="14"/>
      <c r="E1" s="14"/>
      <c r="F1" s="14"/>
      <c r="G1" s="14"/>
      <c r="H1" s="14"/>
      <c r="I1" s="14"/>
      <c r="J1" s="187"/>
      <c r="K1" s="187"/>
      <c r="L1" s="187"/>
    </row>
    <row r="2" spans="1:13" ht="15.75" customHeight="1" x14ac:dyDescent="0.3">
      <c r="A2" s="898" t="s">
        <v>188</v>
      </c>
      <c r="B2" s="898"/>
      <c r="C2" s="898"/>
      <c r="D2" s="898"/>
      <c r="E2" s="898"/>
      <c r="F2" s="898"/>
      <c r="G2" s="898"/>
      <c r="H2" s="898"/>
      <c r="I2" s="898"/>
      <c r="J2" s="230"/>
      <c r="K2" s="230"/>
      <c r="L2" s="230"/>
    </row>
    <row r="3" spans="1:13" ht="21.75" customHeight="1" x14ac:dyDescent="0.3">
      <c r="A3" s="231" t="s">
        <v>72</v>
      </c>
      <c r="B3" s="231" t="s">
        <v>122</v>
      </c>
      <c r="C3" s="231" t="s">
        <v>123</v>
      </c>
      <c r="D3" s="231" t="s">
        <v>124</v>
      </c>
      <c r="E3" s="231" t="s">
        <v>189</v>
      </c>
      <c r="F3" s="231" t="s">
        <v>127</v>
      </c>
      <c r="G3" s="231" t="s">
        <v>126</v>
      </c>
      <c r="H3" s="231" t="s">
        <v>190</v>
      </c>
      <c r="I3" s="231" t="s">
        <v>191</v>
      </c>
      <c r="J3" s="190" t="s">
        <v>192</v>
      </c>
      <c r="K3" s="190" t="s">
        <v>193</v>
      </c>
      <c r="L3" s="190" t="s">
        <v>194</v>
      </c>
    </row>
    <row r="4" spans="1:13" ht="31.5" customHeight="1" x14ac:dyDescent="0.3">
      <c r="A4" s="232" t="s">
        <v>77</v>
      </c>
      <c r="B4" s="232" t="s">
        <v>195</v>
      </c>
      <c r="C4" s="233" t="s">
        <v>131</v>
      </c>
      <c r="D4" s="234">
        <v>1.25</v>
      </c>
      <c r="E4" s="235">
        <f>IFERROR(INDEX('FY29 Covenant Compliance (TEV)'!F:F,MATCH(M4,'FY29 Covenant Compliance (TEV)'!A:A,0)),"-")</f>
        <v>1.80088294651867</v>
      </c>
      <c r="F4" s="236">
        <f t="shared" ref="F4:F47" si="0">IFERROR(IF(C4="&gt;=",E4-D4,D4-E4),"-")</f>
        <v>0.55088294651866998</v>
      </c>
      <c r="G4" s="237" t="str">
        <f t="shared" ref="G4:G47" si="1">IFERROR(IF(ISTEXT(E4),"Pending Input",IF(F4&lt;0,"Breached",IF(F4&lt;ABS(D4)*0.05,"Near Breach","Compliant"))),"-")</f>
        <v>Compliant</v>
      </c>
      <c r="H4" s="238" t="str">
        <f t="shared" ref="H4:H47" si="2">IFERROR(IF(G4="Breached","Critical",IF(G4="Near Breach","Medium",IF(G4="Compliant","Low","-"))),"-")</f>
        <v>Low</v>
      </c>
      <c r="I4" s="239" t="s">
        <v>196</v>
      </c>
      <c r="J4" s="240" t="s">
        <v>197</v>
      </c>
      <c r="K4" s="241" t="s">
        <v>198</v>
      </c>
      <c r="L4" s="242" t="s">
        <v>199</v>
      </c>
      <c r="M4">
        <v>4</v>
      </c>
    </row>
    <row r="5" spans="1:13" ht="31.5" customHeight="1" x14ac:dyDescent="0.3">
      <c r="A5" s="243"/>
      <c r="B5" s="244" t="s">
        <v>200</v>
      </c>
      <c r="C5" s="245" t="s">
        <v>131</v>
      </c>
      <c r="D5" s="246">
        <v>1.2</v>
      </c>
      <c r="E5" s="246">
        <f>IFERROR(INDEX('FY29 Covenant Compliance (TEV)'!F:F,MATCH(M5,'FY29 Covenant Compliance (TEV)'!A:A,0)),"-")</f>
        <v>1.5100186344507001</v>
      </c>
      <c r="F5" s="247">
        <f t="shared" si="0"/>
        <v>0.3100186344507001</v>
      </c>
      <c r="G5" s="237" t="str">
        <f t="shared" si="1"/>
        <v>Compliant</v>
      </c>
      <c r="H5" s="248" t="str">
        <f t="shared" si="2"/>
        <v>Low</v>
      </c>
      <c r="I5" s="249" t="s">
        <v>201</v>
      </c>
      <c r="J5" s="250" t="s">
        <v>197</v>
      </c>
      <c r="K5" s="251" t="s">
        <v>198</v>
      </c>
      <c r="L5" s="250" t="s">
        <v>199</v>
      </c>
      <c r="M5">
        <v>5</v>
      </c>
    </row>
    <row r="6" spans="1:13" ht="31.5" customHeight="1" x14ac:dyDescent="0.3">
      <c r="A6" s="252"/>
      <c r="B6" s="253" t="s">
        <v>202</v>
      </c>
      <c r="C6" s="254" t="s">
        <v>131</v>
      </c>
      <c r="D6" s="235">
        <v>2</v>
      </c>
      <c r="E6" s="235">
        <f>IFERROR(INDEX('FY29 Covenant Compliance (TEV)'!F:F,MATCH(M6,'FY29 Covenant Compliance (TEV)'!A:A,0)),"-")</f>
        <v>3.6548827975872298</v>
      </c>
      <c r="F6" s="236">
        <f t="shared" si="0"/>
        <v>1.6548827975872298</v>
      </c>
      <c r="G6" s="237" t="str">
        <f t="shared" si="1"/>
        <v>Compliant</v>
      </c>
      <c r="H6" s="238" t="str">
        <f t="shared" si="2"/>
        <v>Low</v>
      </c>
      <c r="I6" s="239" t="s">
        <v>203</v>
      </c>
      <c r="J6" s="240" t="s">
        <v>197</v>
      </c>
      <c r="K6" s="255" t="s">
        <v>198</v>
      </c>
      <c r="L6" s="240" t="s">
        <v>199</v>
      </c>
      <c r="M6">
        <v>6</v>
      </c>
    </row>
    <row r="7" spans="1:13" ht="31.5" customHeight="1" x14ac:dyDescent="0.3">
      <c r="A7" s="243"/>
      <c r="B7" s="244" t="s">
        <v>204</v>
      </c>
      <c r="C7" s="245" t="s">
        <v>140</v>
      </c>
      <c r="D7" s="246">
        <v>4</v>
      </c>
      <c r="E7" s="246">
        <f>IFERROR(INDEX('FY29 Covenant Compliance (TEV)'!F:F,MATCH(M7,'FY29 Covenant Compliance (TEV)'!A:A,0)),"-")</f>
        <v>2.4944117155511001</v>
      </c>
      <c r="F7" s="247">
        <f t="shared" si="0"/>
        <v>1.5055882844488999</v>
      </c>
      <c r="G7" s="237" t="str">
        <f t="shared" si="1"/>
        <v>Compliant</v>
      </c>
      <c r="H7" s="248" t="str">
        <f t="shared" si="2"/>
        <v>Low</v>
      </c>
      <c r="I7" s="249" t="s">
        <v>205</v>
      </c>
      <c r="J7" s="250" t="s">
        <v>197</v>
      </c>
      <c r="K7" s="251" t="s">
        <v>198</v>
      </c>
      <c r="L7" s="250" t="s">
        <v>199</v>
      </c>
      <c r="M7">
        <v>7</v>
      </c>
    </row>
    <row r="8" spans="1:13" ht="31.5" customHeight="1" x14ac:dyDescent="0.3">
      <c r="A8" s="252"/>
      <c r="B8" s="253" t="s">
        <v>206</v>
      </c>
      <c r="C8" s="254" t="s">
        <v>140</v>
      </c>
      <c r="D8" s="235">
        <v>2</v>
      </c>
      <c r="E8" s="235">
        <f>IFERROR(INDEX('FY29 Covenant Compliance (TEV)'!F:F,MATCH(M8,'FY29 Covenant Compliance (TEV)'!A:A,0)),"-")</f>
        <v>1.0922542136437401</v>
      </c>
      <c r="F8" s="236">
        <f t="shared" si="0"/>
        <v>0.90774578635625991</v>
      </c>
      <c r="G8" s="237" t="str">
        <f t="shared" si="1"/>
        <v>Compliant</v>
      </c>
      <c r="H8" s="238" t="str">
        <f t="shared" si="2"/>
        <v>Low</v>
      </c>
      <c r="I8" s="239" t="s">
        <v>207</v>
      </c>
      <c r="J8" s="240" t="s">
        <v>197</v>
      </c>
      <c r="K8" s="255" t="s">
        <v>198</v>
      </c>
      <c r="L8" s="240" t="s">
        <v>199</v>
      </c>
      <c r="M8">
        <v>8</v>
      </c>
    </row>
    <row r="9" spans="1:13" ht="31.5" customHeight="1" x14ac:dyDescent="0.3">
      <c r="A9" s="232" t="s">
        <v>78</v>
      </c>
      <c r="B9" s="232" t="s">
        <v>208</v>
      </c>
      <c r="C9" s="233" t="s">
        <v>131</v>
      </c>
      <c r="D9" s="234">
        <v>1.25</v>
      </c>
      <c r="E9" s="246">
        <f>IFERROR(INDEX('FY29 Covenant Compliance (TEV)'!F:F,MATCH(M9,'FY29 Covenant Compliance (TEV)'!A:A,0)),"-")</f>
        <v>1.80088294651867</v>
      </c>
      <c r="F9" s="247">
        <f t="shared" si="0"/>
        <v>0.55088294651866998</v>
      </c>
      <c r="G9" s="237" t="str">
        <f t="shared" si="1"/>
        <v>Compliant</v>
      </c>
      <c r="H9" s="248" t="str">
        <f t="shared" si="2"/>
        <v>Low</v>
      </c>
      <c r="I9" s="249" t="s">
        <v>209</v>
      </c>
      <c r="J9" s="250" t="s">
        <v>210</v>
      </c>
      <c r="K9" s="241" t="s">
        <v>198</v>
      </c>
      <c r="L9" s="242" t="s">
        <v>211</v>
      </c>
      <c r="M9">
        <v>9</v>
      </c>
    </row>
    <row r="10" spans="1:13" ht="31.5" customHeight="1" x14ac:dyDescent="0.3">
      <c r="A10" s="232" t="s">
        <v>80</v>
      </c>
      <c r="B10" s="232" t="s">
        <v>195</v>
      </c>
      <c r="C10" s="233" t="s">
        <v>131</v>
      </c>
      <c r="D10" s="234">
        <v>1.25</v>
      </c>
      <c r="E10" s="235">
        <f>IFERROR(INDEX('FY29 Covenant Compliance (TEV)'!F:F,MATCH(M10,'FY29 Covenant Compliance (TEV)'!A:A,0)),"-")</f>
        <v>1.80088294651867</v>
      </c>
      <c r="F10" s="236">
        <f t="shared" si="0"/>
        <v>0.55088294651866998</v>
      </c>
      <c r="G10" s="237" t="str">
        <f t="shared" si="1"/>
        <v>Compliant</v>
      </c>
      <c r="H10" s="238" t="str">
        <f t="shared" si="2"/>
        <v>Low</v>
      </c>
      <c r="I10" s="239" t="s">
        <v>212</v>
      </c>
      <c r="J10" s="240" t="s">
        <v>197</v>
      </c>
      <c r="K10" s="241" t="s">
        <v>198</v>
      </c>
      <c r="L10" s="242" t="s">
        <v>199</v>
      </c>
      <c r="M10">
        <v>10</v>
      </c>
    </row>
    <row r="11" spans="1:13" ht="31.5" customHeight="1" x14ac:dyDescent="0.3">
      <c r="A11" s="243"/>
      <c r="B11" s="244" t="s">
        <v>200</v>
      </c>
      <c r="C11" s="245" t="s">
        <v>131</v>
      </c>
      <c r="D11" s="246">
        <v>1.2</v>
      </c>
      <c r="E11" s="246">
        <f>IFERROR(INDEX('FY29 Covenant Compliance (TEV)'!F:F,MATCH(M11,'FY29 Covenant Compliance (TEV)'!A:A,0)),"-")</f>
        <v>1.5100186344507001</v>
      </c>
      <c r="F11" s="247">
        <f t="shared" si="0"/>
        <v>0.3100186344507001</v>
      </c>
      <c r="G11" s="237" t="str">
        <f t="shared" si="1"/>
        <v>Compliant</v>
      </c>
      <c r="H11" s="248" t="str">
        <f t="shared" si="2"/>
        <v>Low</v>
      </c>
      <c r="I11" s="249" t="s">
        <v>213</v>
      </c>
      <c r="J11" s="250" t="s">
        <v>197</v>
      </c>
      <c r="K11" s="251" t="s">
        <v>198</v>
      </c>
      <c r="L11" s="250" t="s">
        <v>199</v>
      </c>
      <c r="M11">
        <v>11</v>
      </c>
    </row>
    <row r="12" spans="1:13" ht="31.5" customHeight="1" x14ac:dyDescent="0.3">
      <c r="A12" s="252"/>
      <c r="B12" s="253" t="s">
        <v>202</v>
      </c>
      <c r="C12" s="254" t="s">
        <v>131</v>
      </c>
      <c r="D12" s="235">
        <v>2</v>
      </c>
      <c r="E12" s="235">
        <f>IFERROR(INDEX('FY29 Covenant Compliance (TEV)'!F:F,MATCH(M12,'FY29 Covenant Compliance (TEV)'!A:A,0)),"-")</f>
        <v>3.6548827975872298</v>
      </c>
      <c r="F12" s="236">
        <f t="shared" si="0"/>
        <v>1.6548827975872298</v>
      </c>
      <c r="G12" s="237" t="str">
        <f t="shared" si="1"/>
        <v>Compliant</v>
      </c>
      <c r="H12" s="238" t="str">
        <f t="shared" si="2"/>
        <v>Low</v>
      </c>
      <c r="I12" s="239" t="s">
        <v>214</v>
      </c>
      <c r="J12" s="240" t="s">
        <v>197</v>
      </c>
      <c r="K12" s="255" t="s">
        <v>198</v>
      </c>
      <c r="L12" s="240" t="s">
        <v>199</v>
      </c>
      <c r="M12">
        <v>12</v>
      </c>
    </row>
    <row r="13" spans="1:13" ht="31.5" customHeight="1" x14ac:dyDescent="0.3">
      <c r="A13" s="243"/>
      <c r="B13" s="244" t="s">
        <v>204</v>
      </c>
      <c r="C13" s="245" t="s">
        <v>140</v>
      </c>
      <c r="D13" s="246">
        <v>4</v>
      </c>
      <c r="E13" s="246">
        <f>IFERROR(INDEX('FY29 Covenant Compliance (TEV)'!F:F,MATCH(M13,'FY29 Covenant Compliance (TEV)'!A:A,0)),"-")</f>
        <v>2.4944117155511001</v>
      </c>
      <c r="F13" s="247">
        <f t="shared" si="0"/>
        <v>1.5055882844488999</v>
      </c>
      <c r="G13" s="237" t="str">
        <f t="shared" si="1"/>
        <v>Compliant</v>
      </c>
      <c r="H13" s="248" t="str">
        <f t="shared" si="2"/>
        <v>Low</v>
      </c>
      <c r="I13" s="249" t="s">
        <v>215</v>
      </c>
      <c r="J13" s="250" t="s">
        <v>197</v>
      </c>
      <c r="K13" s="251" t="s">
        <v>198</v>
      </c>
      <c r="L13" s="250" t="s">
        <v>199</v>
      </c>
      <c r="M13">
        <v>13</v>
      </c>
    </row>
    <row r="14" spans="1:13" ht="31.5" customHeight="1" x14ac:dyDescent="0.3">
      <c r="A14" s="252"/>
      <c r="B14" s="253" t="s">
        <v>206</v>
      </c>
      <c r="C14" s="254" t="s">
        <v>140</v>
      </c>
      <c r="D14" s="235">
        <v>2</v>
      </c>
      <c r="E14" s="235">
        <f>IFERROR(INDEX('FY29 Covenant Compliance (TEV)'!F:F,MATCH(M14,'FY29 Covenant Compliance (TEV)'!A:A,0)),"-")</f>
        <v>1.0922542136437401</v>
      </c>
      <c r="F14" s="236">
        <f t="shared" si="0"/>
        <v>0.90774578635625991</v>
      </c>
      <c r="G14" s="237" t="str">
        <f t="shared" si="1"/>
        <v>Compliant</v>
      </c>
      <c r="H14" s="238" t="str">
        <f t="shared" si="2"/>
        <v>Low</v>
      </c>
      <c r="I14" s="239" t="s">
        <v>216</v>
      </c>
      <c r="J14" s="240" t="s">
        <v>197</v>
      </c>
      <c r="K14" s="255" t="s">
        <v>198</v>
      </c>
      <c r="L14" s="240" t="s">
        <v>199</v>
      </c>
      <c r="M14">
        <v>14</v>
      </c>
    </row>
    <row r="15" spans="1:13" ht="31.5" customHeight="1" x14ac:dyDescent="0.3">
      <c r="A15" s="243"/>
      <c r="B15" s="244" t="s">
        <v>145</v>
      </c>
      <c r="C15" s="245" t="s">
        <v>131</v>
      </c>
      <c r="D15" s="246">
        <v>1.5</v>
      </c>
      <c r="E15" s="246">
        <f>IFERROR(INDEX('FY29 Covenant Compliance (TEV)'!F:F,MATCH(M15,'FY29 Covenant Compliance (TEV)'!A:A,0)),"-")</f>
        <v>1.80088294651867</v>
      </c>
      <c r="F15" s="247">
        <f t="shared" si="0"/>
        <v>0.30088294651866998</v>
      </c>
      <c r="G15" s="237" t="str">
        <f t="shared" si="1"/>
        <v>Compliant</v>
      </c>
      <c r="H15" s="248" t="str">
        <f t="shared" si="2"/>
        <v>Low</v>
      </c>
      <c r="I15" s="249" t="s">
        <v>217</v>
      </c>
      <c r="J15" s="250" t="s">
        <v>197</v>
      </c>
      <c r="K15" s="251" t="s">
        <v>218</v>
      </c>
      <c r="L15" s="250" t="s">
        <v>219</v>
      </c>
      <c r="M15">
        <v>15</v>
      </c>
    </row>
    <row r="16" spans="1:13" ht="31.5" customHeight="1" x14ac:dyDescent="0.3">
      <c r="A16" s="232" t="s">
        <v>81</v>
      </c>
      <c r="B16" s="232" t="s">
        <v>220</v>
      </c>
      <c r="C16" s="233" t="s">
        <v>131</v>
      </c>
      <c r="D16" s="234">
        <v>1.25</v>
      </c>
      <c r="E16" s="235">
        <f>IFERROR(INDEX('FY29 Covenant Compliance (TEV)'!F:F,MATCH(M16,'FY29 Covenant Compliance (TEV)'!A:A,0)),"-")</f>
        <v>2.0479876723211752</v>
      </c>
      <c r="F16" s="236">
        <f t="shared" si="0"/>
        <v>0.79798767232117518</v>
      </c>
      <c r="G16" s="237" t="str">
        <f t="shared" si="1"/>
        <v>Compliant</v>
      </c>
      <c r="H16" s="238" t="str">
        <f t="shared" si="2"/>
        <v>Low</v>
      </c>
      <c r="I16" s="239" t="s">
        <v>221</v>
      </c>
      <c r="J16" s="240" t="s">
        <v>197</v>
      </c>
      <c r="K16" s="241" t="s">
        <v>198</v>
      </c>
      <c r="L16" s="242" t="s">
        <v>222</v>
      </c>
      <c r="M16">
        <v>16</v>
      </c>
    </row>
    <row r="17" spans="1:13" ht="31.5" customHeight="1" x14ac:dyDescent="0.3">
      <c r="A17" s="243"/>
      <c r="B17" s="244" t="s">
        <v>200</v>
      </c>
      <c r="C17" s="245" t="s">
        <v>131</v>
      </c>
      <c r="D17" s="246">
        <v>1.2</v>
      </c>
      <c r="E17" s="246">
        <f>IFERROR(INDEX('FY29 Covenant Compliance (TEV)'!F:F,MATCH(M17,'FY29 Covenant Compliance (TEV)'!A:A,0)),"-")</f>
        <v>1.5100186344507001</v>
      </c>
      <c r="F17" s="247">
        <f t="shared" si="0"/>
        <v>0.3100186344507001</v>
      </c>
      <c r="G17" s="237" t="str">
        <f t="shared" si="1"/>
        <v>Compliant</v>
      </c>
      <c r="H17" s="248" t="str">
        <f t="shared" si="2"/>
        <v>Low</v>
      </c>
      <c r="I17" s="249" t="s">
        <v>223</v>
      </c>
      <c r="J17" s="250" t="s">
        <v>197</v>
      </c>
      <c r="K17" s="251" t="s">
        <v>198</v>
      </c>
      <c r="L17" s="250" t="s">
        <v>94</v>
      </c>
      <c r="M17">
        <v>17</v>
      </c>
    </row>
    <row r="18" spans="1:13" ht="31.5" customHeight="1" x14ac:dyDescent="0.3">
      <c r="A18" s="252"/>
      <c r="B18" s="253" t="s">
        <v>202</v>
      </c>
      <c r="C18" s="254" t="s">
        <v>131</v>
      </c>
      <c r="D18" s="235">
        <v>2</v>
      </c>
      <c r="E18" s="235">
        <f>IFERROR(INDEX('FY29 Covenant Compliance (TEV)'!F:F,MATCH(M18,'FY29 Covenant Compliance (TEV)'!A:A,0)),"-")</f>
        <v>3.6548827975872298</v>
      </c>
      <c r="F18" s="236">
        <f t="shared" si="0"/>
        <v>1.6548827975872298</v>
      </c>
      <c r="G18" s="237" t="str">
        <f t="shared" si="1"/>
        <v>Compliant</v>
      </c>
      <c r="H18" s="238" t="str">
        <f t="shared" si="2"/>
        <v>Low</v>
      </c>
      <c r="I18" s="239" t="s">
        <v>224</v>
      </c>
      <c r="J18" s="240" t="s">
        <v>197</v>
      </c>
      <c r="K18" s="255" t="s">
        <v>198</v>
      </c>
      <c r="L18" s="240" t="s">
        <v>94</v>
      </c>
      <c r="M18">
        <v>18</v>
      </c>
    </row>
    <row r="19" spans="1:13" ht="31.5" customHeight="1" x14ac:dyDescent="0.3">
      <c r="A19" s="243"/>
      <c r="B19" s="244" t="s">
        <v>204</v>
      </c>
      <c r="C19" s="245" t="s">
        <v>140</v>
      </c>
      <c r="D19" s="246">
        <v>4</v>
      </c>
      <c r="E19" s="246">
        <f>IFERROR(INDEX('FY29 Covenant Compliance (TEV)'!F:F,MATCH(M19,'FY29 Covenant Compliance (TEV)'!A:A,0)),"-")</f>
        <v>2.4944117155511001</v>
      </c>
      <c r="F19" s="247">
        <f t="shared" si="0"/>
        <v>1.5055882844488999</v>
      </c>
      <c r="G19" s="237" t="str">
        <f t="shared" si="1"/>
        <v>Compliant</v>
      </c>
      <c r="H19" s="248" t="str">
        <f t="shared" si="2"/>
        <v>Low</v>
      </c>
      <c r="I19" s="249" t="s">
        <v>225</v>
      </c>
      <c r="J19" s="250" t="s">
        <v>197</v>
      </c>
      <c r="K19" s="251" t="s">
        <v>198</v>
      </c>
      <c r="L19" s="250" t="s">
        <v>94</v>
      </c>
      <c r="M19">
        <v>19</v>
      </c>
    </row>
    <row r="20" spans="1:13" ht="31.5" customHeight="1" x14ac:dyDescent="0.3">
      <c r="A20" s="252"/>
      <c r="B20" s="253" t="s">
        <v>206</v>
      </c>
      <c r="C20" s="254" t="s">
        <v>140</v>
      </c>
      <c r="D20" s="235">
        <v>2</v>
      </c>
      <c r="E20" s="235">
        <f>IFERROR(INDEX('FY29 Covenant Compliance (TEV)'!F:F,MATCH(M20,'FY29 Covenant Compliance (TEV)'!A:A,0)),"-")</f>
        <v>1.0922542136437401</v>
      </c>
      <c r="F20" s="236">
        <f t="shared" si="0"/>
        <v>0.90774578635625991</v>
      </c>
      <c r="G20" s="237" t="str">
        <f t="shared" si="1"/>
        <v>Compliant</v>
      </c>
      <c r="H20" s="238" t="str">
        <f t="shared" si="2"/>
        <v>Low</v>
      </c>
      <c r="I20" s="239" t="s">
        <v>226</v>
      </c>
      <c r="J20" s="240" t="s">
        <v>197</v>
      </c>
      <c r="K20" s="255" t="s">
        <v>198</v>
      </c>
      <c r="L20" s="240" t="s">
        <v>94</v>
      </c>
      <c r="M20">
        <v>20</v>
      </c>
    </row>
    <row r="21" spans="1:13" ht="31.5" customHeight="1" x14ac:dyDescent="0.3">
      <c r="A21" s="243"/>
      <c r="B21" s="244" t="s">
        <v>227</v>
      </c>
      <c r="C21" s="245" t="s">
        <v>140</v>
      </c>
      <c r="D21" s="256">
        <v>337.5</v>
      </c>
      <c r="E21" s="256">
        <f>IFERROR(INDEX('FY29 Covenant Compliance (TEV)'!F:F,MATCH(M21,'FY29 Covenant Compliance (TEV)'!A:A,0)),"-")</f>
        <v>0</v>
      </c>
      <c r="F21" s="257">
        <f t="shared" si="0"/>
        <v>337.5</v>
      </c>
      <c r="G21" s="237" t="str">
        <f t="shared" si="1"/>
        <v>Compliant</v>
      </c>
      <c r="H21" s="248" t="str">
        <f t="shared" si="2"/>
        <v>Low</v>
      </c>
      <c r="I21" s="249" t="s">
        <v>228</v>
      </c>
      <c r="J21" s="250" t="s">
        <v>210</v>
      </c>
      <c r="K21" s="251" t="s">
        <v>229</v>
      </c>
      <c r="L21" s="250" t="s">
        <v>230</v>
      </c>
      <c r="M21">
        <v>21</v>
      </c>
    </row>
    <row r="22" spans="1:13" ht="31.5" customHeight="1" x14ac:dyDescent="0.3">
      <c r="A22" s="232" t="s">
        <v>85</v>
      </c>
      <c r="B22" s="232" t="s">
        <v>195</v>
      </c>
      <c r="C22" s="233" t="s">
        <v>131</v>
      </c>
      <c r="D22" s="234">
        <v>1.25</v>
      </c>
      <c r="E22" s="235">
        <f>IFERROR(INDEX('FY29 Covenant Compliance (TEV)'!F:F,MATCH(M22,'FY29 Covenant Compliance (TEV)'!A:A,0)),"-")</f>
        <v>1.80088294651867</v>
      </c>
      <c r="F22" s="236">
        <f t="shared" si="0"/>
        <v>0.55088294651866998</v>
      </c>
      <c r="G22" s="237" t="str">
        <f t="shared" si="1"/>
        <v>Compliant</v>
      </c>
      <c r="H22" s="238" t="str">
        <f t="shared" si="2"/>
        <v>Low</v>
      </c>
      <c r="I22" s="239" t="s">
        <v>231</v>
      </c>
      <c r="J22" s="240" t="s">
        <v>197</v>
      </c>
      <c r="K22" s="241" t="s">
        <v>198</v>
      </c>
      <c r="L22" s="242" t="s">
        <v>232</v>
      </c>
      <c r="M22">
        <v>22</v>
      </c>
    </row>
    <row r="23" spans="1:13" ht="31.5" customHeight="1" x14ac:dyDescent="0.3">
      <c r="A23" s="243"/>
      <c r="B23" s="244" t="s">
        <v>200</v>
      </c>
      <c r="C23" s="245" t="s">
        <v>131</v>
      </c>
      <c r="D23" s="246">
        <v>1.2</v>
      </c>
      <c r="E23" s="246">
        <f>IFERROR(INDEX('FY29 Covenant Compliance (TEV)'!F:F,MATCH(M23,'FY29 Covenant Compliance (TEV)'!A:A,0)),"-")</f>
        <v>1.5100186344507001</v>
      </c>
      <c r="F23" s="247">
        <f t="shared" si="0"/>
        <v>0.3100186344507001</v>
      </c>
      <c r="G23" s="237" t="str">
        <f t="shared" si="1"/>
        <v>Compliant</v>
      </c>
      <c r="H23" s="248" t="str">
        <f t="shared" si="2"/>
        <v>Low</v>
      </c>
      <c r="I23" s="249" t="s">
        <v>233</v>
      </c>
      <c r="J23" s="250" t="s">
        <v>197</v>
      </c>
      <c r="K23" s="251" t="s">
        <v>198</v>
      </c>
      <c r="L23" s="250" t="s">
        <v>96</v>
      </c>
      <c r="M23">
        <v>23</v>
      </c>
    </row>
    <row r="24" spans="1:13" ht="31.5" customHeight="1" x14ac:dyDescent="0.3">
      <c r="A24" s="252"/>
      <c r="B24" s="253" t="s">
        <v>202</v>
      </c>
      <c r="C24" s="254" t="s">
        <v>131</v>
      </c>
      <c r="D24" s="235">
        <v>2</v>
      </c>
      <c r="E24" s="235">
        <f>IFERROR(INDEX('FY29 Covenant Compliance (TEV)'!F:F,MATCH(M24,'FY29 Covenant Compliance (TEV)'!A:A,0)),"-")</f>
        <v>3.6548827975872298</v>
      </c>
      <c r="F24" s="236">
        <f t="shared" si="0"/>
        <v>1.6548827975872298</v>
      </c>
      <c r="G24" s="237" t="str">
        <f t="shared" si="1"/>
        <v>Compliant</v>
      </c>
      <c r="H24" s="238" t="str">
        <f t="shared" si="2"/>
        <v>Low</v>
      </c>
      <c r="I24" s="239" t="s">
        <v>234</v>
      </c>
      <c r="J24" s="240" t="s">
        <v>197</v>
      </c>
      <c r="K24" s="255" t="s">
        <v>198</v>
      </c>
      <c r="L24" s="240" t="s">
        <v>96</v>
      </c>
      <c r="M24">
        <v>24</v>
      </c>
    </row>
    <row r="25" spans="1:13" ht="31.5" customHeight="1" x14ac:dyDescent="0.3">
      <c r="A25" s="243"/>
      <c r="B25" s="244" t="s">
        <v>204</v>
      </c>
      <c r="C25" s="245" t="s">
        <v>140</v>
      </c>
      <c r="D25" s="246">
        <v>4</v>
      </c>
      <c r="E25" s="246">
        <f>IFERROR(INDEX('FY29 Covenant Compliance (TEV)'!F:F,MATCH(M25,'FY29 Covenant Compliance (TEV)'!A:A,0)),"-")</f>
        <v>2.4944117155511001</v>
      </c>
      <c r="F25" s="247">
        <f t="shared" si="0"/>
        <v>1.5055882844488999</v>
      </c>
      <c r="G25" s="237" t="str">
        <f t="shared" si="1"/>
        <v>Compliant</v>
      </c>
      <c r="H25" s="248" t="str">
        <f t="shared" si="2"/>
        <v>Low</v>
      </c>
      <c r="I25" s="249" t="s">
        <v>235</v>
      </c>
      <c r="J25" s="250" t="s">
        <v>197</v>
      </c>
      <c r="K25" s="251" t="s">
        <v>198</v>
      </c>
      <c r="L25" s="250" t="s">
        <v>96</v>
      </c>
      <c r="M25">
        <v>25</v>
      </c>
    </row>
    <row r="26" spans="1:13" ht="31.5" customHeight="1" x14ac:dyDescent="0.3">
      <c r="A26" s="252"/>
      <c r="B26" s="253" t="s">
        <v>206</v>
      </c>
      <c r="C26" s="254" t="s">
        <v>140</v>
      </c>
      <c r="D26" s="235">
        <v>2</v>
      </c>
      <c r="E26" s="235">
        <f>IFERROR(INDEX('FY29 Covenant Compliance (TEV)'!F:F,MATCH(M26,'FY29 Covenant Compliance (TEV)'!A:A,0)),"-")</f>
        <v>1.0922542136437401</v>
      </c>
      <c r="F26" s="236">
        <f t="shared" si="0"/>
        <v>0.90774578635625991</v>
      </c>
      <c r="G26" s="237" t="str">
        <f t="shared" si="1"/>
        <v>Compliant</v>
      </c>
      <c r="H26" s="238" t="str">
        <f t="shared" si="2"/>
        <v>Low</v>
      </c>
      <c r="I26" s="239" t="s">
        <v>236</v>
      </c>
      <c r="J26" s="240" t="s">
        <v>197</v>
      </c>
      <c r="K26" s="255" t="s">
        <v>198</v>
      </c>
      <c r="L26" s="240" t="s">
        <v>96</v>
      </c>
      <c r="M26">
        <v>26</v>
      </c>
    </row>
    <row r="27" spans="1:13" ht="31.5" customHeight="1" x14ac:dyDescent="0.3">
      <c r="A27" s="232" t="s">
        <v>79</v>
      </c>
      <c r="B27" s="232" t="s">
        <v>237</v>
      </c>
      <c r="C27" s="233" t="s">
        <v>131</v>
      </c>
      <c r="D27" s="258">
        <v>1363</v>
      </c>
      <c r="E27" s="256">
        <f>IFERROR(INDEX('FY29 Covenant Compliance (TEV)'!F:F,MATCH(M27,'FY29 Covenant Compliance (TEV)'!A:A,0)),"-")</f>
        <v>2186.35</v>
      </c>
      <c r="F27" s="257">
        <f t="shared" si="0"/>
        <v>823.34999999999991</v>
      </c>
      <c r="G27" s="237" t="str">
        <f t="shared" si="1"/>
        <v>Compliant</v>
      </c>
      <c r="H27" s="248" t="str">
        <f t="shared" si="2"/>
        <v>Low</v>
      </c>
      <c r="I27" s="249" t="s">
        <v>238</v>
      </c>
      <c r="J27" s="250" t="s">
        <v>210</v>
      </c>
      <c r="K27" s="241" t="s">
        <v>239</v>
      </c>
      <c r="L27" s="242" t="s">
        <v>240</v>
      </c>
      <c r="M27">
        <v>27</v>
      </c>
    </row>
    <row r="28" spans="1:13" ht="31.5" customHeight="1" x14ac:dyDescent="0.3">
      <c r="A28" s="252"/>
      <c r="B28" s="253" t="s">
        <v>155</v>
      </c>
      <c r="C28" s="254" t="s">
        <v>131</v>
      </c>
      <c r="D28" s="235">
        <v>2.5</v>
      </c>
      <c r="E28" s="235">
        <f>IFERROR(INDEX('FY29 Covenant Compliance (TEV)'!F:F,MATCH(M28,'FY29 Covenant Compliance (TEV)'!A:A,0)),"-")</f>
        <v>11.381328</v>
      </c>
      <c r="F28" s="236">
        <f t="shared" si="0"/>
        <v>8.8813279999999999</v>
      </c>
      <c r="G28" s="237" t="str">
        <f t="shared" si="1"/>
        <v>Compliant</v>
      </c>
      <c r="H28" s="238" t="str">
        <f t="shared" si="2"/>
        <v>Low</v>
      </c>
      <c r="I28" s="239" t="s">
        <v>241</v>
      </c>
      <c r="J28" s="240" t="s">
        <v>197</v>
      </c>
      <c r="K28" s="255" t="s">
        <v>229</v>
      </c>
      <c r="L28" s="240" t="s">
        <v>230</v>
      </c>
      <c r="M28">
        <v>28</v>
      </c>
    </row>
    <row r="29" spans="1:13" ht="31.5" customHeight="1" x14ac:dyDescent="0.3">
      <c r="A29" s="243"/>
      <c r="B29" s="244" t="s">
        <v>242</v>
      </c>
      <c r="C29" s="245" t="s">
        <v>131</v>
      </c>
      <c r="D29" s="259">
        <v>10</v>
      </c>
      <c r="E29" s="260">
        <f>IFERROR(INDEX('FY29 Covenant Compliance (TEV)'!F:F,MATCH(M29,'FY29 Covenant Compliance (TEV)'!A:A,0)),"-")</f>
        <v>14</v>
      </c>
      <c r="F29" s="261">
        <f t="shared" si="0"/>
        <v>4</v>
      </c>
      <c r="G29" s="237" t="str">
        <f t="shared" si="1"/>
        <v>Compliant</v>
      </c>
      <c r="H29" s="248" t="str">
        <f t="shared" si="2"/>
        <v>Low</v>
      </c>
      <c r="I29" s="249" t="s">
        <v>243</v>
      </c>
      <c r="J29" s="250" t="s">
        <v>197</v>
      </c>
      <c r="K29" s="251" t="s">
        <v>244</v>
      </c>
      <c r="L29" s="250" t="s">
        <v>240</v>
      </c>
      <c r="M29">
        <v>29</v>
      </c>
    </row>
    <row r="30" spans="1:13" ht="31.5" customHeight="1" x14ac:dyDescent="0.3">
      <c r="A30" s="232" t="s">
        <v>245</v>
      </c>
      <c r="B30" s="232" t="s">
        <v>246</v>
      </c>
      <c r="C30" s="233" t="s">
        <v>140</v>
      </c>
      <c r="D30" s="234">
        <v>4</v>
      </c>
      <c r="E30" s="235">
        <f>IFERROR(INDEX('FY29 Covenant Compliance (TEV)'!F:F,MATCH(M30,'FY29 Covenant Compliance (TEV)'!A:A,0)),"-")</f>
        <v>2.8147718726497901</v>
      </c>
      <c r="F30" s="236">
        <f t="shared" si="0"/>
        <v>1.1852281273502099</v>
      </c>
      <c r="G30" s="237" t="str">
        <f t="shared" si="1"/>
        <v>Compliant</v>
      </c>
      <c r="H30" s="238" t="str">
        <f t="shared" si="2"/>
        <v>Low</v>
      </c>
      <c r="I30" s="239" t="s">
        <v>247</v>
      </c>
      <c r="J30" s="240" t="s">
        <v>197</v>
      </c>
      <c r="K30" s="241" t="s">
        <v>248</v>
      </c>
      <c r="L30" s="242" t="s">
        <v>249</v>
      </c>
      <c r="M30">
        <v>30</v>
      </c>
    </row>
    <row r="31" spans="1:13" ht="31.5" customHeight="1" x14ac:dyDescent="0.3">
      <c r="A31" s="243"/>
      <c r="B31" s="244" t="s">
        <v>250</v>
      </c>
      <c r="C31" s="245" t="s">
        <v>140</v>
      </c>
      <c r="D31" s="246">
        <v>2.5</v>
      </c>
      <c r="E31" s="246">
        <f>IFERROR(INDEX('FY29 Covenant Compliance (TEV)'!F:F,MATCH(M31,'FY29 Covenant Compliance (TEV)'!A:A,0)),"-")</f>
        <v>1.72161364831797</v>
      </c>
      <c r="F31" s="247">
        <f t="shared" si="0"/>
        <v>0.77838635168202996</v>
      </c>
      <c r="G31" s="237" t="str">
        <f t="shared" si="1"/>
        <v>Compliant</v>
      </c>
      <c r="H31" s="248" t="str">
        <f t="shared" si="2"/>
        <v>Low</v>
      </c>
      <c r="I31" s="249" t="s">
        <v>251</v>
      </c>
      <c r="J31" s="250" t="s">
        <v>197</v>
      </c>
      <c r="K31" s="251" t="s">
        <v>248</v>
      </c>
      <c r="L31" s="250" t="s">
        <v>249</v>
      </c>
      <c r="M31">
        <v>31</v>
      </c>
    </row>
    <row r="32" spans="1:13" ht="31.5" customHeight="1" x14ac:dyDescent="0.3">
      <c r="A32" s="252"/>
      <c r="B32" s="253" t="s">
        <v>252</v>
      </c>
      <c r="C32" s="254" t="s">
        <v>131</v>
      </c>
      <c r="D32" s="235">
        <v>1.1000000000000001</v>
      </c>
      <c r="E32" s="235">
        <f>IFERROR(INDEX('FY29 Covenant Compliance (TEV)'!F:F,MATCH(M32,'FY29 Covenant Compliance (TEV)'!A:A,0)),"-")</f>
        <v>1.88786337209302</v>
      </c>
      <c r="F32" s="236">
        <f t="shared" si="0"/>
        <v>0.78786337209301993</v>
      </c>
      <c r="G32" s="237" t="str">
        <f t="shared" si="1"/>
        <v>Compliant</v>
      </c>
      <c r="H32" s="238" t="str">
        <f t="shared" si="2"/>
        <v>Low</v>
      </c>
      <c r="I32" s="239" t="s">
        <v>253</v>
      </c>
      <c r="J32" s="240" t="s">
        <v>197</v>
      </c>
      <c r="K32" s="255" t="s">
        <v>248</v>
      </c>
      <c r="L32" s="240" t="s">
        <v>249</v>
      </c>
      <c r="M32">
        <v>32</v>
      </c>
    </row>
    <row r="33" spans="1:13" ht="31.5" customHeight="1" x14ac:dyDescent="0.3">
      <c r="A33" s="262"/>
      <c r="B33" s="263" t="s">
        <v>254</v>
      </c>
      <c r="C33" s="264" t="s">
        <v>131</v>
      </c>
      <c r="D33" s="265">
        <v>14</v>
      </c>
      <c r="E33" s="266">
        <f>IFERROR(INDEX('FY29 Covenant Compliance (TEV)'!F:F,MATCH(M33,'FY29 Covenant Compliance (TEV)'!A:A,0)),"-")</f>
        <v>14</v>
      </c>
      <c r="F33" s="267">
        <f t="shared" si="0"/>
        <v>0</v>
      </c>
      <c r="G33" s="268" t="str">
        <f t="shared" si="1"/>
        <v>Near Breach</v>
      </c>
      <c r="H33" s="269" t="str">
        <f t="shared" si="2"/>
        <v>Medium</v>
      </c>
      <c r="I33" s="270" t="s">
        <v>255</v>
      </c>
      <c r="J33" s="271" t="s">
        <v>197</v>
      </c>
      <c r="K33" s="272" t="s">
        <v>244</v>
      </c>
      <c r="L33" s="271" t="s">
        <v>249</v>
      </c>
      <c r="M33">
        <v>33</v>
      </c>
    </row>
    <row r="34" spans="1:13" ht="31.5" customHeight="1" x14ac:dyDescent="0.3">
      <c r="A34" s="232" t="s">
        <v>84</v>
      </c>
      <c r="B34" s="232" t="s">
        <v>172</v>
      </c>
      <c r="C34" s="233" t="s">
        <v>131</v>
      </c>
      <c r="D34" s="234">
        <v>2.5</v>
      </c>
      <c r="E34" s="235">
        <f>IFERROR(INDEX('FY29 Covenant Compliance (TEV)'!F:F,MATCH(M34,'FY29 Covenant Compliance (TEV)'!A:A,0)),"-")</f>
        <v>11.381328</v>
      </c>
      <c r="F34" s="236">
        <f t="shared" si="0"/>
        <v>8.8813279999999999</v>
      </c>
      <c r="G34" s="237" t="str">
        <f t="shared" si="1"/>
        <v>Compliant</v>
      </c>
      <c r="H34" s="238" t="str">
        <f t="shared" si="2"/>
        <v>Low</v>
      </c>
      <c r="I34" s="239" t="s">
        <v>256</v>
      </c>
      <c r="J34" s="240" t="s">
        <v>197</v>
      </c>
      <c r="K34" s="241" t="s">
        <v>229</v>
      </c>
      <c r="L34" s="242" t="s">
        <v>230</v>
      </c>
      <c r="M34">
        <v>35</v>
      </c>
    </row>
    <row r="35" spans="1:13" ht="31.5" customHeight="1" x14ac:dyDescent="0.3">
      <c r="A35" s="243"/>
      <c r="B35" s="244" t="s">
        <v>195</v>
      </c>
      <c r="C35" s="245" t="s">
        <v>131</v>
      </c>
      <c r="D35" s="246">
        <v>1.25</v>
      </c>
      <c r="E35" s="246">
        <f>IFERROR(INDEX('FY29 Covenant Compliance (TEV)'!F:F,MATCH(M35,'FY29 Covenant Compliance (TEV)'!A:A,0)),"-")</f>
        <v>1.80088294651867</v>
      </c>
      <c r="F35" s="247">
        <f t="shared" si="0"/>
        <v>0.55088294651866998</v>
      </c>
      <c r="G35" s="237" t="str">
        <f t="shared" si="1"/>
        <v>Compliant</v>
      </c>
      <c r="H35" s="248" t="str">
        <f t="shared" si="2"/>
        <v>Low</v>
      </c>
      <c r="I35" s="249" t="s">
        <v>257</v>
      </c>
      <c r="J35" s="250" t="s">
        <v>197</v>
      </c>
      <c r="K35" s="251" t="s">
        <v>198</v>
      </c>
      <c r="L35" s="250" t="s">
        <v>199</v>
      </c>
      <c r="M35">
        <v>36</v>
      </c>
    </row>
    <row r="36" spans="1:13" ht="31.5" customHeight="1" x14ac:dyDescent="0.3">
      <c r="A36" s="252"/>
      <c r="B36" s="253" t="s">
        <v>200</v>
      </c>
      <c r="C36" s="254" t="s">
        <v>131</v>
      </c>
      <c r="D36" s="235">
        <v>1.2</v>
      </c>
      <c r="E36" s="235">
        <f>IFERROR(INDEX('FY29 Covenant Compliance (TEV)'!F:F,MATCH(M36,'FY29 Covenant Compliance (TEV)'!A:A,0)),"-")</f>
        <v>1.5100186344507001</v>
      </c>
      <c r="F36" s="236">
        <f t="shared" si="0"/>
        <v>0.3100186344507001</v>
      </c>
      <c r="G36" s="237" t="str">
        <f t="shared" si="1"/>
        <v>Compliant</v>
      </c>
      <c r="H36" s="238" t="str">
        <f t="shared" si="2"/>
        <v>Low</v>
      </c>
      <c r="I36" s="239" t="s">
        <v>258</v>
      </c>
      <c r="J36" s="240" t="s">
        <v>197</v>
      </c>
      <c r="K36" s="255" t="s">
        <v>198</v>
      </c>
      <c r="L36" s="240" t="s">
        <v>199</v>
      </c>
      <c r="M36">
        <v>37</v>
      </c>
    </row>
    <row r="37" spans="1:13" ht="31.5" customHeight="1" x14ac:dyDescent="0.3">
      <c r="A37" s="243"/>
      <c r="B37" s="244" t="s">
        <v>202</v>
      </c>
      <c r="C37" s="245" t="s">
        <v>131</v>
      </c>
      <c r="D37" s="246">
        <v>2</v>
      </c>
      <c r="E37" s="246">
        <f>IFERROR(INDEX('FY29 Covenant Compliance (TEV)'!F:F,MATCH(M37,'FY29 Covenant Compliance (TEV)'!A:A,0)),"-")</f>
        <v>3.6548827975872298</v>
      </c>
      <c r="F37" s="247">
        <f t="shared" si="0"/>
        <v>1.6548827975872298</v>
      </c>
      <c r="G37" s="237" t="str">
        <f t="shared" si="1"/>
        <v>Compliant</v>
      </c>
      <c r="H37" s="248" t="str">
        <f t="shared" si="2"/>
        <v>Low</v>
      </c>
      <c r="I37" s="249" t="s">
        <v>259</v>
      </c>
      <c r="J37" s="250" t="s">
        <v>197</v>
      </c>
      <c r="K37" s="251" t="s">
        <v>198</v>
      </c>
      <c r="L37" s="250" t="s">
        <v>199</v>
      </c>
      <c r="M37">
        <v>38</v>
      </c>
    </row>
    <row r="38" spans="1:13" ht="31.5" customHeight="1" x14ac:dyDescent="0.3">
      <c r="A38" s="252"/>
      <c r="B38" s="253" t="s">
        <v>204</v>
      </c>
      <c r="C38" s="254" t="s">
        <v>140</v>
      </c>
      <c r="D38" s="235">
        <v>4</v>
      </c>
      <c r="E38" s="235">
        <f>IFERROR(INDEX('FY29 Covenant Compliance (TEV)'!F:F,MATCH(M38,'FY29 Covenant Compliance (TEV)'!A:A,0)),"-")</f>
        <v>2.4944117155511001</v>
      </c>
      <c r="F38" s="236">
        <f t="shared" si="0"/>
        <v>1.5055882844488999</v>
      </c>
      <c r="G38" s="237" t="str">
        <f t="shared" si="1"/>
        <v>Compliant</v>
      </c>
      <c r="H38" s="238" t="str">
        <f t="shared" si="2"/>
        <v>Low</v>
      </c>
      <c r="I38" s="239" t="s">
        <v>260</v>
      </c>
      <c r="J38" s="240" t="s">
        <v>197</v>
      </c>
      <c r="K38" s="255" t="s">
        <v>198</v>
      </c>
      <c r="L38" s="240" t="s">
        <v>199</v>
      </c>
      <c r="M38">
        <v>39</v>
      </c>
    </row>
    <row r="39" spans="1:13" ht="31.5" customHeight="1" x14ac:dyDescent="0.3">
      <c r="A39" s="243"/>
      <c r="B39" s="244" t="s">
        <v>206</v>
      </c>
      <c r="C39" s="245" t="s">
        <v>140</v>
      </c>
      <c r="D39" s="246">
        <v>2</v>
      </c>
      <c r="E39" s="246">
        <f>IFERROR(INDEX('FY29 Covenant Compliance (TEV)'!F:F,MATCH(M39,'FY29 Covenant Compliance (TEV)'!A:A,0)),"-")</f>
        <v>1.0922542136437401</v>
      </c>
      <c r="F39" s="247">
        <f t="shared" si="0"/>
        <v>0.90774578635625991</v>
      </c>
      <c r="G39" s="237" t="str">
        <f t="shared" si="1"/>
        <v>Compliant</v>
      </c>
      <c r="H39" s="248" t="str">
        <f t="shared" si="2"/>
        <v>Low</v>
      </c>
      <c r="I39" s="249" t="s">
        <v>261</v>
      </c>
      <c r="J39" s="250" t="s">
        <v>197</v>
      </c>
      <c r="K39" s="251" t="s">
        <v>198</v>
      </c>
      <c r="L39" s="250" t="s">
        <v>199</v>
      </c>
      <c r="M39">
        <v>40</v>
      </c>
    </row>
    <row r="40" spans="1:13" ht="31.5" customHeight="1" x14ac:dyDescent="0.3">
      <c r="A40" s="252"/>
      <c r="B40" s="253" t="s">
        <v>162</v>
      </c>
      <c r="C40" s="254" t="s">
        <v>140</v>
      </c>
      <c r="D40" s="235">
        <v>4.25</v>
      </c>
      <c r="E40" s="235">
        <f>IFERROR(INDEX('FY29 Covenant Compliance (TEV)'!F:F,MATCH(M40,'FY29 Covenant Compliance (TEV)'!A:A,0)),"-")</f>
        <v>2.8147718726497901</v>
      </c>
      <c r="F40" s="236">
        <f t="shared" si="0"/>
        <v>1.4352281273502099</v>
      </c>
      <c r="G40" s="237" t="str">
        <f t="shared" si="1"/>
        <v>Compliant</v>
      </c>
      <c r="H40" s="238" t="str">
        <f t="shared" si="2"/>
        <v>Low</v>
      </c>
      <c r="I40" s="239" t="s">
        <v>262</v>
      </c>
      <c r="J40" s="240" t="s">
        <v>197</v>
      </c>
      <c r="K40" s="255" t="s">
        <v>198</v>
      </c>
      <c r="L40" s="240" t="s">
        <v>199</v>
      </c>
      <c r="M40">
        <v>41</v>
      </c>
    </row>
    <row r="41" spans="1:13" ht="31.5" customHeight="1" x14ac:dyDescent="0.3">
      <c r="A41" s="232" t="s">
        <v>175</v>
      </c>
      <c r="B41" s="232" t="s">
        <v>263</v>
      </c>
      <c r="C41" s="233" t="s">
        <v>140</v>
      </c>
      <c r="D41" s="234">
        <v>0.4</v>
      </c>
      <c r="E41" s="273">
        <f>IFERROR(INDEX('FY29 Covenant Compliance (TEV)'!F:F,MATCH(M41,'FY29 Covenant Compliance (TEV)'!A:A,0)),"-")</f>
        <v>0.1241</v>
      </c>
      <c r="F41" s="274">
        <f t="shared" si="0"/>
        <v>0.27590000000000003</v>
      </c>
      <c r="G41" s="237" t="str">
        <f t="shared" si="1"/>
        <v>Compliant</v>
      </c>
      <c r="H41" s="248" t="str">
        <f t="shared" si="2"/>
        <v>Low</v>
      </c>
      <c r="I41" s="249" t="s">
        <v>264</v>
      </c>
      <c r="J41" s="250" t="s">
        <v>197</v>
      </c>
      <c r="K41" s="241" t="s">
        <v>229</v>
      </c>
      <c r="L41" s="242" t="s">
        <v>230</v>
      </c>
      <c r="M41">
        <v>43</v>
      </c>
    </row>
    <row r="42" spans="1:13" ht="31.5" customHeight="1" x14ac:dyDescent="0.3">
      <c r="A42" s="232" t="s">
        <v>80</v>
      </c>
      <c r="B42" s="232" t="s">
        <v>162</v>
      </c>
      <c r="C42" s="233" t="s">
        <v>140</v>
      </c>
      <c r="D42" s="234">
        <v>4.25</v>
      </c>
      <c r="E42" s="235">
        <f>IFERROR(INDEX('FY29 Covenant Compliance (TEV)'!F:F,MATCH(M42,'FY29 Covenant Compliance (TEV)'!A:A,0)),"-")</f>
        <v>2.8147718726497901</v>
      </c>
      <c r="F42" s="236">
        <f t="shared" si="0"/>
        <v>1.4352281273502099</v>
      </c>
      <c r="G42" s="237" t="str">
        <f t="shared" si="1"/>
        <v>Compliant</v>
      </c>
      <c r="H42" s="238" t="str">
        <f t="shared" si="2"/>
        <v>Low</v>
      </c>
      <c r="I42" s="239" t="s">
        <v>265</v>
      </c>
      <c r="J42" s="240" t="s">
        <v>197</v>
      </c>
      <c r="K42" s="241" t="s">
        <v>198</v>
      </c>
      <c r="L42" s="242" t="s">
        <v>199</v>
      </c>
      <c r="M42">
        <v>45</v>
      </c>
    </row>
    <row r="43" spans="1:13" ht="31.5" customHeight="1" x14ac:dyDescent="0.3">
      <c r="A43" s="243"/>
      <c r="B43" s="244" t="s">
        <v>162</v>
      </c>
      <c r="C43" s="245" t="s">
        <v>140</v>
      </c>
      <c r="D43" s="246">
        <v>4.25</v>
      </c>
      <c r="E43" s="246">
        <f>IFERROR(INDEX('FY29 Covenant Compliance (TEV)'!F:F,MATCH(M43,'FY29 Covenant Compliance (TEV)'!A:A,0)),"-")</f>
        <v>2.8147718726497901</v>
      </c>
      <c r="F43" s="247">
        <f t="shared" si="0"/>
        <v>1.4352281273502099</v>
      </c>
      <c r="G43" s="237" t="str">
        <f t="shared" si="1"/>
        <v>Compliant</v>
      </c>
      <c r="H43" s="248" t="str">
        <f t="shared" si="2"/>
        <v>Low</v>
      </c>
      <c r="I43" s="249" t="s">
        <v>266</v>
      </c>
      <c r="J43" s="250" t="s">
        <v>197</v>
      </c>
      <c r="K43" s="251" t="s">
        <v>198</v>
      </c>
      <c r="L43" s="250" t="s">
        <v>199</v>
      </c>
      <c r="M43">
        <v>46</v>
      </c>
    </row>
    <row r="44" spans="1:13" ht="31.5" customHeight="1" x14ac:dyDescent="0.3">
      <c r="A44" s="232" t="s">
        <v>78</v>
      </c>
      <c r="B44" s="275" t="s">
        <v>267</v>
      </c>
      <c r="C44" s="276" t="s">
        <v>131</v>
      </c>
      <c r="D44" s="277">
        <v>1.2</v>
      </c>
      <c r="E44" s="278">
        <f>IFERROR(INDEX('FY29 Covenant Compliance (TEV)'!F:F,MATCH(M44,'FY29 Covenant Compliance (TEV)'!A:A,0)),"-")</f>
        <v>1.5100186344507001</v>
      </c>
      <c r="F44" s="279">
        <f t="shared" si="0"/>
        <v>0.3100186344507001</v>
      </c>
      <c r="G44" s="280" t="str">
        <f t="shared" si="1"/>
        <v>Compliant</v>
      </c>
      <c r="H44" s="281" t="str">
        <f t="shared" si="2"/>
        <v>Low</v>
      </c>
      <c r="I44" s="282" t="s">
        <v>268</v>
      </c>
      <c r="J44" s="281" t="s">
        <v>210</v>
      </c>
      <c r="K44" s="283" t="s">
        <v>198</v>
      </c>
      <c r="L44" s="284" t="s">
        <v>211</v>
      </c>
      <c r="M44">
        <v>47</v>
      </c>
    </row>
    <row r="45" spans="1:13" ht="31.5" customHeight="1" x14ac:dyDescent="0.3">
      <c r="A45" s="285" t="s">
        <v>78</v>
      </c>
      <c r="B45" s="275" t="s">
        <v>269</v>
      </c>
      <c r="C45" s="276" t="s">
        <v>131</v>
      </c>
      <c r="D45" s="277">
        <v>2</v>
      </c>
      <c r="E45" s="286">
        <f>IFERROR(INDEX('FY29 Covenant Compliance (TEV)'!F:F,MATCH(M45,'FY29 Covenant Compliance (TEV)'!A:A,0)),"-")</f>
        <v>3.6548827975872298</v>
      </c>
      <c r="F45" s="287">
        <f t="shared" si="0"/>
        <v>1.6548827975872298</v>
      </c>
      <c r="G45" s="280" t="str">
        <f t="shared" si="1"/>
        <v>Compliant</v>
      </c>
      <c r="H45" s="288" t="str">
        <f t="shared" si="2"/>
        <v>Low</v>
      </c>
      <c r="I45" s="289" t="s">
        <v>270</v>
      </c>
      <c r="J45" s="288" t="s">
        <v>210</v>
      </c>
      <c r="K45" s="283" t="s">
        <v>198</v>
      </c>
      <c r="L45" s="284" t="s">
        <v>211</v>
      </c>
      <c r="M45">
        <v>48</v>
      </c>
    </row>
    <row r="46" spans="1:13" ht="31.5" customHeight="1" x14ac:dyDescent="0.3">
      <c r="A46" s="252"/>
      <c r="B46" s="290" t="s">
        <v>271</v>
      </c>
      <c r="C46" s="291" t="s">
        <v>140</v>
      </c>
      <c r="D46" s="278">
        <v>4</v>
      </c>
      <c r="E46" s="278">
        <f>IFERROR(INDEX('FY29 Covenant Compliance (TEV)'!F:F,MATCH(M46,'FY29 Covenant Compliance (TEV)'!A:A,0)),"-")</f>
        <v>2.4944117155511001</v>
      </c>
      <c r="F46" s="279">
        <f t="shared" si="0"/>
        <v>1.5055882844488999</v>
      </c>
      <c r="G46" s="280" t="str">
        <f t="shared" si="1"/>
        <v>Compliant</v>
      </c>
      <c r="H46" s="281" t="str">
        <f t="shared" si="2"/>
        <v>Low</v>
      </c>
      <c r="I46" s="282" t="s">
        <v>272</v>
      </c>
      <c r="J46" s="281" t="s">
        <v>210</v>
      </c>
      <c r="K46" s="292" t="s">
        <v>198</v>
      </c>
      <c r="L46" s="281" t="s">
        <v>211</v>
      </c>
      <c r="M46">
        <v>49</v>
      </c>
    </row>
    <row r="47" spans="1:13" ht="31.5" customHeight="1" x14ac:dyDescent="0.3">
      <c r="A47" s="244"/>
      <c r="B47" s="293" t="s">
        <v>273</v>
      </c>
      <c r="C47" s="294" t="s">
        <v>140</v>
      </c>
      <c r="D47" s="286">
        <v>2</v>
      </c>
      <c r="E47" s="286">
        <f>IFERROR(INDEX('FY29 Covenant Compliance (TEV)'!F:F,MATCH(M47,'FY29 Covenant Compliance (TEV)'!A:A,0)),"-")</f>
        <v>1.0922542136437401</v>
      </c>
      <c r="F47" s="287">
        <f t="shared" si="0"/>
        <v>0.90774578635625991</v>
      </c>
      <c r="G47" s="280" t="str">
        <f t="shared" si="1"/>
        <v>Compliant</v>
      </c>
      <c r="H47" s="288" t="str">
        <f t="shared" si="2"/>
        <v>Low</v>
      </c>
      <c r="I47" s="295" t="s">
        <v>274</v>
      </c>
      <c r="J47" s="288" t="s">
        <v>210</v>
      </c>
      <c r="K47" s="296" t="s">
        <v>198</v>
      </c>
      <c r="L47" s="288" t="s">
        <v>211</v>
      </c>
      <c r="M47">
        <v>50</v>
      </c>
    </row>
    <row r="48" spans="1:13" ht="6" customHeight="1" x14ac:dyDescent="0.3">
      <c r="A48" s="297"/>
      <c r="B48" s="189"/>
      <c r="C48" s="189"/>
      <c r="D48" s="189"/>
      <c r="E48" s="189"/>
      <c r="F48" s="189"/>
      <c r="G48" s="189"/>
      <c r="H48" s="189"/>
      <c r="I48" s="298"/>
      <c r="J48" s="189"/>
      <c r="K48" s="189"/>
      <c r="L48" s="189"/>
    </row>
    <row r="49" spans="1:12" ht="24" customHeight="1" x14ac:dyDescent="0.3">
      <c r="A49" s="15" t="s">
        <v>275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</row>
    <row r="50" spans="1:12" ht="19.5" customHeight="1" x14ac:dyDescent="0.3">
      <c r="A50" s="299" t="s">
        <v>109</v>
      </c>
      <c r="B50" s="299" t="s">
        <v>110</v>
      </c>
      <c r="C50" s="299" t="s">
        <v>183</v>
      </c>
    </row>
    <row r="51" spans="1:12" ht="19.5" customHeight="1" x14ac:dyDescent="0.3">
      <c r="A51" s="300" t="s">
        <v>276</v>
      </c>
      <c r="B51" s="301">
        <f>COUNTA(B4:B47)</f>
        <v>44</v>
      </c>
      <c r="C51" s="301" t="s">
        <v>277</v>
      </c>
    </row>
    <row r="52" spans="1:12" ht="19.5" customHeight="1" x14ac:dyDescent="0.3">
      <c r="A52" s="188" t="s">
        <v>278</v>
      </c>
      <c r="B52" s="27">
        <f>COUNTIF(G4:G47,"Compliant")</f>
        <v>43</v>
      </c>
      <c r="C52" s="302">
        <f>IFERROR(B52/B51,"-")</f>
        <v>0.97727272727272729</v>
      </c>
    </row>
    <row r="53" spans="1:12" ht="19.5" customHeight="1" x14ac:dyDescent="0.3">
      <c r="A53" s="303" t="s">
        <v>279</v>
      </c>
      <c r="B53" s="304">
        <f>COUNTIF(G4:G47,"Near Breach")</f>
        <v>1</v>
      </c>
      <c r="C53" s="305">
        <f>IFERROR(B53/B51,"-")</f>
        <v>2.2727272727272728E-2</v>
      </c>
    </row>
    <row r="54" spans="1:12" ht="19.5" customHeight="1" x14ac:dyDescent="0.3">
      <c r="A54" s="28" t="s">
        <v>280</v>
      </c>
      <c r="B54" s="306">
        <f>COUNTIF(G4:G47,"Breached")</f>
        <v>0</v>
      </c>
      <c r="C54" s="307">
        <f>IFERROR(B54/B51,"-")</f>
        <v>0</v>
      </c>
    </row>
    <row r="55" spans="1:12" ht="19.5" customHeight="1" x14ac:dyDescent="0.3">
      <c r="A55" s="308" t="s">
        <v>281</v>
      </c>
      <c r="B55" s="309">
        <f>COUNTIF(G4:G47,"Pending Input")</f>
        <v>0</v>
      </c>
      <c r="C55" s="310">
        <f>IFERROR(B55/B51,"-")</f>
        <v>0</v>
      </c>
    </row>
    <row r="56" spans="1:12" ht="19.5" customHeight="1" x14ac:dyDescent="0.3">
      <c r="A56" s="311" t="s">
        <v>282</v>
      </c>
      <c r="B56" s="312">
        <f>COUNTIF(G4:G47,"Not Yet Due")</f>
        <v>0</v>
      </c>
      <c r="C56" s="313">
        <f>IFERROR(B56/B51,"-")</f>
        <v>0</v>
      </c>
    </row>
    <row r="57" spans="1:12" ht="19.5" customHeight="1" x14ac:dyDescent="0.3">
      <c r="A57" s="314" t="s">
        <v>283</v>
      </c>
      <c r="B57" s="315">
        <f>IFERROR(B52/(B52+B53+B54),0)</f>
        <v>0.97727272727272729</v>
      </c>
      <c r="C57" s="316"/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  <pageSetUpPr fitToPage="1"/>
  </sheetPr>
  <dimension ref="A1:L100"/>
  <sheetViews>
    <sheetView showGridLines="0" zoomScaleNormal="100" workbookViewId="0">
      <pane xSplit="1" ySplit="2" topLeftCell="B34" activePane="bottomRight" state="frozen"/>
      <selection pane="topRight" activeCell="B1" sqref="B1"/>
      <selection pane="bottomLeft" activeCell="A5" sqref="A5"/>
      <selection pane="bottomRight" activeCell="F50" sqref="F50"/>
    </sheetView>
  </sheetViews>
  <sheetFormatPr defaultColWidth="8.6640625" defaultRowHeight="14.4" x14ac:dyDescent="0.3"/>
  <cols>
    <col min="1" max="1" width="31.44140625" customWidth="1"/>
    <col min="2" max="2" width="20.33203125" customWidth="1"/>
    <col min="3" max="3" width="46.33203125" customWidth="1"/>
    <col min="4" max="4" width="16.6640625" customWidth="1"/>
    <col min="5" max="5" width="13" customWidth="1"/>
    <col min="6" max="6" width="13.88671875" customWidth="1"/>
    <col min="7" max="7" width="20.33203125" customWidth="1"/>
    <col min="8" max="12" width="5.5546875" customWidth="1"/>
  </cols>
  <sheetData>
    <row r="1" spans="1:12" ht="30" customHeight="1" x14ac:dyDescent="0.35">
      <c r="A1" s="14" t="s">
        <v>284</v>
      </c>
      <c r="B1" s="14"/>
      <c r="C1" s="14"/>
      <c r="D1" s="14"/>
      <c r="E1" s="14"/>
      <c r="F1" s="14"/>
      <c r="G1" s="14"/>
      <c r="H1" s="317"/>
      <c r="I1" s="317"/>
      <c r="J1" s="317"/>
      <c r="K1" s="317"/>
      <c r="L1" s="317"/>
    </row>
    <row r="2" spans="1:12" ht="15.75" customHeight="1" x14ac:dyDescent="0.3">
      <c r="A2" s="13" t="s">
        <v>285</v>
      </c>
      <c r="B2" s="13"/>
      <c r="C2" s="13"/>
      <c r="D2" s="13"/>
      <c r="E2" s="13"/>
      <c r="F2" s="13"/>
      <c r="G2" s="13"/>
      <c r="H2" s="318"/>
      <c r="I2" s="318"/>
      <c r="J2" s="318"/>
      <c r="K2" s="318"/>
      <c r="L2" s="318"/>
    </row>
    <row r="3" spans="1:12" ht="7.5" customHeight="1" x14ac:dyDescent="0.3">
      <c r="A3" s="319"/>
      <c r="B3" s="319"/>
      <c r="C3" s="319"/>
      <c r="D3" s="319"/>
      <c r="E3" s="319"/>
      <c r="F3" s="319"/>
      <c r="G3" s="319"/>
      <c r="H3" s="320"/>
      <c r="I3" s="320"/>
      <c r="J3" s="320"/>
      <c r="K3" s="320"/>
      <c r="L3" s="320"/>
    </row>
    <row r="4" spans="1:12" ht="24" customHeight="1" x14ac:dyDescent="0.3">
      <c r="A4" s="899" t="s">
        <v>286</v>
      </c>
      <c r="B4" s="899"/>
      <c r="C4" s="899"/>
      <c r="D4" s="899"/>
      <c r="E4" s="899"/>
      <c r="F4" s="899"/>
      <c r="G4" s="899"/>
      <c r="H4" s="22"/>
      <c r="I4" s="22"/>
      <c r="J4" s="22"/>
      <c r="K4" s="22"/>
      <c r="L4" s="22"/>
    </row>
    <row r="5" spans="1:12" ht="21.75" customHeight="1" x14ac:dyDescent="0.3">
      <c r="A5" s="321" t="s">
        <v>72</v>
      </c>
      <c r="B5" s="322" t="s">
        <v>287</v>
      </c>
      <c r="C5" s="322" t="s">
        <v>288</v>
      </c>
      <c r="D5" s="322" t="s">
        <v>73</v>
      </c>
      <c r="E5" s="322" t="s">
        <v>289</v>
      </c>
      <c r="F5" s="322" t="s">
        <v>290</v>
      </c>
      <c r="G5" s="322" t="s">
        <v>76</v>
      </c>
      <c r="H5" s="320"/>
      <c r="I5" s="320"/>
      <c r="J5" s="320"/>
      <c r="K5" s="320"/>
      <c r="L5" s="320"/>
    </row>
    <row r="6" spans="1:12" ht="19.5" customHeight="1" x14ac:dyDescent="0.3">
      <c r="A6" s="323" t="s">
        <v>77</v>
      </c>
      <c r="B6" s="324">
        <f>SUMIFS('Facility Master'!$K:$K, 'Facility Master'!$B:$B, $A6, 'Facility Master'!$H:$H, 1)</f>
        <v>1361</v>
      </c>
      <c r="C6" s="324">
        <f>SUMIFS('Facility Master'!$K:$K, 'Facility Master'!$B:$B, $A6, 'Facility Master'!$H:$H, 2)</f>
        <v>0</v>
      </c>
      <c r="D6" s="324">
        <f t="shared" ref="D6:D14" si="0">B6+C6</f>
        <v>1361</v>
      </c>
      <c r="E6" s="325">
        <f t="shared" ref="E6:E14" si="1">D6/D$15</f>
        <v>0.29168452636090869</v>
      </c>
      <c r="F6" s="326">
        <f>COUNTIFS('Facility Master'!$B:$B, $A6, 'Facility Master'!$H:$H, "&gt;=1", 'Facility Master'!$H:$H, "&lt;=2")</f>
        <v>2</v>
      </c>
      <c r="G6" s="324">
        <f>SUMIFS('Facility Master'!$K:$K, 'Facility Master'!$B:$B, $A6, 'Facility Master'!$H:$H, 2) + SUMIFS('Facility Master'!$K:$K, 'Facility Master'!$B:$B, $A6, 'Facility Master'!$AG:$AG, TRUE())</f>
        <v>750</v>
      </c>
      <c r="H6" s="327"/>
      <c r="I6" s="327"/>
      <c r="J6" s="327"/>
      <c r="K6" s="327"/>
      <c r="L6" s="327"/>
    </row>
    <row r="7" spans="1:12" ht="19.5" customHeight="1" x14ac:dyDescent="0.3">
      <c r="A7" s="328" t="s">
        <v>78</v>
      </c>
      <c r="B7" s="324">
        <f>SUMIFS('Facility Master'!$K:$K, 'Facility Master'!$B:$B, $A7, 'Facility Master'!$H:$H, 1)</f>
        <v>235</v>
      </c>
      <c r="C7" s="324">
        <f>SUMIFS('Facility Master'!$K:$K, 'Facility Master'!$B:$B, $A7, 'Facility Master'!$H:$H, 2)</f>
        <v>0</v>
      </c>
      <c r="D7" s="324">
        <f t="shared" si="0"/>
        <v>235</v>
      </c>
      <c r="E7" s="325">
        <f t="shared" si="1"/>
        <v>5.0364337762537507E-2</v>
      </c>
      <c r="F7" s="326">
        <f>COUNTIFS('Facility Master'!$B:$B, $A7, 'Facility Master'!$H:$H, "&gt;=1", 'Facility Master'!$H:$H, "&lt;=2")</f>
        <v>1</v>
      </c>
      <c r="G7" s="324">
        <f>SUMIFS('Facility Master'!$K:$K, 'Facility Master'!$B:$B, $A7, 'Facility Master'!$H:$H, 2) + SUMIFS('Facility Master'!$K:$K, 'Facility Master'!$B:$B, $A7, 'Facility Master'!$AG:$AG, TRUE())</f>
        <v>0</v>
      </c>
      <c r="H7" s="329"/>
      <c r="I7" s="329"/>
      <c r="J7" s="329"/>
      <c r="K7" s="329"/>
      <c r="L7" s="329"/>
    </row>
    <row r="8" spans="1:12" ht="19.5" customHeight="1" x14ac:dyDescent="0.3">
      <c r="A8" s="323" t="s">
        <v>79</v>
      </c>
      <c r="B8" s="324">
        <f>SUMIFS('Facility Master'!$K:$K, 'Facility Master'!$B:$B, $A8, 'Facility Master'!$H:$H, 1)</f>
        <v>200</v>
      </c>
      <c r="C8" s="324">
        <f>SUMIFS('Facility Master'!$K:$K, 'Facility Master'!$B:$B, $A8, 'Facility Master'!$H:$H, 2)</f>
        <v>0</v>
      </c>
      <c r="D8" s="324">
        <f t="shared" si="0"/>
        <v>200</v>
      </c>
      <c r="E8" s="325">
        <f t="shared" si="1"/>
        <v>4.2863266180882986E-2</v>
      </c>
      <c r="F8" s="326">
        <f>COUNTIFS('Facility Master'!$B:$B, $A8, 'Facility Master'!$H:$H, "&gt;=1", 'Facility Master'!$H:$H, "&lt;=2")</f>
        <v>1</v>
      </c>
      <c r="G8" s="324">
        <f>SUMIFS('Facility Master'!$K:$K, 'Facility Master'!$B:$B, $A8, 'Facility Master'!$H:$H, 2) + SUMIFS('Facility Master'!$K:$K, 'Facility Master'!$B:$B, $A8, 'Facility Master'!$AG:$AG, TRUE())</f>
        <v>200</v>
      </c>
      <c r="H8" s="327"/>
      <c r="I8" s="327"/>
      <c r="J8" s="327"/>
      <c r="K8" s="327"/>
      <c r="L8" s="327"/>
    </row>
    <row r="9" spans="1:12" ht="19.5" customHeight="1" x14ac:dyDescent="0.3">
      <c r="A9" s="328" t="s">
        <v>80</v>
      </c>
      <c r="B9" s="324">
        <f>SUMIFS('Facility Master'!$K:$K, 'Facility Master'!$B:$B, $A9, 'Facility Master'!$H:$H, 1)</f>
        <v>650</v>
      </c>
      <c r="C9" s="324">
        <f>SUMIFS('Facility Master'!$K:$K, 'Facility Master'!$B:$B, $A9, 'Facility Master'!$H:$H, 2)</f>
        <v>0</v>
      </c>
      <c r="D9" s="324">
        <f t="shared" si="0"/>
        <v>650</v>
      </c>
      <c r="E9" s="325">
        <f t="shared" si="1"/>
        <v>0.13930561508786971</v>
      </c>
      <c r="F9" s="326">
        <f>COUNTIFS('Facility Master'!$B:$B, $A9, 'Facility Master'!$H:$H, "&gt;=1", 'Facility Master'!$H:$H, "&lt;=2")</f>
        <v>1</v>
      </c>
      <c r="G9" s="324">
        <f>SUMIFS('Facility Master'!$K:$K, 'Facility Master'!$B:$B, $A9, 'Facility Master'!$H:$H, 2) + SUMIFS('Facility Master'!$K:$K, 'Facility Master'!$B:$B, $A9, 'Facility Master'!$AG:$AG, TRUE())</f>
        <v>100</v>
      </c>
      <c r="H9" s="329"/>
      <c r="I9" s="329"/>
      <c r="J9" s="329"/>
      <c r="K9" s="329"/>
      <c r="L9" s="329"/>
    </row>
    <row r="10" spans="1:12" ht="19.5" customHeight="1" x14ac:dyDescent="0.3">
      <c r="A10" s="323" t="s">
        <v>81</v>
      </c>
      <c r="B10" s="324">
        <f>SUMIFS('Facility Master'!$K:$K, 'Facility Master'!$B:$B, $A10, 'Facility Master'!$H:$H, 1)</f>
        <v>530</v>
      </c>
      <c r="C10" s="324">
        <f>SUMIFS('Facility Master'!$K:$K, 'Facility Master'!$B:$B, $A10, 'Facility Master'!$H:$H, 2)</f>
        <v>0</v>
      </c>
      <c r="D10" s="324">
        <f t="shared" si="0"/>
        <v>530</v>
      </c>
      <c r="E10" s="325">
        <f t="shared" si="1"/>
        <v>0.1135876553793399</v>
      </c>
      <c r="F10" s="326">
        <f>COUNTIFS('Facility Master'!$B:$B, $A10, 'Facility Master'!$H:$H, "&gt;=1", 'Facility Master'!$H:$H, "&lt;=2")</f>
        <v>1</v>
      </c>
      <c r="G10" s="324">
        <f>SUMIFS('Facility Master'!$K:$K, 'Facility Master'!$B:$B, $A10, 'Facility Master'!$H:$H, 2) + SUMIFS('Facility Master'!$K:$K, 'Facility Master'!$B:$B, $A10, 'Facility Master'!$AG:$AG, TRUE())</f>
        <v>400</v>
      </c>
      <c r="H10" s="327"/>
      <c r="I10" s="327"/>
      <c r="J10" s="327"/>
      <c r="K10" s="327"/>
      <c r="L10" s="327"/>
    </row>
    <row r="11" spans="1:12" ht="19.5" customHeight="1" x14ac:dyDescent="0.3">
      <c r="A11" s="328" t="s">
        <v>245</v>
      </c>
      <c r="B11" s="324">
        <f>SUMIFS('Facility Master'!$K:$K, 'Facility Master'!$B:$B, $A11, 'Facility Master'!$H:$H, 1)</f>
        <v>100</v>
      </c>
      <c r="C11" s="324">
        <f>SUMIFS('Facility Master'!$K:$K, 'Facility Master'!$B:$B, $A11, 'Facility Master'!$H:$H, 2)</f>
        <v>300</v>
      </c>
      <c r="D11" s="324">
        <f t="shared" si="0"/>
        <v>400</v>
      </c>
      <c r="E11" s="325">
        <f t="shared" si="1"/>
        <v>8.5726532361765972E-2</v>
      </c>
      <c r="F11" s="326">
        <f>COUNTIFS('Facility Master'!$B:$B, $A11, 'Facility Master'!$H:$H, "&gt;=1", 'Facility Master'!$H:$H, "&lt;=2")</f>
        <v>2</v>
      </c>
      <c r="G11" s="324">
        <f>SUMIFS('Facility Master'!$K:$K, 'Facility Master'!$B:$B, $A11, 'Facility Master'!$H:$H, 2) + SUMIFS('Facility Master'!$K:$K, 'Facility Master'!$B:$B, $A11, 'Facility Master'!$AG:$AG, TRUE())</f>
        <v>300</v>
      </c>
      <c r="H11" s="329"/>
      <c r="I11" s="329"/>
      <c r="J11" s="329"/>
      <c r="K11" s="329"/>
      <c r="L11" s="329"/>
    </row>
    <row r="12" spans="1:12" ht="19.5" customHeight="1" x14ac:dyDescent="0.3">
      <c r="A12" s="330" t="s">
        <v>175</v>
      </c>
      <c r="B12" s="324">
        <f>SUMIFS('Facility Master'!$K:$K, 'Facility Master'!$B:$B, $A12, 'Facility Master'!$H:$H, 1)</f>
        <v>200</v>
      </c>
      <c r="C12" s="324">
        <f>SUMIFS('Facility Master'!$K:$K, 'Facility Master'!$B:$B, $A12, 'Facility Master'!$H:$H, 2)</f>
        <v>0</v>
      </c>
      <c r="D12" s="324">
        <f t="shared" si="0"/>
        <v>200</v>
      </c>
      <c r="E12" s="325">
        <f t="shared" si="1"/>
        <v>4.2863266180882986E-2</v>
      </c>
      <c r="F12" s="326">
        <f>COUNTIFS('Facility Master'!$B:$B, $A12, 'Facility Master'!$H:$H, "&gt;=1", 'Facility Master'!$H:$H, "&lt;=2")</f>
        <v>1</v>
      </c>
      <c r="G12" s="324">
        <f>SUMIFS('Facility Master'!$K:$K, 'Facility Master'!$B:$B, $A12, 'Facility Master'!$H:$H, 2) + SUMIFS('Facility Master'!$K:$K, 'Facility Master'!$B:$B, $A12, 'Facility Master'!$AG:$AG, TRUE())</f>
        <v>0</v>
      </c>
      <c r="H12" s="327"/>
      <c r="I12" s="327"/>
      <c r="J12" s="327"/>
      <c r="K12" s="327"/>
      <c r="L12" s="327"/>
    </row>
    <row r="13" spans="1:12" ht="19.5" customHeight="1" x14ac:dyDescent="0.3">
      <c r="A13" s="328" t="s">
        <v>84</v>
      </c>
      <c r="B13" s="324">
        <f>SUMIFS('Facility Master'!$K:$K, 'Facility Master'!$B:$B, $A13, 'Facility Master'!$H:$H, 1)</f>
        <v>0</v>
      </c>
      <c r="C13" s="324">
        <f>SUMIFS('Facility Master'!$K:$K, 'Facility Master'!$B:$B, $A13, 'Facility Master'!$H:$H, 2)</f>
        <v>250</v>
      </c>
      <c r="D13" s="324">
        <f t="shared" si="0"/>
        <v>250</v>
      </c>
      <c r="E13" s="325">
        <f t="shared" si="1"/>
        <v>5.3579082726103726E-2</v>
      </c>
      <c r="F13" s="326">
        <f>COUNTIFS('Facility Master'!$B:$B, $A13, 'Facility Master'!$H:$H, "&gt;=1", 'Facility Master'!$H:$H, "&lt;=2")</f>
        <v>1</v>
      </c>
      <c r="G13" s="324">
        <f>SUMIFS('Facility Master'!$K:$K, 'Facility Master'!$B:$B, $A13, 'Facility Master'!$H:$H, 2) + SUMIFS('Facility Master'!$K:$K, 'Facility Master'!$B:$B, $A13, 'Facility Master'!$AG:$AG, TRUE())</f>
        <v>250</v>
      </c>
      <c r="H13" s="329"/>
      <c r="I13" s="329"/>
      <c r="J13" s="329"/>
      <c r="K13" s="329"/>
      <c r="L13" s="329"/>
    </row>
    <row r="14" spans="1:12" ht="19.5" customHeight="1" x14ac:dyDescent="0.3">
      <c r="A14" s="331" t="s">
        <v>85</v>
      </c>
      <c r="B14" s="324">
        <f>SUMIFS('Facility Master'!$K:$K, 'Facility Master'!$B:$B, $A14, 'Facility Master'!$H:$H, 1)</f>
        <v>840</v>
      </c>
      <c r="C14" s="324">
        <f>SUMIFS('Facility Master'!$K:$K, 'Facility Master'!$B:$B, $A14, 'Facility Master'!$H:$H, 2)</f>
        <v>0</v>
      </c>
      <c r="D14" s="324">
        <f t="shared" si="0"/>
        <v>840</v>
      </c>
      <c r="E14" s="325">
        <f t="shared" si="1"/>
        <v>0.18002571795970854</v>
      </c>
      <c r="F14" s="326">
        <f>COUNTIFS('Facility Master'!$B:$B, $A14, 'Facility Master'!$H:$H, "&gt;=1", 'Facility Master'!$H:$H, "&lt;=2")</f>
        <v>1</v>
      </c>
      <c r="G14" s="324">
        <f>SUMIFS('Facility Master'!$K:$K, 'Facility Master'!$B:$B, $A14, 'Facility Master'!$H:$H, 2) + SUMIFS('Facility Master'!$K:$K, 'Facility Master'!$B:$B, $A14, 'Facility Master'!$AG:$AG, TRUE())</f>
        <v>40</v>
      </c>
      <c r="H14" s="327"/>
      <c r="I14" s="327"/>
      <c r="J14" s="327"/>
      <c r="K14" s="327"/>
      <c r="L14" s="327"/>
    </row>
    <row r="15" spans="1:12" ht="21.75" customHeight="1" x14ac:dyDescent="0.3">
      <c r="A15" s="332" t="s">
        <v>86</v>
      </c>
      <c r="B15" s="333">
        <f>SUM(B6:B14)</f>
        <v>4116</v>
      </c>
      <c r="C15" s="333">
        <f>SUM(C6:C14)</f>
        <v>550</v>
      </c>
      <c r="D15" s="333">
        <f>SUM(D6:D14)</f>
        <v>4666</v>
      </c>
      <c r="E15" s="334">
        <v>1</v>
      </c>
      <c r="F15" s="335">
        <f>SUM(F6:F14)</f>
        <v>11</v>
      </c>
      <c r="G15" s="333">
        <f>SUM(G6:G14)</f>
        <v>2040</v>
      </c>
      <c r="H15" s="336"/>
      <c r="I15" s="336"/>
      <c r="J15" s="336"/>
      <c r="K15" s="336"/>
      <c r="L15" s="336"/>
    </row>
    <row r="16" spans="1:12" ht="15.75" customHeight="1" x14ac:dyDescent="0.3">
      <c r="A16" s="337" t="s">
        <v>291</v>
      </c>
      <c r="B16" s="337"/>
      <c r="C16" s="337"/>
      <c r="D16" s="337"/>
      <c r="E16" s="337"/>
      <c r="F16" s="337"/>
      <c r="G16" s="337"/>
      <c r="H16" s="337"/>
      <c r="I16" s="337"/>
      <c r="J16" s="337"/>
      <c r="K16" s="337"/>
      <c r="L16" s="337"/>
    </row>
    <row r="17" spans="1:12" ht="7.5" customHeight="1" x14ac:dyDescent="0.3">
      <c r="A17" s="320"/>
      <c r="B17" s="320"/>
      <c r="C17" s="320"/>
      <c r="D17" s="320"/>
      <c r="E17" s="320"/>
      <c r="F17" s="320"/>
      <c r="G17" s="320"/>
      <c r="H17" s="320"/>
      <c r="I17" s="320"/>
      <c r="J17" s="320"/>
      <c r="K17" s="320"/>
      <c r="L17" s="320"/>
    </row>
    <row r="18" spans="1:12" ht="24" customHeight="1" x14ac:dyDescent="0.3">
      <c r="A18" s="22" t="s">
        <v>292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spans="1:12" ht="21.75" customHeight="1" x14ac:dyDescent="0.3">
      <c r="A19" s="338" t="s">
        <v>293</v>
      </c>
      <c r="B19" s="339" t="s">
        <v>294</v>
      </c>
      <c r="C19" s="338" t="s">
        <v>295</v>
      </c>
      <c r="D19" s="340"/>
      <c r="E19" s="340"/>
      <c r="F19" s="340"/>
      <c r="G19" s="340"/>
      <c r="H19" s="340"/>
      <c r="I19" s="340"/>
      <c r="J19" s="340"/>
      <c r="K19" s="340"/>
      <c r="L19" s="340"/>
    </row>
    <row r="20" spans="1:12" ht="19.5" customHeight="1" x14ac:dyDescent="0.3">
      <c r="A20" s="341" t="s">
        <v>296</v>
      </c>
      <c r="B20" s="342">
        <f>SUMIFS('Facility Master'!K:K,'Facility Master'!H:H,1)+SUMIFS('Facility Master'!K:K,'Facility Master'!H:H,2)</f>
        <v>4666</v>
      </c>
      <c r="C20" s="343" t="s">
        <v>297</v>
      </c>
      <c r="D20" s="327"/>
      <c r="E20" s="327"/>
      <c r="F20" s="327"/>
      <c r="G20" s="327"/>
      <c r="H20" s="327"/>
      <c r="I20" s="327"/>
      <c r="J20" s="327"/>
      <c r="K20" s="327"/>
      <c r="L20" s="327"/>
    </row>
    <row r="21" spans="1:12" ht="19.5" customHeight="1" x14ac:dyDescent="0.3">
      <c r="A21" s="344" t="s">
        <v>298</v>
      </c>
      <c r="B21" s="345">
        <f>SUMIFS('Facility Master'!K:K,'Facility Master'!H:H,1)</f>
        <v>4116</v>
      </c>
      <c r="C21" s="346" t="s">
        <v>299</v>
      </c>
      <c r="D21" s="329"/>
      <c r="E21" s="329"/>
      <c r="F21" s="329"/>
      <c r="G21" s="329"/>
      <c r="H21" s="329"/>
      <c r="I21" s="329"/>
      <c r="J21" s="329"/>
      <c r="K21" s="329"/>
      <c r="L21" s="329"/>
    </row>
    <row r="22" spans="1:12" ht="19.5" customHeight="1" x14ac:dyDescent="0.3">
      <c r="A22" s="341" t="s">
        <v>300</v>
      </c>
      <c r="B22" s="342">
        <f>SUMIFS('Facility Master'!K:K,'Facility Master'!H:H,2)</f>
        <v>550</v>
      </c>
      <c r="C22" s="343" t="s">
        <v>301</v>
      </c>
      <c r="D22" s="327"/>
      <c r="E22" s="327"/>
      <c r="F22" s="327"/>
      <c r="G22" s="327"/>
      <c r="H22" s="327"/>
      <c r="I22" s="327"/>
      <c r="J22" s="327"/>
      <c r="K22" s="327"/>
      <c r="L22" s="327"/>
    </row>
    <row r="23" spans="1:12" ht="19.5" customHeight="1" x14ac:dyDescent="0.3">
      <c r="A23" s="344" t="s">
        <v>302</v>
      </c>
      <c r="B23" s="345">
        <f>SUMIFS('Facility Master'!K:K,'Facility Master'!H:H,2)+SUMIFS('Facility Master'!K:K,'Facility Master'!AG:AG,TRUE())</f>
        <v>2040</v>
      </c>
      <c r="C23" s="346" t="s">
        <v>303</v>
      </c>
      <c r="D23" s="329"/>
      <c r="E23" s="329"/>
      <c r="F23" s="329"/>
      <c r="G23" s="329"/>
      <c r="H23" s="329"/>
      <c r="I23" s="329"/>
      <c r="J23" s="329"/>
      <c r="K23" s="329"/>
      <c r="L23" s="329"/>
    </row>
    <row r="24" spans="1:12" ht="19.5" customHeight="1" x14ac:dyDescent="0.3">
      <c r="A24" s="341" t="s">
        <v>304</v>
      </c>
      <c r="B24" s="342">
        <f>SUMIFS('Facility Master'!K:K,'Facility Master'!H:H,3)</f>
        <v>150</v>
      </c>
      <c r="C24" s="343" t="s">
        <v>305</v>
      </c>
      <c r="D24" s="327"/>
      <c r="E24" s="327"/>
      <c r="F24" s="327"/>
      <c r="G24" s="327"/>
      <c r="H24" s="327"/>
      <c r="I24" s="327"/>
      <c r="J24" s="327"/>
      <c r="K24" s="327"/>
      <c r="L24" s="327"/>
    </row>
    <row r="25" spans="1:12" ht="19.5" customHeight="1" x14ac:dyDescent="0.3">
      <c r="A25" s="344" t="s">
        <v>306</v>
      </c>
      <c r="B25" s="345">
        <f>SUMIFS('Facility Master'!K:K,'Facility Master'!H:H,4)</f>
        <v>0</v>
      </c>
      <c r="C25" s="346" t="s">
        <v>307</v>
      </c>
      <c r="D25" s="329"/>
      <c r="E25" s="329"/>
      <c r="F25" s="329"/>
      <c r="G25" s="329"/>
      <c r="H25" s="329"/>
      <c r="I25" s="329"/>
      <c r="J25" s="329"/>
      <c r="K25" s="329"/>
      <c r="L25" s="329"/>
    </row>
    <row r="26" spans="1:12" ht="19.5" customHeight="1" x14ac:dyDescent="0.3">
      <c r="A26" s="341" t="s">
        <v>308</v>
      </c>
      <c r="B26" s="342">
        <f>SUMIFS('Facility Master'!K:K,'Facility Master'!H:H,"H")</f>
        <v>75</v>
      </c>
      <c r="C26" s="343" t="s">
        <v>309</v>
      </c>
      <c r="D26" s="327"/>
      <c r="E26" s="327"/>
      <c r="F26" s="327"/>
      <c r="G26" s="327"/>
      <c r="H26" s="327"/>
      <c r="I26" s="327"/>
      <c r="J26" s="327"/>
      <c r="K26" s="327"/>
      <c r="L26" s="327"/>
    </row>
    <row r="27" spans="1:12" ht="19.5" customHeight="1" x14ac:dyDescent="0.3">
      <c r="A27" s="347" t="s">
        <v>310</v>
      </c>
      <c r="B27" s="348">
        <f>SUMIFS('Facility Master'!K:K,'Facility Master'!AH:AH,TRUE(),'Facility Master'!H:H,1)</f>
        <v>840</v>
      </c>
      <c r="C27" s="349" t="s">
        <v>311</v>
      </c>
      <c r="D27" s="329"/>
      <c r="E27" s="329"/>
      <c r="F27" s="329"/>
      <c r="G27" s="329"/>
      <c r="H27" s="329"/>
      <c r="I27" s="329"/>
      <c r="J27" s="329"/>
      <c r="K27" s="329"/>
      <c r="L27" s="329"/>
    </row>
    <row r="28" spans="1:12" ht="19.5" customHeight="1" x14ac:dyDescent="0.3">
      <c r="A28" s="350" t="s">
        <v>312</v>
      </c>
      <c r="B28" s="351">
        <f>B20-B27</f>
        <v>3826</v>
      </c>
      <c r="C28" s="352" t="s">
        <v>313</v>
      </c>
      <c r="D28" s="327"/>
      <c r="E28" s="327"/>
      <c r="F28" s="327"/>
      <c r="G28" s="327"/>
      <c r="H28" s="327"/>
      <c r="I28" s="327"/>
      <c r="J28" s="327"/>
      <c r="K28" s="327"/>
      <c r="L28" s="327"/>
    </row>
    <row r="29" spans="1:12" ht="7.5" customHeight="1" x14ac:dyDescent="0.3">
      <c r="A29" s="320"/>
      <c r="B29" s="320"/>
      <c r="C29" s="320"/>
      <c r="D29" s="320"/>
      <c r="E29" s="320"/>
      <c r="F29" s="320"/>
      <c r="G29" s="320"/>
      <c r="H29" s="320"/>
      <c r="I29" s="320"/>
      <c r="J29" s="320"/>
      <c r="K29" s="320"/>
      <c r="L29" s="320"/>
    </row>
    <row r="30" spans="1:12" ht="24" customHeight="1" x14ac:dyDescent="0.3">
      <c r="A30" s="22" t="s">
        <v>314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spans="1:12" ht="21.75" customHeight="1" x14ac:dyDescent="0.3">
      <c r="A31" s="338" t="s">
        <v>72</v>
      </c>
      <c r="B31" s="339" t="s">
        <v>315</v>
      </c>
      <c r="C31" s="339" t="s">
        <v>74</v>
      </c>
      <c r="D31" s="340"/>
      <c r="E31" s="340"/>
      <c r="F31" s="340"/>
      <c r="G31" s="340"/>
      <c r="H31" s="340"/>
      <c r="I31" s="340"/>
      <c r="J31" s="340"/>
      <c r="K31" s="340"/>
      <c r="L31" s="340"/>
    </row>
    <row r="32" spans="1:12" ht="19.5" customHeight="1" x14ac:dyDescent="0.3">
      <c r="A32" s="344" t="s">
        <v>79</v>
      </c>
      <c r="B32" s="345">
        <v>100</v>
      </c>
      <c r="C32" s="353">
        <v>0.66700000000000004</v>
      </c>
      <c r="D32" s="329"/>
      <c r="E32" s="329"/>
      <c r="F32" s="329"/>
      <c r="G32" s="329"/>
      <c r="H32" s="329"/>
      <c r="I32" s="329"/>
      <c r="J32" s="329"/>
      <c r="K32" s="329"/>
      <c r="L32" s="329"/>
    </row>
    <row r="33" spans="1:12" ht="19.5" customHeight="1" x14ac:dyDescent="0.3">
      <c r="A33" s="341" t="s">
        <v>84</v>
      </c>
      <c r="B33" s="342">
        <v>50</v>
      </c>
      <c r="C33" s="354">
        <v>0.33300000000000002</v>
      </c>
      <c r="D33" s="327"/>
      <c r="E33" s="327"/>
      <c r="F33" s="327"/>
      <c r="G33" s="327"/>
      <c r="H33" s="327"/>
      <c r="I33" s="327"/>
      <c r="J33" s="327"/>
      <c r="K33" s="327"/>
      <c r="L33" s="327"/>
    </row>
    <row r="34" spans="1:12" ht="19.5" customHeight="1" x14ac:dyDescent="0.3">
      <c r="A34" s="15" t="s">
        <v>86</v>
      </c>
      <c r="B34" s="355">
        <v>150</v>
      </c>
      <c r="C34" s="356">
        <v>1</v>
      </c>
      <c r="D34" s="15"/>
      <c r="E34" s="15"/>
      <c r="F34" s="15"/>
      <c r="G34" s="15"/>
      <c r="H34" s="15"/>
      <c r="I34" s="15"/>
      <c r="J34" s="15"/>
      <c r="K34" s="15"/>
      <c r="L34" s="15"/>
    </row>
    <row r="35" spans="1:12" ht="7.5" customHeight="1" x14ac:dyDescent="0.3">
      <c r="A35" s="320"/>
      <c r="B35" s="320"/>
      <c r="C35" s="320"/>
      <c r="D35" s="320"/>
      <c r="E35" s="320"/>
      <c r="F35" s="320"/>
      <c r="G35" s="320"/>
      <c r="H35" s="320"/>
      <c r="I35" s="320"/>
      <c r="J35" s="320"/>
      <c r="K35" s="320"/>
      <c r="L35" s="320"/>
    </row>
    <row r="36" spans="1:12" ht="24" customHeight="1" x14ac:dyDescent="0.3">
      <c r="A36" s="22" t="s">
        <v>316</v>
      </c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spans="1:12" ht="21.75" customHeight="1" x14ac:dyDescent="0.3">
      <c r="A37" s="338" t="s">
        <v>72</v>
      </c>
      <c r="B37" s="339" t="s">
        <v>317</v>
      </c>
      <c r="C37" s="338" t="s">
        <v>318</v>
      </c>
      <c r="D37" s="340"/>
      <c r="E37" s="340"/>
      <c r="F37" s="340"/>
      <c r="G37" s="340"/>
      <c r="H37" s="340"/>
      <c r="I37" s="340"/>
      <c r="J37" s="340"/>
      <c r="K37" s="340"/>
      <c r="L37" s="340"/>
    </row>
    <row r="38" spans="1:12" ht="21.75" customHeight="1" x14ac:dyDescent="0.3">
      <c r="A38" s="347" t="s">
        <v>175</v>
      </c>
      <c r="B38" s="357">
        <v>0</v>
      </c>
      <c r="C38" s="349" t="s">
        <v>319</v>
      </c>
      <c r="D38" s="358"/>
      <c r="E38" s="358"/>
      <c r="F38" s="358"/>
      <c r="G38" s="358"/>
      <c r="H38" s="358"/>
      <c r="I38" s="358"/>
      <c r="J38" s="358"/>
      <c r="K38" s="358"/>
      <c r="L38" s="358"/>
    </row>
    <row r="39" spans="1:12" ht="7.5" customHeight="1" x14ac:dyDescent="0.3">
      <c r="A39" s="320"/>
      <c r="B39" s="320"/>
      <c r="C39" s="320"/>
      <c r="D39" s="320"/>
      <c r="E39" s="320"/>
      <c r="F39" s="320"/>
      <c r="G39" s="320"/>
      <c r="H39" s="320"/>
      <c r="I39" s="320"/>
      <c r="J39" s="320"/>
      <c r="K39" s="320"/>
      <c r="L39" s="320"/>
    </row>
    <row r="40" spans="1:12" ht="24" customHeight="1" x14ac:dyDescent="0.3">
      <c r="A40" s="22" t="s">
        <v>320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spans="1:12" ht="21.75" customHeight="1" x14ac:dyDescent="0.3">
      <c r="A41" s="338" t="s">
        <v>72</v>
      </c>
      <c r="B41" s="339" t="s">
        <v>321</v>
      </c>
      <c r="C41" s="338" t="s">
        <v>318</v>
      </c>
      <c r="D41" s="340"/>
      <c r="E41" s="340"/>
      <c r="F41" s="340"/>
      <c r="G41" s="340"/>
      <c r="H41" s="340"/>
      <c r="I41" s="340"/>
      <c r="J41" s="340"/>
      <c r="K41" s="340"/>
      <c r="L41" s="340"/>
    </row>
    <row r="42" spans="1:12" ht="21.75" customHeight="1" x14ac:dyDescent="0.3">
      <c r="A42" s="344" t="s">
        <v>77</v>
      </c>
      <c r="B42" s="345">
        <v>75</v>
      </c>
      <c r="C42" s="346" t="s">
        <v>322</v>
      </c>
      <c r="D42" s="329"/>
      <c r="E42" s="329"/>
      <c r="F42" s="329"/>
      <c r="G42" s="329"/>
      <c r="H42" s="329"/>
      <c r="I42" s="329"/>
      <c r="J42" s="329"/>
      <c r="K42" s="329"/>
      <c r="L42" s="329"/>
    </row>
    <row r="43" spans="1:12" s="320" customFormat="1" ht="15" hidden="1" customHeight="1" x14ac:dyDescent="0.3"/>
    <row r="44" spans="1:12" s="320" customFormat="1" ht="21.75" hidden="1" customHeight="1" x14ac:dyDescent="0.3"/>
    <row r="45" spans="1:12" s="320" customFormat="1" ht="26.25" hidden="1" customHeight="1" x14ac:dyDescent="0.3"/>
    <row r="46" spans="1:12" s="320" customFormat="1" ht="34.5" hidden="1" customHeight="1" x14ac:dyDescent="0.3"/>
    <row r="47" spans="1:12" s="320" customFormat="1" ht="15" hidden="1" customHeight="1" x14ac:dyDescent="0.3"/>
    <row r="48" spans="1:12" s="320" customFormat="1" ht="21.75" hidden="1" customHeight="1" x14ac:dyDescent="0.3"/>
    <row r="49" s="320" customFormat="1" ht="26.25" hidden="1" customHeight="1" x14ac:dyDescent="0.3"/>
    <row r="50" s="320" customFormat="1" ht="57" hidden="1" customHeight="1" x14ac:dyDescent="0.3"/>
    <row r="51" s="320" customFormat="1" ht="14.25" hidden="1" customHeight="1" x14ac:dyDescent="0.3"/>
    <row r="52" s="320" customFormat="1" ht="14.25" hidden="1" customHeight="1" x14ac:dyDescent="0.3"/>
    <row r="53" s="320" customFormat="1" ht="14.25" hidden="1" customHeight="1" x14ac:dyDescent="0.3"/>
    <row r="54" s="320" customFormat="1" ht="14.25" hidden="1" customHeight="1" x14ac:dyDescent="0.3"/>
    <row r="55" s="320" customFormat="1" ht="14.25" hidden="1" customHeight="1" x14ac:dyDescent="0.3"/>
    <row r="56" s="320" customFormat="1" ht="14.25" hidden="1" customHeight="1" x14ac:dyDescent="0.3"/>
    <row r="57" s="320" customFormat="1" ht="14.25" hidden="1" customHeight="1" x14ac:dyDescent="0.3"/>
    <row r="58" s="320" customFormat="1" ht="14.25" hidden="1" customHeight="1" x14ac:dyDescent="0.3"/>
    <row r="59" s="320" customFormat="1" ht="14.25" hidden="1" customHeight="1" x14ac:dyDescent="0.3"/>
    <row r="60" s="320" customFormat="1" ht="14.25" hidden="1" customHeight="1" x14ac:dyDescent="0.3"/>
    <row r="61" s="320" customFormat="1" ht="14.25" hidden="1" customHeight="1" x14ac:dyDescent="0.3"/>
    <row r="62" s="320" customFormat="1" ht="14.25" hidden="1" customHeight="1" x14ac:dyDescent="0.3"/>
    <row r="63" s="320" customFormat="1" ht="14.25" hidden="1" customHeight="1" x14ac:dyDescent="0.3"/>
    <row r="64" s="320" customFormat="1" ht="14.25" hidden="1" customHeight="1" x14ac:dyDescent="0.3"/>
    <row r="65" s="320" customFormat="1" ht="14.25" hidden="1" customHeight="1" x14ac:dyDescent="0.3"/>
    <row r="66" s="320" customFormat="1" ht="14.25" hidden="1" customHeight="1" x14ac:dyDescent="0.3"/>
    <row r="67" s="320" customFormat="1" ht="14.25" hidden="1" customHeight="1" x14ac:dyDescent="0.3"/>
    <row r="68" s="320" customFormat="1" ht="14.25" hidden="1" customHeight="1" x14ac:dyDescent="0.3"/>
    <row r="69" s="320" customFormat="1" ht="14.25" hidden="1" customHeight="1" x14ac:dyDescent="0.3"/>
    <row r="70" s="320" customFormat="1" ht="14.25" hidden="1" customHeight="1" x14ac:dyDescent="0.3"/>
    <row r="71" s="320" customFormat="1" ht="14.25" hidden="1" customHeight="1" x14ac:dyDescent="0.3"/>
    <row r="72" s="320" customFormat="1" ht="14.25" hidden="1" customHeight="1" x14ac:dyDescent="0.3"/>
    <row r="73" s="320" customFormat="1" ht="14.25" hidden="1" customHeight="1" x14ac:dyDescent="0.3"/>
    <row r="74" s="320" customFormat="1" ht="14.25" hidden="1" customHeight="1" x14ac:dyDescent="0.3"/>
    <row r="75" s="320" customFormat="1" ht="14.25" hidden="1" customHeight="1" x14ac:dyDescent="0.3"/>
    <row r="76" s="320" customFormat="1" ht="14.25" hidden="1" customHeight="1" x14ac:dyDescent="0.3"/>
    <row r="77" s="320" customFormat="1" ht="14.25" hidden="1" customHeight="1" x14ac:dyDescent="0.3"/>
    <row r="78" s="320" customFormat="1" ht="14.25" hidden="1" customHeight="1" x14ac:dyDescent="0.3"/>
    <row r="79" s="320" customFormat="1" ht="14.25" hidden="1" customHeight="1" x14ac:dyDescent="0.3"/>
    <row r="80" s="320" customFormat="1" ht="14.25" hidden="1" customHeight="1" x14ac:dyDescent="0.3"/>
    <row r="81" spans="1:12" ht="14.25" hidden="1" customHeight="1" x14ac:dyDescent="0.3">
      <c r="A81" s="320"/>
      <c r="B81" s="320"/>
      <c r="C81" s="320"/>
      <c r="D81" s="320"/>
      <c r="E81" s="320"/>
      <c r="F81" s="320"/>
      <c r="G81" s="320"/>
      <c r="H81" s="320"/>
      <c r="I81" s="320"/>
      <c r="J81" s="320"/>
      <c r="K81" s="320"/>
      <c r="L81" s="320"/>
    </row>
    <row r="82" spans="1:12" ht="14.25" hidden="1" customHeight="1" x14ac:dyDescent="0.3">
      <c r="A82" s="320"/>
      <c r="B82" s="320"/>
      <c r="C82" s="320"/>
      <c r="D82" s="320"/>
      <c r="E82" s="320"/>
      <c r="F82" s="320"/>
      <c r="G82" s="320"/>
      <c r="H82" s="320"/>
      <c r="I82" s="320"/>
      <c r="J82" s="320"/>
      <c r="K82" s="320"/>
      <c r="L82" s="320"/>
    </row>
    <row r="83" spans="1:12" ht="14.25" hidden="1" customHeight="1" x14ac:dyDescent="0.3">
      <c r="A83" s="320"/>
      <c r="B83" s="320"/>
      <c r="C83" s="320"/>
      <c r="D83" s="320"/>
      <c r="E83" s="320"/>
      <c r="F83" s="320"/>
      <c r="G83" s="320"/>
      <c r="H83" s="320"/>
      <c r="I83" s="320"/>
      <c r="J83" s="320"/>
      <c r="K83" s="320"/>
      <c r="L83" s="320"/>
    </row>
    <row r="84" spans="1:12" ht="14.25" hidden="1" customHeight="1" x14ac:dyDescent="0.3">
      <c r="A84" s="320"/>
      <c r="B84" s="320"/>
      <c r="C84" s="320"/>
      <c r="D84" s="320"/>
      <c r="E84" s="320"/>
      <c r="F84" s="320"/>
      <c r="G84" s="320"/>
      <c r="H84" s="320"/>
      <c r="I84" s="320"/>
      <c r="J84" s="320"/>
      <c r="K84" s="320"/>
      <c r="L84" s="320"/>
    </row>
    <row r="85" spans="1:12" ht="14.25" hidden="1" customHeight="1" x14ac:dyDescent="0.3">
      <c r="A85" s="320"/>
      <c r="B85" s="320"/>
      <c r="C85" s="320"/>
      <c r="D85" s="320"/>
      <c r="E85" s="320"/>
      <c r="F85" s="320"/>
      <c r="G85" s="320"/>
      <c r="H85" s="320"/>
      <c r="I85" s="320"/>
      <c r="J85" s="320"/>
      <c r="K85" s="320"/>
      <c r="L85" s="320"/>
    </row>
    <row r="86" spans="1:12" ht="14.25" hidden="1" customHeight="1" x14ac:dyDescent="0.3">
      <c r="A86" s="320"/>
      <c r="B86" s="320"/>
      <c r="C86" s="320"/>
      <c r="D86" s="320"/>
      <c r="E86" s="320"/>
      <c r="F86" s="320"/>
      <c r="G86" s="320"/>
      <c r="H86" s="320"/>
      <c r="I86" s="320"/>
      <c r="J86" s="320"/>
      <c r="K86" s="320"/>
      <c r="L86" s="320"/>
    </row>
    <row r="87" spans="1:12" ht="14.25" hidden="1" customHeight="1" x14ac:dyDescent="0.3">
      <c r="A87" s="320"/>
      <c r="B87" s="320"/>
      <c r="C87" s="320"/>
      <c r="D87" s="320"/>
      <c r="E87" s="320"/>
      <c r="F87" s="320"/>
      <c r="G87" s="320"/>
      <c r="H87" s="320"/>
      <c r="I87" s="320"/>
      <c r="J87" s="320"/>
      <c r="K87" s="320"/>
      <c r="L87" s="320"/>
    </row>
    <row r="88" spans="1:12" ht="14.25" hidden="1" customHeight="1" x14ac:dyDescent="0.3">
      <c r="A88" s="320"/>
      <c r="B88" s="320"/>
      <c r="C88" s="320"/>
      <c r="D88" s="320"/>
      <c r="E88" s="320"/>
      <c r="F88" s="320"/>
      <c r="G88" s="320"/>
      <c r="H88" s="320"/>
      <c r="I88" s="320"/>
      <c r="J88" s="320"/>
      <c r="K88" s="320"/>
      <c r="L88" s="320"/>
    </row>
    <row r="89" spans="1:12" ht="14.25" hidden="1" customHeight="1" x14ac:dyDescent="0.3">
      <c r="A89" s="320"/>
      <c r="B89" s="320"/>
      <c r="C89" s="320"/>
      <c r="D89" s="320"/>
      <c r="E89" s="320"/>
      <c r="F89" s="320"/>
      <c r="G89" s="320"/>
      <c r="H89" s="320"/>
      <c r="I89" s="320"/>
      <c r="J89" s="320"/>
      <c r="K89" s="320"/>
      <c r="L89" s="320"/>
    </row>
    <row r="90" spans="1:12" ht="14.25" hidden="1" customHeight="1" x14ac:dyDescent="0.3">
      <c r="A90" s="320"/>
      <c r="B90" s="320"/>
      <c r="C90" s="320"/>
      <c r="D90" s="320"/>
      <c r="E90" s="320"/>
      <c r="F90" s="320"/>
      <c r="G90" s="320"/>
      <c r="H90" s="320"/>
      <c r="I90" s="320"/>
      <c r="J90" s="320"/>
      <c r="K90" s="320"/>
      <c r="L90" s="320"/>
    </row>
    <row r="91" spans="1:12" ht="14.25" hidden="1" customHeight="1" x14ac:dyDescent="0.3">
      <c r="A91" s="320"/>
      <c r="B91" s="320"/>
      <c r="C91" s="320"/>
      <c r="D91" s="320"/>
      <c r="E91" s="320"/>
      <c r="F91" s="320"/>
      <c r="G91" s="320"/>
      <c r="H91" s="320"/>
      <c r="I91" s="320"/>
      <c r="J91" s="320"/>
      <c r="K91" s="320"/>
      <c r="L91" s="320"/>
    </row>
    <row r="92" spans="1:12" ht="14.25" hidden="1" customHeight="1" x14ac:dyDescent="0.3">
      <c r="A92" s="320"/>
      <c r="B92" s="320"/>
      <c r="C92" s="320"/>
      <c r="D92" s="320"/>
      <c r="E92" s="320"/>
      <c r="F92" s="320"/>
      <c r="G92" s="320"/>
      <c r="H92" s="320"/>
      <c r="I92" s="320"/>
      <c r="J92" s="320"/>
      <c r="K92" s="320"/>
      <c r="L92" s="320"/>
    </row>
    <row r="93" spans="1:12" ht="14.25" hidden="1" customHeight="1" x14ac:dyDescent="0.3">
      <c r="A93" s="320"/>
      <c r="B93" s="320"/>
      <c r="C93" s="320"/>
      <c r="D93" s="320"/>
      <c r="E93" s="320"/>
      <c r="F93" s="320"/>
      <c r="G93" s="320"/>
      <c r="H93" s="320"/>
      <c r="I93" s="320"/>
      <c r="J93" s="320"/>
      <c r="K93" s="320"/>
      <c r="L93" s="320"/>
    </row>
    <row r="94" spans="1:12" ht="14.25" hidden="1" customHeight="1" x14ac:dyDescent="0.3">
      <c r="A94" s="320"/>
      <c r="B94" s="320"/>
      <c r="C94" s="320"/>
      <c r="D94" s="320"/>
      <c r="E94" s="320"/>
      <c r="F94" s="320"/>
      <c r="G94" s="320"/>
      <c r="H94" s="320"/>
      <c r="I94" s="320"/>
      <c r="J94" s="320"/>
      <c r="K94" s="320"/>
      <c r="L94" s="320"/>
    </row>
    <row r="95" spans="1:12" ht="14.25" hidden="1" customHeight="1" x14ac:dyDescent="0.3">
      <c r="A95" s="320"/>
      <c r="B95" s="320"/>
      <c r="C95" s="320"/>
      <c r="D95" s="320"/>
      <c r="E95" s="320"/>
      <c r="F95" s="320"/>
      <c r="G95" s="320"/>
      <c r="H95" s="320"/>
      <c r="I95" s="320"/>
      <c r="J95" s="320"/>
      <c r="K95" s="320"/>
      <c r="L95" s="320"/>
    </row>
    <row r="96" spans="1:12" ht="14.25" hidden="1" customHeight="1" x14ac:dyDescent="0.3">
      <c r="A96" s="320"/>
      <c r="B96" s="320"/>
      <c r="C96" s="320"/>
      <c r="D96" s="320"/>
      <c r="E96" s="320"/>
      <c r="F96" s="320"/>
      <c r="G96" s="320"/>
      <c r="H96" s="320"/>
      <c r="I96" s="320"/>
      <c r="J96" s="320"/>
      <c r="K96" s="320"/>
      <c r="L96" s="320"/>
    </row>
    <row r="97" spans="1:12" ht="14.25" hidden="1" customHeight="1" x14ac:dyDescent="0.3">
      <c r="A97" s="320"/>
      <c r="B97" s="320"/>
      <c r="C97" s="320"/>
      <c r="D97" s="320"/>
      <c r="E97" s="320"/>
      <c r="F97" s="320"/>
      <c r="G97" s="320"/>
      <c r="H97" s="320"/>
      <c r="I97" s="320"/>
      <c r="J97" s="320"/>
      <c r="K97" s="320"/>
      <c r="L97" s="320"/>
    </row>
    <row r="98" spans="1:12" ht="14.25" hidden="1" customHeight="1" x14ac:dyDescent="0.3">
      <c r="A98" s="320"/>
      <c r="B98" s="320"/>
      <c r="C98" s="320"/>
      <c r="D98" s="320"/>
      <c r="E98" s="320"/>
      <c r="F98" s="320"/>
      <c r="G98" s="320"/>
      <c r="H98" s="320"/>
      <c r="I98" s="320"/>
      <c r="J98" s="320"/>
      <c r="K98" s="320"/>
      <c r="L98" s="320"/>
    </row>
    <row r="99" spans="1:12" ht="14.25" hidden="1" customHeight="1" x14ac:dyDescent="0.3">
      <c r="A99" s="320"/>
      <c r="B99" s="320"/>
      <c r="C99" s="320"/>
      <c r="D99" s="320"/>
      <c r="E99" s="320"/>
      <c r="F99" s="320"/>
      <c r="G99" s="320"/>
      <c r="H99" s="320"/>
      <c r="I99" s="320"/>
      <c r="J99" s="320"/>
      <c r="K99" s="320"/>
      <c r="L99" s="320"/>
    </row>
    <row r="100" spans="1:12" ht="14.25" hidden="1" customHeight="1" x14ac:dyDescent="0.3">
      <c r="A100" s="320"/>
      <c r="B100" s="320"/>
      <c r="C100" s="320"/>
      <c r="D100" s="320"/>
      <c r="E100" s="320"/>
      <c r="F100" s="320"/>
      <c r="G100" s="320"/>
      <c r="H100" s="320"/>
      <c r="I100" s="320"/>
      <c r="J100" s="320"/>
      <c r="K100" s="320"/>
      <c r="L100" s="320"/>
    </row>
  </sheetData>
  <mergeCells count="3">
    <mergeCell ref="A1:G1"/>
    <mergeCell ref="A2:G2"/>
    <mergeCell ref="A4:G4"/>
  </mergeCells>
  <printOptions horizontalCentered="1"/>
  <pageMargins left="0.75" right="0.75" top="1" bottom="1" header="0.511811023622047" footer="0.51180555555555596"/>
  <pageSetup paperSize="9" fitToHeight="0" orientation="landscape" horizontalDpi="300" verticalDpi="300"/>
  <headerFooter>
    <oddFooter>&amp;C&amp;8 JFL Debt Model v11 | CONFIDENTIAL | Lender Summary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AH20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J23" sqref="J23"/>
    </sheetView>
  </sheetViews>
  <sheetFormatPr defaultColWidth="8.6640625" defaultRowHeight="14.4" x14ac:dyDescent="0.3"/>
  <cols>
    <col min="1" max="1" width="5.21875" customWidth="1"/>
    <col min="2" max="2" width="16.6640625" customWidth="1"/>
    <col min="3" max="3" width="29.6640625" customWidth="1"/>
    <col min="4" max="4" width="12" customWidth="1"/>
    <col min="5" max="5" width="13.88671875" customWidth="1"/>
    <col min="6" max="7" width="9.21875" customWidth="1"/>
    <col min="8" max="8" width="7.44140625" customWidth="1"/>
    <col min="9" max="9" width="6.44140625" customWidth="1"/>
    <col min="10" max="11" width="13" customWidth="1"/>
    <col min="12" max="13" width="11.109375" customWidth="1"/>
    <col min="14" max="14" width="8.33203125" customWidth="1"/>
    <col min="15" max="15" width="11.109375" customWidth="1"/>
    <col min="16" max="16" width="16.6640625" customWidth="1"/>
    <col min="17" max="17" width="9.21875" customWidth="1"/>
    <col min="18" max="18" width="12" customWidth="1"/>
    <col min="19" max="20" width="10.21875" customWidth="1"/>
    <col min="21" max="21" width="12" customWidth="1"/>
    <col min="22" max="23" width="10.21875" customWidth="1"/>
    <col min="24" max="28" width="13" customWidth="1"/>
    <col min="29" max="29" width="22.21875" customWidth="1"/>
    <col min="30" max="30" width="29.6640625" customWidth="1"/>
    <col min="31" max="31" width="24.109375" customWidth="1"/>
    <col min="32" max="32" width="33.33203125" customWidth="1"/>
    <col min="33" max="34" width="11.109375" customWidth="1"/>
  </cols>
  <sheetData>
    <row r="1" spans="1:34" ht="30" customHeight="1" x14ac:dyDescent="0.3">
      <c r="A1" s="14" t="s">
        <v>323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ht="15.75" customHeight="1" x14ac:dyDescent="0.3">
      <c r="A2" s="13" t="s">
        <v>324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 spans="1:34" ht="18" customHeight="1" x14ac:dyDescent="0.3">
      <c r="A3" s="900" t="s">
        <v>325</v>
      </c>
      <c r="B3" s="900"/>
      <c r="C3" s="900"/>
      <c r="D3" s="900"/>
      <c r="E3" s="900"/>
      <c r="F3" s="900"/>
      <c r="G3" s="900" t="s">
        <v>326</v>
      </c>
      <c r="H3" s="900"/>
      <c r="I3" s="900" t="s">
        <v>327</v>
      </c>
      <c r="J3" s="900"/>
      <c r="K3" s="900"/>
      <c r="L3" s="900"/>
      <c r="M3" s="900"/>
      <c r="N3" s="900"/>
      <c r="O3" s="900"/>
      <c r="P3" s="900" t="s">
        <v>328</v>
      </c>
      <c r="Q3" s="900"/>
      <c r="R3" s="900"/>
      <c r="S3" s="900"/>
      <c r="T3" s="900" t="s">
        <v>329</v>
      </c>
      <c r="U3" s="900"/>
      <c r="V3" s="900"/>
      <c r="W3" s="900"/>
      <c r="X3" s="900" t="s">
        <v>330</v>
      </c>
      <c r="Y3" s="900"/>
      <c r="Z3" s="900"/>
      <c r="AA3" s="900"/>
      <c r="AB3" s="900"/>
      <c r="AC3" s="900" t="s">
        <v>331</v>
      </c>
      <c r="AD3" s="900"/>
      <c r="AE3" s="900"/>
      <c r="AF3" s="900"/>
      <c r="AG3" s="900" t="s">
        <v>332</v>
      </c>
      <c r="AH3" s="900"/>
    </row>
    <row r="4" spans="1:34" ht="36" customHeight="1" x14ac:dyDescent="0.3">
      <c r="A4" s="359" t="s">
        <v>333</v>
      </c>
      <c r="B4" s="359" t="s">
        <v>72</v>
      </c>
      <c r="C4" s="359" t="s">
        <v>334</v>
      </c>
      <c r="D4" s="360" t="s">
        <v>109</v>
      </c>
      <c r="E4" s="360" t="s">
        <v>335</v>
      </c>
      <c r="F4" s="360" t="s">
        <v>336</v>
      </c>
      <c r="G4" s="360" t="s">
        <v>337</v>
      </c>
      <c r="H4" s="360" t="s">
        <v>338</v>
      </c>
      <c r="I4" s="360" t="s">
        <v>339</v>
      </c>
      <c r="J4" s="360" t="s">
        <v>340</v>
      </c>
      <c r="K4" s="360" t="s">
        <v>341</v>
      </c>
      <c r="L4" s="360" t="s">
        <v>342</v>
      </c>
      <c r="M4" s="360" t="s">
        <v>343</v>
      </c>
      <c r="N4" s="360" t="s">
        <v>344</v>
      </c>
      <c r="O4" s="360" t="s">
        <v>127</v>
      </c>
      <c r="P4" s="360" t="s">
        <v>345</v>
      </c>
      <c r="Q4" s="360" t="s">
        <v>346</v>
      </c>
      <c r="R4" s="360" t="s">
        <v>347</v>
      </c>
      <c r="S4" s="360" t="s">
        <v>348</v>
      </c>
      <c r="T4" s="360" t="s">
        <v>349</v>
      </c>
      <c r="U4" s="360" t="s">
        <v>350</v>
      </c>
      <c r="V4" s="360" t="s">
        <v>351</v>
      </c>
      <c r="W4" s="360" t="s">
        <v>352</v>
      </c>
      <c r="X4" s="360" t="s">
        <v>353</v>
      </c>
      <c r="Y4" s="360" t="s">
        <v>354</v>
      </c>
      <c r="Z4" s="360" t="s">
        <v>355</v>
      </c>
      <c r="AA4" s="360" t="s">
        <v>356</v>
      </c>
      <c r="AB4" s="360" t="s">
        <v>357</v>
      </c>
      <c r="AC4" s="360" t="s">
        <v>358</v>
      </c>
      <c r="AD4" s="360" t="s">
        <v>359</v>
      </c>
      <c r="AE4" s="360" t="s">
        <v>360</v>
      </c>
      <c r="AF4" s="360" t="s">
        <v>361</v>
      </c>
      <c r="AG4" s="360" t="s">
        <v>362</v>
      </c>
      <c r="AH4" s="360" t="s">
        <v>363</v>
      </c>
    </row>
    <row r="5" spans="1:34" ht="21.75" customHeight="1" x14ac:dyDescent="0.3">
      <c r="A5" s="361">
        <v>1</v>
      </c>
      <c r="B5" s="362" t="s">
        <v>77</v>
      </c>
      <c r="C5" s="362" t="s">
        <v>364</v>
      </c>
      <c r="D5" s="363" t="s">
        <v>365</v>
      </c>
      <c r="E5" s="363" t="s">
        <v>366</v>
      </c>
      <c r="F5" s="364" t="b">
        <f>FALSE()</f>
        <v>0</v>
      </c>
      <c r="G5" s="363" t="b">
        <f>FALSE()</f>
        <v>0</v>
      </c>
      <c r="H5" s="361">
        <v>1</v>
      </c>
      <c r="I5" s="363" t="s">
        <v>367</v>
      </c>
      <c r="J5" s="365">
        <v>1125</v>
      </c>
      <c r="K5" s="365">
        <f t="shared" ref="K5:K48" si="0">IFERROR(J5,0)</f>
        <v>1125</v>
      </c>
      <c r="L5" s="365"/>
      <c r="M5" s="366">
        <f t="shared" ref="M5:M48" si="1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367">
        <f t="shared" ref="N5:N48" si="2">IFERROR(M5/K5,0)</f>
        <v>1</v>
      </c>
      <c r="O5" s="365">
        <f t="shared" ref="O5:O48" si="3">IFERROR(K5-M5,0)</f>
        <v>0</v>
      </c>
      <c r="P5" s="362" t="s">
        <v>368</v>
      </c>
      <c r="Q5" s="368">
        <v>5.0000000000000001E-3</v>
      </c>
      <c r="R5" s="369">
        <f>IFERROR(VLOOKUP(P5,'Instructions &amp; Assumptions'!$A$14:$B$27,2,FALSE())+Q5,Q5)</f>
        <v>9.4E-2</v>
      </c>
      <c r="S5" s="363" t="s">
        <v>369</v>
      </c>
      <c r="T5" s="370">
        <v>48</v>
      </c>
      <c r="U5" s="363" t="s">
        <v>370</v>
      </c>
      <c r="V5" s="370">
        <v>192</v>
      </c>
      <c r="W5" s="370">
        <v>48</v>
      </c>
      <c r="X5" s="371">
        <v>45104</v>
      </c>
      <c r="Y5" s="371">
        <v>46568</v>
      </c>
      <c r="Z5" s="371">
        <v>50860</v>
      </c>
      <c r="AA5" s="371">
        <v>45920</v>
      </c>
      <c r="AB5" s="371">
        <v>50860</v>
      </c>
      <c r="AC5" s="372" t="s">
        <v>371</v>
      </c>
      <c r="AD5" s="373" t="s">
        <v>372</v>
      </c>
      <c r="AE5" s="373" t="s">
        <v>373</v>
      </c>
      <c r="AF5" s="373" t="s">
        <v>374</v>
      </c>
      <c r="AG5" s="363" t="b">
        <f>FALSE()</f>
        <v>0</v>
      </c>
      <c r="AH5" s="363" t="b">
        <f>FALSE()</f>
        <v>0</v>
      </c>
    </row>
    <row r="6" spans="1:34" ht="21.75" customHeight="1" x14ac:dyDescent="0.3">
      <c r="A6" s="374">
        <v>2</v>
      </c>
      <c r="B6" s="249" t="s">
        <v>77</v>
      </c>
      <c r="C6" s="249" t="s">
        <v>375</v>
      </c>
      <c r="D6" s="375" t="s">
        <v>365</v>
      </c>
      <c r="E6" s="375" t="s">
        <v>366</v>
      </c>
      <c r="F6" s="376" t="b">
        <f>FALSE()</f>
        <v>0</v>
      </c>
      <c r="G6" s="375" t="b">
        <f>FALSE()</f>
        <v>0</v>
      </c>
      <c r="H6" s="377">
        <v>1</v>
      </c>
      <c r="I6" s="375" t="s">
        <v>367</v>
      </c>
      <c r="J6" s="378">
        <v>236</v>
      </c>
      <c r="K6" s="378">
        <f t="shared" si="0"/>
        <v>236</v>
      </c>
      <c r="L6" s="378"/>
      <c r="M6" s="379">
        <f t="shared" si="1"/>
        <v>236</v>
      </c>
      <c r="N6" s="380">
        <f t="shared" si="2"/>
        <v>1</v>
      </c>
      <c r="O6" s="378">
        <f t="shared" si="3"/>
        <v>0</v>
      </c>
      <c r="P6" s="249" t="s">
        <v>376</v>
      </c>
      <c r="Q6" s="381">
        <v>5.0000000000000001E-3</v>
      </c>
      <c r="R6" s="382">
        <f>IFERROR(VLOOKUP(P6,'Instructions &amp; Assumptions'!$A$14:$B$27,2,FALSE())+Q6,Q6)</f>
        <v>9.0999999999999998E-2</v>
      </c>
      <c r="S6" s="375" t="s">
        <v>369</v>
      </c>
      <c r="T6" s="383">
        <v>21</v>
      </c>
      <c r="U6" s="375" t="s">
        <v>370</v>
      </c>
      <c r="V6" s="383">
        <v>162</v>
      </c>
      <c r="W6" s="383">
        <v>48</v>
      </c>
      <c r="X6" s="384">
        <v>45920</v>
      </c>
      <c r="Y6" s="384">
        <v>46568</v>
      </c>
      <c r="Z6" s="384">
        <v>50860</v>
      </c>
      <c r="AA6" s="384">
        <v>45920</v>
      </c>
      <c r="AB6" s="384">
        <v>50860</v>
      </c>
      <c r="AC6" s="385" t="s">
        <v>377</v>
      </c>
      <c r="AD6" s="386" t="s">
        <v>378</v>
      </c>
      <c r="AE6" s="386" t="s">
        <v>373</v>
      </c>
      <c r="AF6" s="386" t="s">
        <v>379</v>
      </c>
      <c r="AG6" s="375" t="b">
        <f>FALSE()</f>
        <v>0</v>
      </c>
      <c r="AH6" s="375" t="b">
        <f>FALSE()</f>
        <v>0</v>
      </c>
    </row>
    <row r="7" spans="1:34" ht="21.75" customHeight="1" x14ac:dyDescent="0.3">
      <c r="A7" s="387">
        <v>3</v>
      </c>
      <c r="B7" s="362" t="s">
        <v>77</v>
      </c>
      <c r="C7" s="388" t="s">
        <v>380</v>
      </c>
      <c r="D7" s="363" t="s">
        <v>381</v>
      </c>
      <c r="E7" s="363" t="s">
        <v>382</v>
      </c>
      <c r="F7" s="389" t="b">
        <f>TRUE()</f>
        <v>1</v>
      </c>
      <c r="G7" s="363" t="b">
        <f>FALSE()</f>
        <v>0</v>
      </c>
      <c r="H7" s="364">
        <v>0</v>
      </c>
      <c r="I7" s="363" t="s">
        <v>367</v>
      </c>
      <c r="J7" s="365">
        <v>750</v>
      </c>
      <c r="K7" s="365">
        <f t="shared" si="0"/>
        <v>750</v>
      </c>
      <c r="L7" s="365"/>
      <c r="M7" s="366">
        <f t="shared" si="1"/>
        <v>750</v>
      </c>
      <c r="N7" s="367">
        <f t="shared" si="2"/>
        <v>1</v>
      </c>
      <c r="O7" s="365">
        <f t="shared" si="3"/>
        <v>0</v>
      </c>
      <c r="P7" s="362" t="s">
        <v>383</v>
      </c>
      <c r="Q7" s="368">
        <v>6.0000000000000001E-3</v>
      </c>
      <c r="R7" s="368">
        <f>IFERROR(VLOOKUP(P7,'Instructions &amp; Assumptions'!$A$14:$B$27,2,FALSE())+Q7,Q7)</f>
        <v>6.0000000000000001E-3</v>
      </c>
      <c r="S7" s="363" t="s">
        <v>384</v>
      </c>
      <c r="T7" s="370">
        <v>0</v>
      </c>
      <c r="U7" s="363" t="s">
        <v>385</v>
      </c>
      <c r="V7" s="370">
        <v>12</v>
      </c>
      <c r="W7" s="370">
        <v>0</v>
      </c>
      <c r="X7" s="371">
        <v>45920</v>
      </c>
      <c r="Y7" s="371">
        <f>IFERROR(EDATE(X7,T7),"")</f>
        <v>45920</v>
      </c>
      <c r="Z7" s="371">
        <f>IFERROR(EDATE(X7,V7),"")</f>
        <v>46285</v>
      </c>
      <c r="AA7" s="371">
        <v>45920</v>
      </c>
      <c r="AB7" s="371">
        <v>46284</v>
      </c>
      <c r="AC7" s="372" t="s">
        <v>386</v>
      </c>
      <c r="AD7" s="373" t="s">
        <v>387</v>
      </c>
      <c r="AE7" s="373" t="s">
        <v>373</v>
      </c>
      <c r="AF7" s="373" t="s">
        <v>388</v>
      </c>
      <c r="AG7" s="363" t="b">
        <f>TRUE()</f>
        <v>1</v>
      </c>
      <c r="AH7" s="363" t="b">
        <f>FALSE()</f>
        <v>0</v>
      </c>
    </row>
    <row r="8" spans="1:34" ht="21.75" customHeight="1" x14ac:dyDescent="0.3">
      <c r="A8" s="374">
        <v>4</v>
      </c>
      <c r="B8" s="249" t="s">
        <v>77</v>
      </c>
      <c r="C8" s="390" t="s">
        <v>389</v>
      </c>
      <c r="D8" s="375" t="s">
        <v>381</v>
      </c>
      <c r="E8" s="375" t="s">
        <v>382</v>
      </c>
      <c r="F8" s="391" t="b">
        <f>TRUE()</f>
        <v>1</v>
      </c>
      <c r="G8" s="375" t="b">
        <f>FALSE()</f>
        <v>0</v>
      </c>
      <c r="H8" s="376">
        <v>0</v>
      </c>
      <c r="I8" s="375" t="s">
        <v>367</v>
      </c>
      <c r="J8" s="378">
        <v>12.5</v>
      </c>
      <c r="K8" s="378">
        <f t="shared" si="0"/>
        <v>12.5</v>
      </c>
      <c r="L8" s="378"/>
      <c r="M8" s="379">
        <f t="shared" si="1"/>
        <v>12.5</v>
      </c>
      <c r="N8" s="380">
        <f t="shared" si="2"/>
        <v>1</v>
      </c>
      <c r="O8" s="378">
        <f t="shared" si="3"/>
        <v>0</v>
      </c>
      <c r="P8" s="249" t="s">
        <v>383</v>
      </c>
      <c r="Q8" s="381">
        <v>6.0000000000000001E-3</v>
      </c>
      <c r="R8" s="381">
        <f>IFERROR(VLOOKUP(P8,'Instructions &amp; Assumptions'!$A$14:$B$27,2,FALSE())+Q8,Q8)</f>
        <v>6.0000000000000001E-3</v>
      </c>
      <c r="S8" s="375" t="s">
        <v>384</v>
      </c>
      <c r="T8" s="383">
        <v>0</v>
      </c>
      <c r="U8" s="375" t="s">
        <v>385</v>
      </c>
      <c r="V8" s="383">
        <v>36</v>
      </c>
      <c r="W8" s="383">
        <v>0</v>
      </c>
      <c r="X8" s="384">
        <v>45920</v>
      </c>
      <c r="Y8" s="384">
        <f>IFERROR(EDATE(X8,T8),"")</f>
        <v>45920</v>
      </c>
      <c r="Z8" s="384">
        <f>IFERROR(EDATE(X8,V8),"")</f>
        <v>47016</v>
      </c>
      <c r="AA8" s="384">
        <v>45920</v>
      </c>
      <c r="AB8" s="384">
        <v>46284</v>
      </c>
      <c r="AC8" s="385" t="s">
        <v>390</v>
      </c>
      <c r="AD8" s="386" t="s">
        <v>391</v>
      </c>
      <c r="AE8" s="386" t="s">
        <v>373</v>
      </c>
      <c r="AF8" s="386" t="s">
        <v>392</v>
      </c>
      <c r="AG8" s="375" t="b">
        <f>FALSE()</f>
        <v>0</v>
      </c>
      <c r="AH8" s="375" t="b">
        <f>FALSE()</f>
        <v>0</v>
      </c>
    </row>
    <row r="9" spans="1:34" ht="21.75" customHeight="1" x14ac:dyDescent="0.3">
      <c r="A9" s="387">
        <v>5</v>
      </c>
      <c r="B9" s="362" t="s">
        <v>77</v>
      </c>
      <c r="C9" s="362" t="s">
        <v>393</v>
      </c>
      <c r="D9" s="363" t="s">
        <v>394</v>
      </c>
      <c r="E9" s="363" t="s">
        <v>382</v>
      </c>
      <c r="F9" s="364" t="b">
        <f>FALSE()</f>
        <v>0</v>
      </c>
      <c r="G9" s="363" t="b">
        <f>FALSE()</f>
        <v>0</v>
      </c>
      <c r="H9" s="392" t="s">
        <v>395</v>
      </c>
      <c r="I9" s="363" t="s">
        <v>367</v>
      </c>
      <c r="J9" s="365">
        <v>75</v>
      </c>
      <c r="K9" s="365">
        <f t="shared" si="0"/>
        <v>75</v>
      </c>
      <c r="L9" s="365"/>
      <c r="M9" s="366">
        <f t="shared" si="1"/>
        <v>75</v>
      </c>
      <c r="N9" s="367">
        <f t="shared" si="2"/>
        <v>1</v>
      </c>
      <c r="O9" s="365">
        <f t="shared" si="3"/>
        <v>0</v>
      </c>
      <c r="P9" s="362" t="s">
        <v>396</v>
      </c>
      <c r="Q9" s="368">
        <v>0</v>
      </c>
      <c r="R9" s="368">
        <f>IFERROR(VLOOKUP(P9,'Instructions &amp; Assumptions'!$A$14:$B$27,2,FALSE())+Q9,Q9)</f>
        <v>0</v>
      </c>
      <c r="S9" s="363" t="s">
        <v>384</v>
      </c>
      <c r="T9" s="370">
        <v>0</v>
      </c>
      <c r="U9" s="363" t="s">
        <v>397</v>
      </c>
      <c r="V9" s="370">
        <v>12</v>
      </c>
      <c r="W9" s="370">
        <v>0</v>
      </c>
      <c r="X9" s="371">
        <v>45920</v>
      </c>
      <c r="Y9" s="371">
        <f>IFERROR(EDATE(X9,T9),"")</f>
        <v>45920</v>
      </c>
      <c r="Z9" s="371">
        <f>IFERROR(EDATE(X9,V9),"")</f>
        <v>46285</v>
      </c>
      <c r="AA9" s="371">
        <v>45920</v>
      </c>
      <c r="AB9" s="371">
        <v>46284</v>
      </c>
      <c r="AC9" s="372" t="s">
        <v>398</v>
      </c>
      <c r="AD9" s="373" t="s">
        <v>399</v>
      </c>
      <c r="AE9" s="373" t="s">
        <v>373</v>
      </c>
      <c r="AF9" s="373" t="s">
        <v>400</v>
      </c>
      <c r="AG9" s="363" t="b">
        <f>FALSE()</f>
        <v>0</v>
      </c>
      <c r="AH9" s="363" t="b">
        <f>FALSE()</f>
        <v>0</v>
      </c>
    </row>
    <row r="10" spans="1:34" ht="21.75" customHeight="1" x14ac:dyDescent="0.3">
      <c r="A10" s="361">
        <v>6</v>
      </c>
      <c r="B10" s="362" t="s">
        <v>78</v>
      </c>
      <c r="C10" s="362" t="s">
        <v>401</v>
      </c>
      <c r="D10" s="363" t="s">
        <v>365</v>
      </c>
      <c r="E10" s="363" t="s">
        <v>366</v>
      </c>
      <c r="F10" s="364" t="b">
        <f>FALSE()</f>
        <v>0</v>
      </c>
      <c r="G10" s="363" t="b">
        <f>FALSE()</f>
        <v>0</v>
      </c>
      <c r="H10" s="361">
        <v>1</v>
      </c>
      <c r="I10" s="363" t="s">
        <v>367</v>
      </c>
      <c r="J10" s="365">
        <v>235</v>
      </c>
      <c r="K10" s="365">
        <f t="shared" si="0"/>
        <v>235</v>
      </c>
      <c r="L10" s="365"/>
      <c r="M10" s="366">
        <f t="shared" si="1"/>
        <v>235</v>
      </c>
      <c r="N10" s="367">
        <f t="shared" si="2"/>
        <v>1</v>
      </c>
      <c r="O10" s="365">
        <f t="shared" si="3"/>
        <v>0</v>
      </c>
      <c r="P10" s="362" t="s">
        <v>402</v>
      </c>
      <c r="Q10" s="368">
        <v>5.0000000000000001E-3</v>
      </c>
      <c r="R10" s="369">
        <f>IFERROR(VLOOKUP(P10,'Instructions &amp; Assumptions'!$A$14:$B$27,2,FALSE())+Q10,Q10)</f>
        <v>9.4E-2</v>
      </c>
      <c r="S10" s="363" t="s">
        <v>369</v>
      </c>
      <c r="T10" s="370">
        <v>50</v>
      </c>
      <c r="U10" s="363" t="s">
        <v>370</v>
      </c>
      <c r="V10" s="370">
        <v>192</v>
      </c>
      <c r="W10" s="370">
        <v>48</v>
      </c>
      <c r="X10" s="371">
        <v>44927</v>
      </c>
      <c r="Y10" s="371">
        <v>46477</v>
      </c>
      <c r="Z10" s="393">
        <v>50770</v>
      </c>
      <c r="AA10" s="371">
        <v>45926</v>
      </c>
      <c r="AB10" s="371">
        <f>Z10</f>
        <v>50770</v>
      </c>
      <c r="AC10" s="372" t="s">
        <v>403</v>
      </c>
      <c r="AD10" s="373" t="s">
        <v>404</v>
      </c>
      <c r="AE10" s="373" t="s">
        <v>405</v>
      </c>
      <c r="AF10" s="373" t="s">
        <v>406</v>
      </c>
      <c r="AG10" s="363" t="b">
        <f>FALSE()</f>
        <v>0</v>
      </c>
      <c r="AH10" s="363" t="b">
        <f>FALSE()</f>
        <v>0</v>
      </c>
    </row>
    <row r="11" spans="1:34" ht="21.75" customHeight="1" x14ac:dyDescent="0.3">
      <c r="A11" s="394">
        <v>7</v>
      </c>
      <c r="B11" s="395" t="s">
        <v>79</v>
      </c>
      <c r="C11" s="395" t="s">
        <v>407</v>
      </c>
      <c r="D11" s="396" t="s">
        <v>365</v>
      </c>
      <c r="E11" s="396" t="s">
        <v>366</v>
      </c>
      <c r="F11" s="397" t="b">
        <f>FALSE()</f>
        <v>0</v>
      </c>
      <c r="G11" s="396" t="b">
        <f>FALSE()</f>
        <v>0</v>
      </c>
      <c r="H11" s="394">
        <v>1</v>
      </c>
      <c r="I11" s="396" t="s">
        <v>367</v>
      </c>
      <c r="J11" s="398">
        <v>200</v>
      </c>
      <c r="K11" s="398">
        <f t="shared" si="0"/>
        <v>200</v>
      </c>
      <c r="L11" s="398"/>
      <c r="M11" s="399">
        <f t="shared" si="1"/>
        <v>200</v>
      </c>
      <c r="N11" s="400">
        <f t="shared" si="2"/>
        <v>1</v>
      </c>
      <c r="O11" s="398">
        <f t="shared" si="3"/>
        <v>0</v>
      </c>
      <c r="P11" s="395" t="s">
        <v>408</v>
      </c>
      <c r="Q11" s="401">
        <v>0</v>
      </c>
      <c r="R11" s="402">
        <f>IFERROR(VLOOKUP(P11,'Instructions &amp; Assumptions'!$A$14:$B$27,2,FALSE())+Q11,Q11)</f>
        <v>9.5000000000000001E-2</v>
      </c>
      <c r="S11" s="396" t="s">
        <v>409</v>
      </c>
      <c r="T11" s="403">
        <v>0</v>
      </c>
      <c r="U11" s="396" t="s">
        <v>410</v>
      </c>
      <c r="V11" s="403">
        <v>12</v>
      </c>
      <c r="W11" s="403">
        <v>1</v>
      </c>
      <c r="X11" s="404">
        <v>45974</v>
      </c>
      <c r="Y11" s="404">
        <v>46339</v>
      </c>
      <c r="Z11" s="404">
        <v>46339</v>
      </c>
      <c r="AA11" s="404">
        <v>45974</v>
      </c>
      <c r="AB11" s="404">
        <v>46265</v>
      </c>
      <c r="AC11" s="405" t="s">
        <v>411</v>
      </c>
      <c r="AD11" s="406" t="s">
        <v>412</v>
      </c>
      <c r="AE11" s="406" t="s">
        <v>413</v>
      </c>
      <c r="AF11" s="406" t="s">
        <v>414</v>
      </c>
      <c r="AG11" s="396" t="b">
        <f>FALSE()</f>
        <v>0</v>
      </c>
      <c r="AH11" s="396" t="b">
        <f>FALSE()</f>
        <v>0</v>
      </c>
    </row>
    <row r="12" spans="1:34" ht="21.75" customHeight="1" x14ac:dyDescent="0.3">
      <c r="A12" s="374">
        <v>8</v>
      </c>
      <c r="B12" s="249" t="s">
        <v>79</v>
      </c>
      <c r="C12" s="390" t="s">
        <v>415</v>
      </c>
      <c r="D12" s="375" t="s">
        <v>381</v>
      </c>
      <c r="E12" s="375" t="s">
        <v>382</v>
      </c>
      <c r="F12" s="391" t="b">
        <f>TRUE()</f>
        <v>1</v>
      </c>
      <c r="G12" s="375" t="b">
        <f>FALSE()</f>
        <v>0</v>
      </c>
      <c r="H12" s="376">
        <v>0</v>
      </c>
      <c r="I12" s="375" t="s">
        <v>367</v>
      </c>
      <c r="J12" s="378">
        <v>200</v>
      </c>
      <c r="K12" s="378">
        <f t="shared" si="0"/>
        <v>200</v>
      </c>
      <c r="L12" s="378"/>
      <c r="M12" s="379">
        <f t="shared" si="1"/>
        <v>200</v>
      </c>
      <c r="N12" s="380">
        <f t="shared" si="2"/>
        <v>1</v>
      </c>
      <c r="O12" s="378">
        <f t="shared" si="3"/>
        <v>0</v>
      </c>
      <c r="P12" s="249" t="s">
        <v>383</v>
      </c>
      <c r="Q12" s="381">
        <v>5.0000000000000001E-3</v>
      </c>
      <c r="R12" s="381">
        <f>IFERROR(VLOOKUP(P12,'Instructions &amp; Assumptions'!$A$14:$B$27,2,FALSE())+Q12,Q12)</f>
        <v>5.0000000000000001E-3</v>
      </c>
      <c r="S12" s="375" t="s">
        <v>384</v>
      </c>
      <c r="T12" s="383">
        <v>0</v>
      </c>
      <c r="U12" s="375" t="s">
        <v>385</v>
      </c>
      <c r="V12" s="383">
        <v>6</v>
      </c>
      <c r="W12" s="383">
        <v>0</v>
      </c>
      <c r="X12" s="384">
        <v>45974</v>
      </c>
      <c r="Y12" s="384">
        <f>IFERROR(EDATE(X12,T12),"")</f>
        <v>45974</v>
      </c>
      <c r="Z12" s="384">
        <f>IFERROR(EDATE(X12,V12),"")</f>
        <v>46155</v>
      </c>
      <c r="AA12" s="384">
        <v>45974</v>
      </c>
      <c r="AB12" s="384">
        <v>46265</v>
      </c>
      <c r="AC12" s="385" t="s">
        <v>416</v>
      </c>
      <c r="AD12" s="386" t="s">
        <v>417</v>
      </c>
      <c r="AE12" s="386" t="s">
        <v>413</v>
      </c>
      <c r="AF12" s="386" t="s">
        <v>418</v>
      </c>
      <c r="AG12" s="375" t="b">
        <f>TRUE()</f>
        <v>1</v>
      </c>
      <c r="AH12" s="375" t="b">
        <f>FALSE()</f>
        <v>0</v>
      </c>
    </row>
    <row r="13" spans="1:34" ht="21.75" customHeight="1" x14ac:dyDescent="0.3">
      <c r="A13" s="407">
        <v>9</v>
      </c>
      <c r="B13" s="395" t="s">
        <v>79</v>
      </c>
      <c r="C13" s="395" t="s">
        <v>419</v>
      </c>
      <c r="D13" s="396" t="s">
        <v>420</v>
      </c>
      <c r="E13" s="396" t="s">
        <v>382</v>
      </c>
      <c r="F13" s="397" t="b">
        <f>FALSE()</f>
        <v>0</v>
      </c>
      <c r="G13" s="408" t="b">
        <f>TRUE()</f>
        <v>1</v>
      </c>
      <c r="H13" s="408">
        <v>3</v>
      </c>
      <c r="I13" s="396" t="s">
        <v>367</v>
      </c>
      <c r="J13" s="398">
        <v>100</v>
      </c>
      <c r="K13" s="398">
        <f t="shared" si="0"/>
        <v>100</v>
      </c>
      <c r="L13" s="398"/>
      <c r="M13" s="399">
        <f t="shared" si="1"/>
        <v>100</v>
      </c>
      <c r="N13" s="400">
        <f t="shared" si="2"/>
        <v>1</v>
      </c>
      <c r="O13" s="398">
        <f t="shared" si="3"/>
        <v>0</v>
      </c>
      <c r="P13" s="395" t="s">
        <v>408</v>
      </c>
      <c r="Q13" s="401">
        <v>0</v>
      </c>
      <c r="R13" s="402">
        <f>IFERROR(VLOOKUP(P13,'Instructions &amp; Assumptions'!$A$14:$B$27,2,FALSE())+Q13,Q13)</f>
        <v>9.5000000000000001E-2</v>
      </c>
      <c r="S13" s="396" t="s">
        <v>409</v>
      </c>
      <c r="T13" s="403">
        <v>0</v>
      </c>
      <c r="U13" s="396" t="s">
        <v>421</v>
      </c>
      <c r="V13" s="403">
        <v>12</v>
      </c>
      <c r="W13" s="403">
        <v>0</v>
      </c>
      <c r="X13" s="404">
        <v>45974</v>
      </c>
      <c r="Y13" s="404">
        <f>IFERROR(EDATE(X13,T13),"")</f>
        <v>45974</v>
      </c>
      <c r="Z13" s="404">
        <f>IFERROR(EDATE(X13,V13),"")</f>
        <v>46339</v>
      </c>
      <c r="AA13" s="404">
        <v>45974</v>
      </c>
      <c r="AB13" s="404">
        <v>46265</v>
      </c>
      <c r="AC13" s="405" t="s">
        <v>422</v>
      </c>
      <c r="AD13" s="406" t="s">
        <v>423</v>
      </c>
      <c r="AE13" s="406" t="s">
        <v>413</v>
      </c>
      <c r="AF13" s="406" t="s">
        <v>424</v>
      </c>
      <c r="AG13" s="396" t="b">
        <f>FALSE()</f>
        <v>0</v>
      </c>
      <c r="AH13" s="396" t="b">
        <f>FALSE()</f>
        <v>0</v>
      </c>
    </row>
    <row r="14" spans="1:34" ht="21.75" customHeight="1" x14ac:dyDescent="0.3">
      <c r="A14" s="361">
        <v>10</v>
      </c>
      <c r="B14" s="362" t="s">
        <v>80</v>
      </c>
      <c r="C14" s="362" t="s">
        <v>425</v>
      </c>
      <c r="D14" s="363" t="s">
        <v>365</v>
      </c>
      <c r="E14" s="363" t="s">
        <v>366</v>
      </c>
      <c r="F14" s="364" t="b">
        <f>FALSE()</f>
        <v>0</v>
      </c>
      <c r="G14" s="363" t="b">
        <f>FALSE()</f>
        <v>0</v>
      </c>
      <c r="H14" s="361">
        <v>1</v>
      </c>
      <c r="I14" s="363" t="s">
        <v>367</v>
      </c>
      <c r="J14" s="365">
        <v>650</v>
      </c>
      <c r="K14" s="365">
        <f t="shared" si="0"/>
        <v>650</v>
      </c>
      <c r="L14" s="365"/>
      <c r="M14" s="366">
        <f t="shared" si="1"/>
        <v>650</v>
      </c>
      <c r="N14" s="367">
        <f t="shared" si="2"/>
        <v>1</v>
      </c>
      <c r="O14" s="365">
        <f t="shared" si="3"/>
        <v>0</v>
      </c>
      <c r="P14" s="362" t="s">
        <v>426</v>
      </c>
      <c r="Q14" s="368">
        <v>3.4500000000000003E-2</v>
      </c>
      <c r="R14" s="369">
        <f>IFERROR(VLOOKUP(P14,'Instructions &amp; Assumptions'!$A$14:$B$27,2,FALSE())+Q14,Q14)</f>
        <v>9.5500000000000002E-2</v>
      </c>
      <c r="S14" s="363" t="s">
        <v>369</v>
      </c>
      <c r="T14" s="370">
        <v>12</v>
      </c>
      <c r="U14" s="363" t="s">
        <v>370</v>
      </c>
      <c r="V14" s="370">
        <v>160</v>
      </c>
      <c r="W14" s="370">
        <v>48</v>
      </c>
      <c r="X14" s="371">
        <v>46020</v>
      </c>
      <c r="Y14" s="371">
        <v>46568</v>
      </c>
      <c r="Z14" s="371">
        <v>50860</v>
      </c>
      <c r="AA14" s="371">
        <v>46020</v>
      </c>
      <c r="AB14" s="371">
        <v>50860</v>
      </c>
      <c r="AC14" s="372" t="s">
        <v>427</v>
      </c>
      <c r="AD14" s="373" t="s">
        <v>428</v>
      </c>
      <c r="AE14" s="373" t="s">
        <v>429</v>
      </c>
      <c r="AF14" s="373" t="s">
        <v>430</v>
      </c>
      <c r="AG14" s="363" t="b">
        <f>FALSE()</f>
        <v>0</v>
      </c>
      <c r="AH14" s="363" t="b">
        <f>FALSE()</f>
        <v>0</v>
      </c>
    </row>
    <row r="15" spans="1:34" ht="21.75" customHeight="1" x14ac:dyDescent="0.3">
      <c r="A15" s="374">
        <v>11</v>
      </c>
      <c r="B15" s="249" t="s">
        <v>80</v>
      </c>
      <c r="C15" s="390" t="s">
        <v>431</v>
      </c>
      <c r="D15" s="375" t="s">
        <v>381</v>
      </c>
      <c r="E15" s="375" t="s">
        <v>382</v>
      </c>
      <c r="F15" s="391" t="b">
        <f>TRUE()</f>
        <v>1</v>
      </c>
      <c r="G15" s="375" t="b">
        <f>FALSE()</f>
        <v>0</v>
      </c>
      <c r="H15" s="376">
        <v>0</v>
      </c>
      <c r="I15" s="375" t="s">
        <v>367</v>
      </c>
      <c r="J15" s="378">
        <v>100</v>
      </c>
      <c r="K15" s="378">
        <f t="shared" si="0"/>
        <v>100</v>
      </c>
      <c r="L15" s="378"/>
      <c r="M15" s="379">
        <f t="shared" si="1"/>
        <v>100</v>
      </c>
      <c r="N15" s="380">
        <f t="shared" si="2"/>
        <v>1</v>
      </c>
      <c r="O15" s="378">
        <f t="shared" si="3"/>
        <v>0</v>
      </c>
      <c r="P15" s="249" t="s">
        <v>383</v>
      </c>
      <c r="Q15" s="381">
        <v>5.0000000000000001E-3</v>
      </c>
      <c r="R15" s="381">
        <f>IFERROR(VLOOKUP(P15,'Instructions &amp; Assumptions'!$A$14:$B$27,2,FALSE())+Q15,Q15)</f>
        <v>5.0000000000000001E-3</v>
      </c>
      <c r="S15" s="375" t="s">
        <v>384</v>
      </c>
      <c r="T15" s="383">
        <v>0</v>
      </c>
      <c r="U15" s="375" t="s">
        <v>385</v>
      </c>
      <c r="V15" s="383">
        <v>36</v>
      </c>
      <c r="W15" s="383">
        <v>0</v>
      </c>
      <c r="X15" s="384">
        <v>46020</v>
      </c>
      <c r="Y15" s="384">
        <f>IFERROR(EDATE(X15,T15),"")</f>
        <v>46020</v>
      </c>
      <c r="Z15" s="384">
        <f>IFERROR(EDATE(X15,V15),"")</f>
        <v>47116</v>
      </c>
      <c r="AA15" s="384">
        <v>46020</v>
      </c>
      <c r="AB15" s="384">
        <f>EDATE(X15,V15)</f>
        <v>47116</v>
      </c>
      <c r="AC15" s="385" t="s">
        <v>432</v>
      </c>
      <c r="AD15" s="386" t="s">
        <v>433</v>
      </c>
      <c r="AE15" s="386" t="s">
        <v>429</v>
      </c>
      <c r="AF15" s="386" t="s">
        <v>434</v>
      </c>
      <c r="AG15" s="375" t="b">
        <f>TRUE()</f>
        <v>1</v>
      </c>
      <c r="AH15" s="375" t="b">
        <f>FALSE()</f>
        <v>0</v>
      </c>
    </row>
    <row r="16" spans="1:34" ht="21.75" customHeight="1" x14ac:dyDescent="0.3">
      <c r="A16" s="394">
        <v>12</v>
      </c>
      <c r="B16" s="395" t="s">
        <v>81</v>
      </c>
      <c r="C16" s="395" t="s">
        <v>435</v>
      </c>
      <c r="D16" s="396" t="s">
        <v>365</v>
      </c>
      <c r="E16" s="396" t="s">
        <v>366</v>
      </c>
      <c r="F16" s="397" t="b">
        <f>FALSE()</f>
        <v>0</v>
      </c>
      <c r="G16" s="396" t="b">
        <f>FALSE()</f>
        <v>0</v>
      </c>
      <c r="H16" s="394">
        <v>1</v>
      </c>
      <c r="I16" s="396" t="s">
        <v>367</v>
      </c>
      <c r="J16" s="398">
        <v>530</v>
      </c>
      <c r="K16" s="398">
        <f t="shared" si="0"/>
        <v>530</v>
      </c>
      <c r="L16" s="398"/>
      <c r="M16" s="399">
        <f t="shared" si="1"/>
        <v>530</v>
      </c>
      <c r="N16" s="400">
        <f t="shared" si="2"/>
        <v>1</v>
      </c>
      <c r="O16" s="398">
        <f t="shared" si="3"/>
        <v>0</v>
      </c>
      <c r="P16" s="395" t="s">
        <v>436</v>
      </c>
      <c r="Q16" s="401">
        <v>1.0500000000000001E-2</v>
      </c>
      <c r="R16" s="402">
        <f>IFERROR(VLOOKUP(P16,'Instructions &amp; Assumptions'!$A$14:$B$27,2,FALSE())+Q16,Q16)</f>
        <v>8.7999999999999995E-2</v>
      </c>
      <c r="S16" s="396" t="s">
        <v>369</v>
      </c>
      <c r="T16" s="403">
        <v>12</v>
      </c>
      <c r="U16" s="396" t="s">
        <v>370</v>
      </c>
      <c r="V16" s="403">
        <v>156</v>
      </c>
      <c r="W16" s="403">
        <v>48</v>
      </c>
      <c r="X16" s="404">
        <v>46031</v>
      </c>
      <c r="Y16" s="404">
        <v>46568</v>
      </c>
      <c r="Z16" s="404">
        <v>50860</v>
      </c>
      <c r="AA16" s="404">
        <v>46031</v>
      </c>
      <c r="AB16" s="404">
        <v>50860</v>
      </c>
      <c r="AC16" s="405" t="s">
        <v>427</v>
      </c>
      <c r="AD16" s="406" t="s">
        <v>437</v>
      </c>
      <c r="AE16" s="406" t="s">
        <v>438</v>
      </c>
      <c r="AF16" s="406" t="s">
        <v>439</v>
      </c>
      <c r="AG16" s="396" t="b">
        <f>FALSE()</f>
        <v>0</v>
      </c>
      <c r="AH16" s="396" t="b">
        <f>FALSE()</f>
        <v>0</v>
      </c>
    </row>
    <row r="17" spans="1:34" ht="21.75" customHeight="1" x14ac:dyDescent="0.3">
      <c r="A17" s="374">
        <v>13</v>
      </c>
      <c r="B17" s="249" t="s">
        <v>81</v>
      </c>
      <c r="C17" s="390" t="s">
        <v>440</v>
      </c>
      <c r="D17" s="375" t="s">
        <v>381</v>
      </c>
      <c r="E17" s="375" t="s">
        <v>382</v>
      </c>
      <c r="F17" s="391" t="b">
        <f>TRUE()</f>
        <v>1</v>
      </c>
      <c r="G17" s="375" t="b">
        <f>FALSE()</f>
        <v>0</v>
      </c>
      <c r="H17" s="376">
        <v>0</v>
      </c>
      <c r="I17" s="375" t="s">
        <v>367</v>
      </c>
      <c r="J17" s="378">
        <v>400</v>
      </c>
      <c r="K17" s="378">
        <f t="shared" si="0"/>
        <v>400</v>
      </c>
      <c r="L17" s="378"/>
      <c r="M17" s="379">
        <f t="shared" si="1"/>
        <v>400</v>
      </c>
      <c r="N17" s="380">
        <f t="shared" si="2"/>
        <v>1</v>
      </c>
      <c r="O17" s="378">
        <f t="shared" si="3"/>
        <v>0</v>
      </c>
      <c r="P17" s="249" t="s">
        <v>383</v>
      </c>
      <c r="Q17" s="381">
        <v>3.5000000000000001E-3</v>
      </c>
      <c r="R17" s="381">
        <f>IFERROR(VLOOKUP(P17,'Instructions &amp; Assumptions'!$A$14:$B$27,2,FALSE())+Q17,Q17)</f>
        <v>3.5000000000000001E-3</v>
      </c>
      <c r="S17" s="375" t="s">
        <v>384</v>
      </c>
      <c r="T17" s="383">
        <v>0</v>
      </c>
      <c r="U17" s="375" t="s">
        <v>385</v>
      </c>
      <c r="V17" s="383">
        <v>36</v>
      </c>
      <c r="W17" s="383">
        <v>0</v>
      </c>
      <c r="X17" s="384">
        <v>46031</v>
      </c>
      <c r="Y17" s="384">
        <f t="shared" ref="Y17:Y45" si="4">IFERROR(EDATE(X17,T17),"")</f>
        <v>46031</v>
      </c>
      <c r="Z17" s="384">
        <f>IFERROR(EDATE(X17,V17),"")</f>
        <v>47127</v>
      </c>
      <c r="AA17" s="384">
        <v>46031</v>
      </c>
      <c r="AB17" s="384">
        <v>46295</v>
      </c>
      <c r="AC17" s="385" t="s">
        <v>441</v>
      </c>
      <c r="AD17" s="386" t="s">
        <v>442</v>
      </c>
      <c r="AE17" s="386" t="s">
        <v>438</v>
      </c>
      <c r="AF17" s="386" t="s">
        <v>443</v>
      </c>
      <c r="AG17" s="375" t="b">
        <f>TRUE()</f>
        <v>1</v>
      </c>
      <c r="AH17" s="375" t="b">
        <f>FALSE()</f>
        <v>0</v>
      </c>
    </row>
    <row r="18" spans="1:34" ht="21.75" customHeight="1" x14ac:dyDescent="0.3">
      <c r="A18" s="407">
        <v>14</v>
      </c>
      <c r="B18" s="395" t="s">
        <v>81</v>
      </c>
      <c r="C18" s="409" t="s">
        <v>444</v>
      </c>
      <c r="D18" s="396" t="s">
        <v>381</v>
      </c>
      <c r="E18" s="396" t="s">
        <v>382</v>
      </c>
      <c r="F18" s="410" t="b">
        <f>TRUE()</f>
        <v>1</v>
      </c>
      <c r="G18" s="396" t="b">
        <f>FALSE()</f>
        <v>0</v>
      </c>
      <c r="H18" s="397">
        <v>0</v>
      </c>
      <c r="I18" s="396" t="s">
        <v>367</v>
      </c>
      <c r="J18" s="398">
        <v>200</v>
      </c>
      <c r="K18" s="398">
        <f t="shared" si="0"/>
        <v>200</v>
      </c>
      <c r="L18" s="398"/>
      <c r="M18" s="399">
        <f t="shared" si="1"/>
        <v>200</v>
      </c>
      <c r="N18" s="400">
        <f t="shared" si="2"/>
        <v>1</v>
      </c>
      <c r="O18" s="398">
        <f t="shared" si="3"/>
        <v>0</v>
      </c>
      <c r="P18" s="395" t="s">
        <v>383</v>
      </c>
      <c r="Q18" s="401">
        <v>3.5000000000000001E-3</v>
      </c>
      <c r="R18" s="401">
        <f>IFERROR(VLOOKUP(P18,'Instructions &amp; Assumptions'!$A$14:$B$27,2,FALSE())+Q18,Q18)</f>
        <v>3.5000000000000001E-3</v>
      </c>
      <c r="S18" s="396" t="s">
        <v>384</v>
      </c>
      <c r="T18" s="403">
        <v>0</v>
      </c>
      <c r="U18" s="396" t="s">
        <v>385</v>
      </c>
      <c r="V18" s="403">
        <v>48</v>
      </c>
      <c r="W18" s="403">
        <v>0</v>
      </c>
      <c r="X18" s="404">
        <v>46031</v>
      </c>
      <c r="Y18" s="404">
        <f t="shared" si="4"/>
        <v>46031</v>
      </c>
      <c r="Z18" s="404">
        <f>IFERROR(EDATE(X18,V18),"")</f>
        <v>47492</v>
      </c>
      <c r="AA18" s="404">
        <v>46031</v>
      </c>
      <c r="AB18" s="404">
        <v>46295</v>
      </c>
      <c r="AC18" s="405" t="s">
        <v>445</v>
      </c>
      <c r="AD18" s="406" t="s">
        <v>442</v>
      </c>
      <c r="AE18" s="406" t="s">
        <v>438</v>
      </c>
      <c r="AF18" s="406" t="s">
        <v>446</v>
      </c>
      <c r="AG18" s="396" t="b">
        <f>FALSE()</f>
        <v>0</v>
      </c>
      <c r="AH18" s="396" t="b">
        <f>FALSE()</f>
        <v>0</v>
      </c>
    </row>
    <row r="19" spans="1:34" ht="21.75" customHeight="1" x14ac:dyDescent="0.3">
      <c r="A19" s="374">
        <v>15</v>
      </c>
      <c r="B19" s="249" t="s">
        <v>245</v>
      </c>
      <c r="C19" s="249" t="s">
        <v>447</v>
      </c>
      <c r="D19" s="375" t="s">
        <v>448</v>
      </c>
      <c r="E19" s="375" t="s">
        <v>382</v>
      </c>
      <c r="F19" s="376" t="b">
        <f>FALSE()</f>
        <v>0</v>
      </c>
      <c r="G19" s="375" t="b">
        <f>FALSE()</f>
        <v>0</v>
      </c>
      <c r="H19" s="377">
        <v>1</v>
      </c>
      <c r="I19" s="375" t="s">
        <v>367</v>
      </c>
      <c r="J19" s="378">
        <v>100</v>
      </c>
      <c r="K19" s="378">
        <f t="shared" si="0"/>
        <v>100</v>
      </c>
      <c r="L19" s="378"/>
      <c r="M19" s="379">
        <f t="shared" si="1"/>
        <v>100</v>
      </c>
      <c r="N19" s="380">
        <f t="shared" si="2"/>
        <v>1</v>
      </c>
      <c r="O19" s="378">
        <f t="shared" si="3"/>
        <v>0</v>
      </c>
      <c r="P19" s="249" t="s">
        <v>449</v>
      </c>
      <c r="Q19" s="381">
        <v>2E-3</v>
      </c>
      <c r="R19" s="382">
        <f>IFERROR(VLOOKUP(P19,'Instructions &amp; Assumptions'!$A$14:$B$27,2,FALSE())+Q19,Q19)</f>
        <v>8.5000000000000006E-2</v>
      </c>
      <c r="S19" s="375" t="s">
        <v>369</v>
      </c>
      <c r="T19" s="383">
        <v>0</v>
      </c>
      <c r="U19" s="375" t="s">
        <v>421</v>
      </c>
      <c r="V19" s="383">
        <v>12</v>
      </c>
      <c r="W19" s="383">
        <v>0</v>
      </c>
      <c r="X19" s="384">
        <v>46065</v>
      </c>
      <c r="Y19" s="384">
        <f t="shared" si="4"/>
        <v>46065</v>
      </c>
      <c r="Z19" s="384">
        <v>46421</v>
      </c>
      <c r="AA19" s="384">
        <v>46065</v>
      </c>
      <c r="AB19" s="384">
        <v>46421</v>
      </c>
      <c r="AC19" s="385" t="s">
        <v>450</v>
      </c>
      <c r="AD19" s="386" t="s">
        <v>451</v>
      </c>
      <c r="AE19" s="386" t="s">
        <v>452</v>
      </c>
      <c r="AF19" s="386" t="s">
        <v>453</v>
      </c>
      <c r="AG19" s="375" t="b">
        <f>FALSE()</f>
        <v>0</v>
      </c>
      <c r="AH19" s="375" t="b">
        <f>FALSE()</f>
        <v>0</v>
      </c>
    </row>
    <row r="20" spans="1:34" ht="21.75" customHeight="1" x14ac:dyDescent="0.3">
      <c r="A20" s="361">
        <v>16</v>
      </c>
      <c r="B20" s="362" t="s">
        <v>245</v>
      </c>
      <c r="C20" s="388" t="s">
        <v>454</v>
      </c>
      <c r="D20" s="363" t="s">
        <v>448</v>
      </c>
      <c r="E20" s="363" t="s">
        <v>382</v>
      </c>
      <c r="F20" s="389" t="b">
        <f>TRUE()</f>
        <v>1</v>
      </c>
      <c r="G20" s="363" t="b">
        <f>FALSE()</f>
        <v>0</v>
      </c>
      <c r="H20" s="364">
        <v>0</v>
      </c>
      <c r="I20" s="363" t="s">
        <v>367</v>
      </c>
      <c r="J20" s="365">
        <v>100</v>
      </c>
      <c r="K20" s="365">
        <f t="shared" si="0"/>
        <v>100</v>
      </c>
      <c r="L20" s="365"/>
      <c r="M20" s="366">
        <f t="shared" si="1"/>
        <v>100</v>
      </c>
      <c r="N20" s="367">
        <f t="shared" si="2"/>
        <v>1</v>
      </c>
      <c r="O20" s="365">
        <f t="shared" si="3"/>
        <v>0</v>
      </c>
      <c r="P20" s="362" t="s">
        <v>455</v>
      </c>
      <c r="Q20" s="368">
        <v>0</v>
      </c>
      <c r="R20" s="368">
        <f>IFERROR(VLOOKUP(P20,'Instructions &amp; Assumptions'!$A$14:$B$27,2,FALSE())+Q20,Q20)</f>
        <v>5.2499999999999998E-2</v>
      </c>
      <c r="S20" s="363" t="s">
        <v>409</v>
      </c>
      <c r="T20" s="370">
        <v>0</v>
      </c>
      <c r="U20" s="363" t="s">
        <v>385</v>
      </c>
      <c r="V20" s="370">
        <v>3</v>
      </c>
      <c r="W20" s="370">
        <v>0</v>
      </c>
      <c r="X20" s="371">
        <v>46065</v>
      </c>
      <c r="Y20" s="371">
        <f t="shared" si="4"/>
        <v>46065</v>
      </c>
      <c r="Z20" s="371">
        <v>46421</v>
      </c>
      <c r="AA20" s="371">
        <v>46065</v>
      </c>
      <c r="AB20" s="371">
        <v>46421</v>
      </c>
      <c r="AC20" s="372" t="s">
        <v>456</v>
      </c>
      <c r="AD20" s="373" t="s">
        <v>457</v>
      </c>
      <c r="AE20" s="373" t="s">
        <v>452</v>
      </c>
      <c r="AF20" s="373" t="s">
        <v>458</v>
      </c>
      <c r="AG20" s="363" t="b">
        <f>FALSE()</f>
        <v>0</v>
      </c>
      <c r="AH20" s="363" t="b">
        <f>FALSE()</f>
        <v>0</v>
      </c>
    </row>
    <row r="21" spans="1:34" ht="21.75" customHeight="1" x14ac:dyDescent="0.3">
      <c r="A21" s="374">
        <v>17</v>
      </c>
      <c r="B21" s="249" t="s">
        <v>245</v>
      </c>
      <c r="C21" s="249" t="s">
        <v>459</v>
      </c>
      <c r="D21" s="375" t="s">
        <v>381</v>
      </c>
      <c r="E21" s="375" t="s">
        <v>382</v>
      </c>
      <c r="F21" s="376" t="b">
        <f>FALSE()</f>
        <v>0</v>
      </c>
      <c r="G21" s="375" t="b">
        <f>FALSE()</f>
        <v>0</v>
      </c>
      <c r="H21" s="411">
        <v>2</v>
      </c>
      <c r="I21" s="375" t="s">
        <v>367</v>
      </c>
      <c r="J21" s="378">
        <v>300</v>
      </c>
      <c r="K21" s="378">
        <f t="shared" si="0"/>
        <v>300</v>
      </c>
      <c r="L21" s="378"/>
      <c r="M21" s="379">
        <f t="shared" si="1"/>
        <v>300</v>
      </c>
      <c r="N21" s="380">
        <f t="shared" si="2"/>
        <v>1</v>
      </c>
      <c r="O21" s="378">
        <f t="shared" si="3"/>
        <v>0</v>
      </c>
      <c r="P21" s="249" t="s">
        <v>383</v>
      </c>
      <c r="Q21" s="381">
        <v>6.0000000000000001E-3</v>
      </c>
      <c r="R21" s="381">
        <f>IFERROR(VLOOKUP(P21,'Instructions &amp; Assumptions'!$A$14:$B$27,2,FALSE())+Q21,Q21)</f>
        <v>6.0000000000000001E-3</v>
      </c>
      <c r="S21" s="375" t="s">
        <v>384</v>
      </c>
      <c r="T21" s="383">
        <v>0</v>
      </c>
      <c r="U21" s="375" t="s">
        <v>385</v>
      </c>
      <c r="V21" s="383">
        <v>12</v>
      </c>
      <c r="W21" s="383">
        <v>0</v>
      </c>
      <c r="X21" s="384">
        <v>46065</v>
      </c>
      <c r="Y21" s="384">
        <f t="shared" si="4"/>
        <v>46065</v>
      </c>
      <c r="Z21" s="384">
        <v>46421</v>
      </c>
      <c r="AA21" s="384">
        <v>46065</v>
      </c>
      <c r="AB21" s="384">
        <v>46421</v>
      </c>
      <c r="AC21" s="385" t="s">
        <v>460</v>
      </c>
      <c r="AD21" s="386" t="s">
        <v>457</v>
      </c>
      <c r="AE21" s="386" t="s">
        <v>452</v>
      </c>
      <c r="AF21" s="386" t="s">
        <v>461</v>
      </c>
      <c r="AG21" s="375" t="b">
        <f>FALSE()</f>
        <v>0</v>
      </c>
      <c r="AH21" s="375" t="b">
        <f>FALSE()</f>
        <v>0</v>
      </c>
    </row>
    <row r="22" spans="1:34" ht="21.75" customHeight="1" x14ac:dyDescent="0.3">
      <c r="A22" s="387">
        <v>18</v>
      </c>
      <c r="B22" s="362" t="s">
        <v>245</v>
      </c>
      <c r="C22" s="388" t="s">
        <v>462</v>
      </c>
      <c r="D22" s="363" t="s">
        <v>381</v>
      </c>
      <c r="E22" s="363" t="s">
        <v>382</v>
      </c>
      <c r="F22" s="389" t="b">
        <f>TRUE()</f>
        <v>1</v>
      </c>
      <c r="G22" s="363" t="b">
        <f>FALSE()</f>
        <v>0</v>
      </c>
      <c r="H22" s="364">
        <v>0</v>
      </c>
      <c r="I22" s="363" t="s">
        <v>367</v>
      </c>
      <c r="J22" s="365">
        <v>300</v>
      </c>
      <c r="K22" s="365">
        <f t="shared" si="0"/>
        <v>300</v>
      </c>
      <c r="L22" s="365"/>
      <c r="M22" s="366">
        <f t="shared" si="1"/>
        <v>300</v>
      </c>
      <c r="N22" s="367">
        <f t="shared" si="2"/>
        <v>1</v>
      </c>
      <c r="O22" s="365">
        <f t="shared" si="3"/>
        <v>0</v>
      </c>
      <c r="P22" s="362" t="s">
        <v>383</v>
      </c>
      <c r="Q22" s="368">
        <v>6.0000000000000001E-3</v>
      </c>
      <c r="R22" s="368">
        <f>IFERROR(VLOOKUP(P22,'Instructions &amp; Assumptions'!$A$14:$B$27,2,FALSE())+Q22,Q22)</f>
        <v>6.0000000000000001E-3</v>
      </c>
      <c r="S22" s="363" t="s">
        <v>384</v>
      </c>
      <c r="T22" s="370">
        <v>0</v>
      </c>
      <c r="U22" s="363" t="s">
        <v>385</v>
      </c>
      <c r="V22" s="370">
        <v>36</v>
      </c>
      <c r="W22" s="370">
        <v>0</v>
      </c>
      <c r="X22" s="371">
        <v>46065</v>
      </c>
      <c r="Y22" s="371">
        <f t="shared" si="4"/>
        <v>46065</v>
      </c>
      <c r="Z22" s="371">
        <v>46421</v>
      </c>
      <c r="AA22" s="371">
        <v>46065</v>
      </c>
      <c r="AB22" s="371">
        <v>46421</v>
      </c>
      <c r="AC22" s="372" t="s">
        <v>463</v>
      </c>
      <c r="AD22" s="373" t="s">
        <v>457</v>
      </c>
      <c r="AE22" s="373" t="s">
        <v>452</v>
      </c>
      <c r="AF22" s="373" t="s">
        <v>464</v>
      </c>
      <c r="AG22" s="363" t="b">
        <f>FALSE()</f>
        <v>0</v>
      </c>
      <c r="AH22" s="363" t="b">
        <f>FALSE()</f>
        <v>0</v>
      </c>
    </row>
    <row r="23" spans="1:34" ht="21.75" customHeight="1" x14ac:dyDescent="0.3">
      <c r="A23" s="374">
        <v>19</v>
      </c>
      <c r="B23" s="249" t="s">
        <v>175</v>
      </c>
      <c r="C23" s="249" t="s">
        <v>465</v>
      </c>
      <c r="D23" s="375" t="s">
        <v>381</v>
      </c>
      <c r="E23" s="375" t="s">
        <v>382</v>
      </c>
      <c r="F23" s="376" t="b">
        <f>FALSE()</f>
        <v>0</v>
      </c>
      <c r="G23" s="375" t="b">
        <f>FALSE()</f>
        <v>0</v>
      </c>
      <c r="H23" s="412">
        <v>1</v>
      </c>
      <c r="I23" s="375" t="s">
        <v>367</v>
      </c>
      <c r="J23" s="378">
        <v>200</v>
      </c>
      <c r="K23" s="378">
        <f t="shared" si="0"/>
        <v>200</v>
      </c>
      <c r="L23" s="378"/>
      <c r="M23" s="379">
        <f t="shared" si="1"/>
        <v>200</v>
      </c>
      <c r="N23" s="380">
        <f t="shared" si="2"/>
        <v>1</v>
      </c>
      <c r="O23" s="378">
        <f t="shared" si="3"/>
        <v>0</v>
      </c>
      <c r="P23" s="249" t="s">
        <v>466</v>
      </c>
      <c r="Q23" s="381">
        <v>0</v>
      </c>
      <c r="R23" s="382">
        <f>IFERROR(VLOOKUP(P23,'Instructions &amp; Assumptions'!$A$14:$B$27,2,FALSE())+Q23,Q23)</f>
        <v>0.09</v>
      </c>
      <c r="S23" s="375" t="s">
        <v>409</v>
      </c>
      <c r="T23" s="383">
        <v>0</v>
      </c>
      <c r="U23" s="375" t="s">
        <v>467</v>
      </c>
      <c r="V23" s="383">
        <v>12</v>
      </c>
      <c r="W23" s="383">
        <v>0</v>
      </c>
      <c r="X23" s="384">
        <v>46080</v>
      </c>
      <c r="Y23" s="384">
        <f t="shared" si="4"/>
        <v>46080</v>
      </c>
      <c r="Z23" s="384">
        <f t="shared" ref="Z23:Z45" si="5">IFERROR(EDATE(X23,V23),"")</f>
        <v>46445</v>
      </c>
      <c r="AA23" s="384">
        <v>46080</v>
      </c>
      <c r="AB23" s="384">
        <v>46265</v>
      </c>
      <c r="AC23" s="385" t="s">
        <v>468</v>
      </c>
      <c r="AD23" s="386" t="s">
        <v>469</v>
      </c>
      <c r="AE23" s="386" t="s">
        <v>470</v>
      </c>
      <c r="AF23" s="386" t="s">
        <v>471</v>
      </c>
      <c r="AG23" s="375" t="b">
        <f>FALSE()</f>
        <v>0</v>
      </c>
      <c r="AH23" s="375" t="b">
        <f>FALSE()</f>
        <v>0</v>
      </c>
    </row>
    <row r="24" spans="1:34" ht="21.75" customHeight="1" x14ac:dyDescent="0.3">
      <c r="A24" s="413">
        <v>20</v>
      </c>
      <c r="B24" s="414" t="s">
        <v>175</v>
      </c>
      <c r="C24" s="415" t="s">
        <v>472</v>
      </c>
      <c r="D24" s="416" t="s">
        <v>448</v>
      </c>
      <c r="E24" s="417" t="s">
        <v>382</v>
      </c>
      <c r="F24" s="418" t="b">
        <f>TRUE()</f>
        <v>1</v>
      </c>
      <c r="G24" s="417" t="b">
        <f>FALSE()</f>
        <v>0</v>
      </c>
      <c r="H24" s="419">
        <v>0</v>
      </c>
      <c r="I24" s="417" t="s">
        <v>367</v>
      </c>
      <c r="J24" s="420">
        <v>26.08</v>
      </c>
      <c r="K24" s="420">
        <f t="shared" si="0"/>
        <v>26.08</v>
      </c>
      <c r="L24" s="420"/>
      <c r="M24" s="421">
        <f t="shared" si="1"/>
        <v>26.08</v>
      </c>
      <c r="N24" s="422">
        <f t="shared" si="2"/>
        <v>1</v>
      </c>
      <c r="O24" s="420">
        <f t="shared" si="3"/>
        <v>0</v>
      </c>
      <c r="P24" s="414" t="s">
        <v>466</v>
      </c>
      <c r="Q24" s="423">
        <v>0</v>
      </c>
      <c r="R24" s="424">
        <f>IFERROR(VLOOKUP(P24,'Instructions &amp; Assumptions'!$A$14:$B$27,2,FALSE())+Q24,Q24)</f>
        <v>0.09</v>
      </c>
      <c r="S24" s="417" t="s">
        <v>409</v>
      </c>
      <c r="T24" s="425">
        <v>0</v>
      </c>
      <c r="U24" s="417" t="s">
        <v>385</v>
      </c>
      <c r="V24" s="425">
        <v>6</v>
      </c>
      <c r="W24" s="425">
        <v>0</v>
      </c>
      <c r="X24" s="426">
        <v>46080</v>
      </c>
      <c r="Y24" s="426">
        <f t="shared" si="4"/>
        <v>46080</v>
      </c>
      <c r="Z24" s="426">
        <f t="shared" si="5"/>
        <v>46261</v>
      </c>
      <c r="AA24" s="426">
        <v>46080</v>
      </c>
      <c r="AB24" s="426">
        <v>46265</v>
      </c>
      <c r="AC24" s="427" t="s">
        <v>456</v>
      </c>
      <c r="AD24" s="428" t="s">
        <v>473</v>
      </c>
      <c r="AE24" s="428" t="s">
        <v>470</v>
      </c>
      <c r="AF24" s="428" t="s">
        <v>474</v>
      </c>
      <c r="AG24" s="417" t="b">
        <f>FALSE()</f>
        <v>0</v>
      </c>
      <c r="AH24" s="417" t="b">
        <f>FALSE()</f>
        <v>0</v>
      </c>
    </row>
    <row r="25" spans="1:34" ht="21.75" customHeight="1" x14ac:dyDescent="0.3">
      <c r="A25" s="374">
        <v>21</v>
      </c>
      <c r="B25" s="249" t="s">
        <v>175</v>
      </c>
      <c r="C25" s="390" t="s">
        <v>475</v>
      </c>
      <c r="D25" s="429" t="s">
        <v>448</v>
      </c>
      <c r="E25" s="375" t="s">
        <v>382</v>
      </c>
      <c r="F25" s="391" t="b">
        <f>TRUE()</f>
        <v>1</v>
      </c>
      <c r="G25" s="375" t="b">
        <f>FALSE()</f>
        <v>0</v>
      </c>
      <c r="H25" s="376">
        <v>0</v>
      </c>
      <c r="I25" s="375" t="s">
        <v>367</v>
      </c>
      <c r="J25" s="378">
        <v>10.432</v>
      </c>
      <c r="K25" s="378">
        <f t="shared" si="0"/>
        <v>10.432</v>
      </c>
      <c r="L25" s="378"/>
      <c r="M25" s="379">
        <f t="shared" si="1"/>
        <v>10.432</v>
      </c>
      <c r="N25" s="380">
        <f t="shared" si="2"/>
        <v>1</v>
      </c>
      <c r="O25" s="378">
        <f t="shared" si="3"/>
        <v>0</v>
      </c>
      <c r="P25" s="249" t="s">
        <v>466</v>
      </c>
      <c r="Q25" s="381">
        <v>0</v>
      </c>
      <c r="R25" s="382">
        <f>IFERROR(VLOOKUP(P25,'Instructions &amp; Assumptions'!$A$14:$B$27,2,FALSE())+Q25,Q25)</f>
        <v>0.09</v>
      </c>
      <c r="S25" s="375" t="s">
        <v>409</v>
      </c>
      <c r="T25" s="383">
        <v>0</v>
      </c>
      <c r="U25" s="375" t="s">
        <v>421</v>
      </c>
      <c r="V25" s="383">
        <v>12</v>
      </c>
      <c r="W25" s="383">
        <v>0</v>
      </c>
      <c r="X25" s="384">
        <v>46080</v>
      </c>
      <c r="Y25" s="384">
        <f t="shared" si="4"/>
        <v>46080</v>
      </c>
      <c r="Z25" s="384">
        <f t="shared" si="5"/>
        <v>46445</v>
      </c>
      <c r="AA25" s="384">
        <v>46080</v>
      </c>
      <c r="AB25" s="384">
        <v>46265</v>
      </c>
      <c r="AC25" s="385" t="s">
        <v>456</v>
      </c>
      <c r="AD25" s="386" t="s">
        <v>473</v>
      </c>
      <c r="AE25" s="386" t="s">
        <v>470</v>
      </c>
      <c r="AF25" s="386" t="s">
        <v>476</v>
      </c>
      <c r="AG25" s="375" t="b">
        <f>FALSE()</f>
        <v>0</v>
      </c>
      <c r="AH25" s="375" t="b">
        <f>FALSE()</f>
        <v>0</v>
      </c>
    </row>
    <row r="26" spans="1:34" ht="21.75" customHeight="1" x14ac:dyDescent="0.3">
      <c r="A26" s="430">
        <v>22</v>
      </c>
      <c r="B26" s="414" t="s">
        <v>175</v>
      </c>
      <c r="C26" s="415" t="s">
        <v>477</v>
      </c>
      <c r="D26" s="416" t="s">
        <v>381</v>
      </c>
      <c r="E26" s="417" t="s">
        <v>382</v>
      </c>
      <c r="F26" s="418" t="b">
        <f>TRUE()</f>
        <v>1</v>
      </c>
      <c r="G26" s="417" t="b">
        <f>FALSE()</f>
        <v>0</v>
      </c>
      <c r="H26" s="419">
        <v>0</v>
      </c>
      <c r="I26" s="417" t="s">
        <v>367</v>
      </c>
      <c r="J26" s="420">
        <v>26.08</v>
      </c>
      <c r="K26" s="420">
        <f t="shared" si="0"/>
        <v>26.08</v>
      </c>
      <c r="L26" s="420"/>
      <c r="M26" s="421">
        <f t="shared" si="1"/>
        <v>26.08</v>
      </c>
      <c r="N26" s="422">
        <f t="shared" si="2"/>
        <v>1</v>
      </c>
      <c r="O26" s="420">
        <f t="shared" si="3"/>
        <v>0</v>
      </c>
      <c r="P26" s="414" t="s">
        <v>466</v>
      </c>
      <c r="Q26" s="423">
        <v>0</v>
      </c>
      <c r="R26" s="424">
        <f>IFERROR(VLOOKUP(P26,'Instructions &amp; Assumptions'!$A$14:$B$27,2,FALSE())+Q26,Q26)</f>
        <v>0.09</v>
      </c>
      <c r="S26" s="417" t="s">
        <v>409</v>
      </c>
      <c r="T26" s="425">
        <v>0</v>
      </c>
      <c r="U26" s="417" t="s">
        <v>467</v>
      </c>
      <c r="V26" s="425">
        <v>6</v>
      </c>
      <c r="W26" s="425">
        <v>0</v>
      </c>
      <c r="X26" s="426">
        <v>46080</v>
      </c>
      <c r="Y26" s="426">
        <f t="shared" si="4"/>
        <v>46080</v>
      </c>
      <c r="Z26" s="426">
        <f t="shared" si="5"/>
        <v>46261</v>
      </c>
      <c r="AA26" s="426">
        <v>46080</v>
      </c>
      <c r="AB26" s="426">
        <v>46265</v>
      </c>
      <c r="AC26" s="427" t="s">
        <v>478</v>
      </c>
      <c r="AD26" s="428" t="s">
        <v>473</v>
      </c>
      <c r="AE26" s="428" t="s">
        <v>470</v>
      </c>
      <c r="AF26" s="428" t="s">
        <v>479</v>
      </c>
      <c r="AG26" s="417" t="b">
        <f>FALSE()</f>
        <v>0</v>
      </c>
      <c r="AH26" s="417" t="b">
        <f>FALSE()</f>
        <v>0</v>
      </c>
    </row>
    <row r="27" spans="1:34" ht="21.75" customHeight="1" x14ac:dyDescent="0.3">
      <c r="A27" s="374">
        <v>23</v>
      </c>
      <c r="B27" s="249" t="s">
        <v>175</v>
      </c>
      <c r="C27" s="390" t="s">
        <v>480</v>
      </c>
      <c r="D27" s="429" t="s">
        <v>381</v>
      </c>
      <c r="E27" s="375" t="s">
        <v>382</v>
      </c>
      <c r="F27" s="391" t="b">
        <f>TRUE()</f>
        <v>1</v>
      </c>
      <c r="G27" s="375" t="b">
        <f>FALSE()</f>
        <v>0</v>
      </c>
      <c r="H27" s="376">
        <v>0</v>
      </c>
      <c r="I27" s="375" t="s">
        <v>367</v>
      </c>
      <c r="J27" s="378">
        <v>26.08</v>
      </c>
      <c r="K27" s="378">
        <f t="shared" si="0"/>
        <v>26.08</v>
      </c>
      <c r="L27" s="378"/>
      <c r="M27" s="379">
        <f t="shared" si="1"/>
        <v>26.08</v>
      </c>
      <c r="N27" s="380">
        <f t="shared" si="2"/>
        <v>1</v>
      </c>
      <c r="O27" s="378">
        <f t="shared" si="3"/>
        <v>0</v>
      </c>
      <c r="P27" s="249" t="s">
        <v>466</v>
      </c>
      <c r="Q27" s="381">
        <v>0</v>
      </c>
      <c r="R27" s="382">
        <f>IFERROR(VLOOKUP(P27,'Instructions &amp; Assumptions'!$A$14:$B$27,2,FALSE())+Q27,Q27)</f>
        <v>0.09</v>
      </c>
      <c r="S27" s="375" t="s">
        <v>409</v>
      </c>
      <c r="T27" s="383">
        <v>0</v>
      </c>
      <c r="U27" s="375" t="s">
        <v>385</v>
      </c>
      <c r="V27" s="383">
        <v>6</v>
      </c>
      <c r="W27" s="383">
        <v>0</v>
      </c>
      <c r="X27" s="384">
        <v>46080</v>
      </c>
      <c r="Y27" s="384">
        <f t="shared" si="4"/>
        <v>46080</v>
      </c>
      <c r="Z27" s="384">
        <f t="shared" si="5"/>
        <v>46261</v>
      </c>
      <c r="AA27" s="384">
        <v>46080</v>
      </c>
      <c r="AB27" s="384">
        <v>46265</v>
      </c>
      <c r="AC27" s="385" t="s">
        <v>481</v>
      </c>
      <c r="AD27" s="386" t="s">
        <v>473</v>
      </c>
      <c r="AE27" s="386" t="s">
        <v>470</v>
      </c>
      <c r="AF27" s="386" t="s">
        <v>482</v>
      </c>
      <c r="AG27" s="375" t="b">
        <f>FALSE()</f>
        <v>0</v>
      </c>
      <c r="AH27" s="375" t="b">
        <f>FALSE()</f>
        <v>0</v>
      </c>
    </row>
    <row r="28" spans="1:34" ht="21.75" customHeight="1" x14ac:dyDescent="0.3">
      <c r="A28" s="430">
        <v>24</v>
      </c>
      <c r="B28" s="414" t="s">
        <v>175</v>
      </c>
      <c r="C28" s="415" t="s">
        <v>483</v>
      </c>
      <c r="D28" s="416" t="s">
        <v>448</v>
      </c>
      <c r="E28" s="417" t="s">
        <v>382</v>
      </c>
      <c r="F28" s="418" t="b">
        <f>TRUE()</f>
        <v>1</v>
      </c>
      <c r="G28" s="417" t="b">
        <f>FALSE()</f>
        <v>0</v>
      </c>
      <c r="H28" s="419">
        <v>0</v>
      </c>
      <c r="I28" s="417" t="s">
        <v>367</v>
      </c>
      <c r="J28" s="420">
        <v>26.08</v>
      </c>
      <c r="K28" s="420">
        <f t="shared" si="0"/>
        <v>26.08</v>
      </c>
      <c r="L28" s="420"/>
      <c r="M28" s="421">
        <f t="shared" si="1"/>
        <v>26.08</v>
      </c>
      <c r="N28" s="422">
        <f t="shared" si="2"/>
        <v>1</v>
      </c>
      <c r="O28" s="420">
        <f t="shared" si="3"/>
        <v>0</v>
      </c>
      <c r="P28" s="414" t="s">
        <v>466</v>
      </c>
      <c r="Q28" s="423">
        <v>0</v>
      </c>
      <c r="R28" s="424">
        <f>IFERROR(VLOOKUP(P28,'Instructions &amp; Assumptions'!$A$14:$B$27,2,FALSE())+Q28,Q28)</f>
        <v>0.09</v>
      </c>
      <c r="S28" s="417" t="s">
        <v>409</v>
      </c>
      <c r="T28" s="425">
        <v>0</v>
      </c>
      <c r="U28" s="417" t="s">
        <v>385</v>
      </c>
      <c r="V28" s="425">
        <v>6</v>
      </c>
      <c r="W28" s="425">
        <v>0</v>
      </c>
      <c r="X28" s="426">
        <v>46080</v>
      </c>
      <c r="Y28" s="426">
        <f t="shared" si="4"/>
        <v>46080</v>
      </c>
      <c r="Z28" s="426">
        <f t="shared" si="5"/>
        <v>46261</v>
      </c>
      <c r="AA28" s="426">
        <v>46080</v>
      </c>
      <c r="AB28" s="426">
        <v>46265</v>
      </c>
      <c r="AC28" s="427" t="s">
        <v>484</v>
      </c>
      <c r="AD28" s="428" t="s">
        <v>473</v>
      </c>
      <c r="AE28" s="428" t="s">
        <v>470</v>
      </c>
      <c r="AF28" s="428" t="s">
        <v>482</v>
      </c>
      <c r="AG28" s="417" t="b">
        <f>FALSE()</f>
        <v>0</v>
      </c>
      <c r="AH28" s="417" t="b">
        <f>FALSE()</f>
        <v>0</v>
      </c>
    </row>
    <row r="29" spans="1:34" ht="21.75" customHeight="1" x14ac:dyDescent="0.3">
      <c r="A29" s="374">
        <v>25</v>
      </c>
      <c r="B29" s="249" t="s">
        <v>175</v>
      </c>
      <c r="C29" s="390" t="s">
        <v>485</v>
      </c>
      <c r="D29" s="429" t="s">
        <v>448</v>
      </c>
      <c r="E29" s="375" t="s">
        <v>382</v>
      </c>
      <c r="F29" s="391" t="b">
        <f>TRUE()</f>
        <v>1</v>
      </c>
      <c r="G29" s="375" t="b">
        <f>FALSE()</f>
        <v>0</v>
      </c>
      <c r="H29" s="376">
        <v>0</v>
      </c>
      <c r="I29" s="375" t="s">
        <v>367</v>
      </c>
      <c r="J29" s="378">
        <v>26.08</v>
      </c>
      <c r="K29" s="378">
        <f t="shared" si="0"/>
        <v>26.08</v>
      </c>
      <c r="L29" s="378"/>
      <c r="M29" s="379">
        <f t="shared" si="1"/>
        <v>26.08</v>
      </c>
      <c r="N29" s="380">
        <f t="shared" si="2"/>
        <v>1</v>
      </c>
      <c r="O29" s="378">
        <f t="shared" si="3"/>
        <v>0</v>
      </c>
      <c r="P29" s="249" t="s">
        <v>466</v>
      </c>
      <c r="Q29" s="381">
        <v>0</v>
      </c>
      <c r="R29" s="382">
        <f>IFERROR(VLOOKUP(P29,'Instructions &amp; Assumptions'!$A$14:$B$27,2,FALSE())+Q29,Q29)</f>
        <v>0.09</v>
      </c>
      <c r="S29" s="375" t="s">
        <v>409</v>
      </c>
      <c r="T29" s="383">
        <v>0</v>
      </c>
      <c r="U29" s="375" t="s">
        <v>385</v>
      </c>
      <c r="V29" s="383">
        <v>6</v>
      </c>
      <c r="W29" s="383">
        <v>0</v>
      </c>
      <c r="X29" s="384">
        <v>46080</v>
      </c>
      <c r="Y29" s="384">
        <f t="shared" si="4"/>
        <v>46080</v>
      </c>
      <c r="Z29" s="384">
        <f t="shared" si="5"/>
        <v>46261</v>
      </c>
      <c r="AA29" s="384">
        <v>46080</v>
      </c>
      <c r="AB29" s="384">
        <v>46265</v>
      </c>
      <c r="AC29" s="385" t="s">
        <v>486</v>
      </c>
      <c r="AD29" s="386" t="s">
        <v>473</v>
      </c>
      <c r="AE29" s="386" t="s">
        <v>470</v>
      </c>
      <c r="AF29" s="386" t="s">
        <v>482</v>
      </c>
      <c r="AG29" s="375" t="b">
        <f>FALSE()</f>
        <v>0</v>
      </c>
      <c r="AH29" s="375" t="b">
        <f>FALSE()</f>
        <v>0</v>
      </c>
    </row>
    <row r="30" spans="1:34" ht="21.75" customHeight="1" x14ac:dyDescent="0.3">
      <c r="A30" s="430">
        <v>26</v>
      </c>
      <c r="B30" s="414" t="s">
        <v>175</v>
      </c>
      <c r="C30" s="415" t="s">
        <v>487</v>
      </c>
      <c r="D30" s="416" t="s">
        <v>381</v>
      </c>
      <c r="E30" s="417" t="s">
        <v>382</v>
      </c>
      <c r="F30" s="418" t="b">
        <f>TRUE()</f>
        <v>1</v>
      </c>
      <c r="G30" s="417" t="b">
        <f>FALSE()</f>
        <v>0</v>
      </c>
      <c r="H30" s="419">
        <v>0</v>
      </c>
      <c r="I30" s="417" t="s">
        <v>367</v>
      </c>
      <c r="J30" s="420">
        <v>26.08</v>
      </c>
      <c r="K30" s="420">
        <f t="shared" si="0"/>
        <v>26.08</v>
      </c>
      <c r="L30" s="420"/>
      <c r="M30" s="421">
        <f t="shared" si="1"/>
        <v>26.08</v>
      </c>
      <c r="N30" s="422">
        <f t="shared" si="2"/>
        <v>1</v>
      </c>
      <c r="O30" s="420">
        <f t="shared" si="3"/>
        <v>0</v>
      </c>
      <c r="P30" s="414" t="s">
        <v>466</v>
      </c>
      <c r="Q30" s="423">
        <v>0</v>
      </c>
      <c r="R30" s="424">
        <f>IFERROR(VLOOKUP(P30,'Instructions &amp; Assumptions'!$A$14:$B$27,2,FALSE())+Q30,Q30)</f>
        <v>0.09</v>
      </c>
      <c r="S30" s="417" t="s">
        <v>409</v>
      </c>
      <c r="T30" s="425">
        <v>0</v>
      </c>
      <c r="U30" s="417" t="s">
        <v>467</v>
      </c>
      <c r="V30" s="425">
        <v>6</v>
      </c>
      <c r="W30" s="425">
        <v>0</v>
      </c>
      <c r="X30" s="426">
        <v>46080</v>
      </c>
      <c r="Y30" s="426">
        <f t="shared" si="4"/>
        <v>46080</v>
      </c>
      <c r="Z30" s="426">
        <f t="shared" si="5"/>
        <v>46261</v>
      </c>
      <c r="AA30" s="426">
        <v>46080</v>
      </c>
      <c r="AB30" s="426">
        <v>46265</v>
      </c>
      <c r="AC30" s="427" t="s">
        <v>488</v>
      </c>
      <c r="AD30" s="428" t="s">
        <v>473</v>
      </c>
      <c r="AE30" s="428" t="s">
        <v>470</v>
      </c>
      <c r="AF30" s="428" t="s">
        <v>489</v>
      </c>
      <c r="AG30" s="417" t="b">
        <f>FALSE()</f>
        <v>0</v>
      </c>
      <c r="AH30" s="417" t="b">
        <f>FALSE()</f>
        <v>0</v>
      </c>
    </row>
    <row r="31" spans="1:34" ht="21.75" customHeight="1" x14ac:dyDescent="0.3">
      <c r="A31" s="374">
        <v>27</v>
      </c>
      <c r="B31" s="249" t="s">
        <v>175</v>
      </c>
      <c r="C31" s="390" t="s">
        <v>490</v>
      </c>
      <c r="D31" s="429" t="s">
        <v>448</v>
      </c>
      <c r="E31" s="375" t="s">
        <v>382</v>
      </c>
      <c r="F31" s="391" t="b">
        <f>TRUE()</f>
        <v>1</v>
      </c>
      <c r="G31" s="375" t="b">
        <f>FALSE()</f>
        <v>0</v>
      </c>
      <c r="H31" s="376">
        <v>0</v>
      </c>
      <c r="I31" s="375" t="s">
        <v>367</v>
      </c>
      <c r="J31" s="378">
        <v>26.08</v>
      </c>
      <c r="K31" s="378">
        <f t="shared" si="0"/>
        <v>26.08</v>
      </c>
      <c r="L31" s="378"/>
      <c r="M31" s="379">
        <f t="shared" si="1"/>
        <v>26.08</v>
      </c>
      <c r="N31" s="380">
        <f t="shared" si="2"/>
        <v>1</v>
      </c>
      <c r="O31" s="378">
        <f t="shared" si="3"/>
        <v>0</v>
      </c>
      <c r="P31" s="249" t="s">
        <v>466</v>
      </c>
      <c r="Q31" s="381">
        <v>0</v>
      </c>
      <c r="R31" s="382">
        <f>IFERROR(VLOOKUP(P31,'Instructions &amp; Assumptions'!$A$14:$B$27,2,FALSE())+Q31,Q31)</f>
        <v>0.09</v>
      </c>
      <c r="S31" s="375" t="s">
        <v>409</v>
      </c>
      <c r="T31" s="383">
        <v>0</v>
      </c>
      <c r="U31" s="375" t="s">
        <v>385</v>
      </c>
      <c r="V31" s="383">
        <v>6</v>
      </c>
      <c r="W31" s="383">
        <v>0</v>
      </c>
      <c r="X31" s="384">
        <v>46080</v>
      </c>
      <c r="Y31" s="384">
        <f t="shared" si="4"/>
        <v>46080</v>
      </c>
      <c r="Z31" s="384">
        <f t="shared" si="5"/>
        <v>46261</v>
      </c>
      <c r="AA31" s="384">
        <v>46080</v>
      </c>
      <c r="AB31" s="384">
        <v>46265</v>
      </c>
      <c r="AC31" s="385" t="s">
        <v>491</v>
      </c>
      <c r="AD31" s="386" t="s">
        <v>473</v>
      </c>
      <c r="AE31" s="386" t="s">
        <v>470</v>
      </c>
      <c r="AF31" s="386" t="s">
        <v>492</v>
      </c>
      <c r="AG31" s="375" t="b">
        <f>FALSE()</f>
        <v>0</v>
      </c>
      <c r="AH31" s="375" t="b">
        <f>FALSE()</f>
        <v>0</v>
      </c>
    </row>
    <row r="32" spans="1:34" ht="21.75" customHeight="1" x14ac:dyDescent="0.3">
      <c r="A32" s="430">
        <v>28</v>
      </c>
      <c r="B32" s="414" t="s">
        <v>175</v>
      </c>
      <c r="C32" s="415" t="s">
        <v>493</v>
      </c>
      <c r="D32" s="416" t="s">
        <v>448</v>
      </c>
      <c r="E32" s="417" t="s">
        <v>382</v>
      </c>
      <c r="F32" s="418" t="b">
        <f>TRUE()</f>
        <v>1</v>
      </c>
      <c r="G32" s="417" t="b">
        <f>FALSE()</f>
        <v>0</v>
      </c>
      <c r="H32" s="419">
        <v>0</v>
      </c>
      <c r="I32" s="417" t="s">
        <v>367</v>
      </c>
      <c r="J32" s="420">
        <v>26.08</v>
      </c>
      <c r="K32" s="420">
        <f t="shared" si="0"/>
        <v>26.08</v>
      </c>
      <c r="L32" s="420"/>
      <c r="M32" s="421">
        <f t="shared" si="1"/>
        <v>26.08</v>
      </c>
      <c r="N32" s="422">
        <f t="shared" si="2"/>
        <v>1</v>
      </c>
      <c r="O32" s="420">
        <f t="shared" si="3"/>
        <v>0</v>
      </c>
      <c r="P32" s="414" t="s">
        <v>466</v>
      </c>
      <c r="Q32" s="423">
        <v>0</v>
      </c>
      <c r="R32" s="424">
        <f>IFERROR(VLOOKUP(P32,'Instructions &amp; Assumptions'!$A$14:$B$27,2,FALSE())+Q32,Q32)</f>
        <v>0.09</v>
      </c>
      <c r="S32" s="417" t="s">
        <v>409</v>
      </c>
      <c r="T32" s="425">
        <v>0</v>
      </c>
      <c r="U32" s="417" t="s">
        <v>385</v>
      </c>
      <c r="V32" s="425">
        <v>6</v>
      </c>
      <c r="W32" s="425">
        <v>0</v>
      </c>
      <c r="X32" s="426">
        <v>46080</v>
      </c>
      <c r="Y32" s="426">
        <f t="shared" si="4"/>
        <v>46080</v>
      </c>
      <c r="Z32" s="426">
        <f t="shared" si="5"/>
        <v>46261</v>
      </c>
      <c r="AA32" s="426">
        <v>46080</v>
      </c>
      <c r="AB32" s="426">
        <v>46265</v>
      </c>
      <c r="AC32" s="427" t="s">
        <v>494</v>
      </c>
      <c r="AD32" s="428" t="s">
        <v>473</v>
      </c>
      <c r="AE32" s="428" t="s">
        <v>470</v>
      </c>
      <c r="AF32" s="428" t="s">
        <v>492</v>
      </c>
      <c r="AG32" s="417" t="b">
        <f>FALSE()</f>
        <v>0</v>
      </c>
      <c r="AH32" s="417" t="b">
        <f>FALSE()</f>
        <v>0</v>
      </c>
    </row>
    <row r="33" spans="1:34" ht="21.75" customHeight="1" x14ac:dyDescent="0.3">
      <c r="A33" s="374">
        <v>29</v>
      </c>
      <c r="B33" s="249" t="s">
        <v>175</v>
      </c>
      <c r="C33" s="390" t="s">
        <v>495</v>
      </c>
      <c r="D33" s="429" t="s">
        <v>381</v>
      </c>
      <c r="E33" s="375" t="s">
        <v>382</v>
      </c>
      <c r="F33" s="391" t="b">
        <f>TRUE()</f>
        <v>1</v>
      </c>
      <c r="G33" s="375" t="b">
        <f>FALSE()</f>
        <v>0</v>
      </c>
      <c r="H33" s="376">
        <v>0</v>
      </c>
      <c r="I33" s="375" t="s">
        <v>367</v>
      </c>
      <c r="J33" s="378">
        <v>154.58000000000001</v>
      </c>
      <c r="K33" s="378">
        <f t="shared" si="0"/>
        <v>154.58000000000001</v>
      </c>
      <c r="L33" s="378"/>
      <c r="M33" s="379">
        <f t="shared" si="1"/>
        <v>154.58000000000001</v>
      </c>
      <c r="N33" s="380">
        <f t="shared" si="2"/>
        <v>1</v>
      </c>
      <c r="O33" s="378">
        <f t="shared" si="3"/>
        <v>0</v>
      </c>
      <c r="P33" s="249" t="s">
        <v>466</v>
      </c>
      <c r="Q33" s="381">
        <v>0</v>
      </c>
      <c r="R33" s="382">
        <f>IFERROR(VLOOKUP(P33,'Instructions &amp; Assumptions'!$A$14:$B$27,2,FALSE())+Q33,Q33)</f>
        <v>0.09</v>
      </c>
      <c r="S33" s="375" t="s">
        <v>409</v>
      </c>
      <c r="T33" s="383">
        <v>0</v>
      </c>
      <c r="U33" s="375" t="s">
        <v>467</v>
      </c>
      <c r="V33" s="383">
        <v>6</v>
      </c>
      <c r="W33" s="383">
        <v>0</v>
      </c>
      <c r="X33" s="384">
        <v>46080</v>
      </c>
      <c r="Y33" s="384">
        <f t="shared" si="4"/>
        <v>46080</v>
      </c>
      <c r="Z33" s="384">
        <f t="shared" si="5"/>
        <v>46261</v>
      </c>
      <c r="AA33" s="384">
        <v>46080</v>
      </c>
      <c r="AB33" s="384">
        <v>46265</v>
      </c>
      <c r="AC33" s="385" t="s">
        <v>496</v>
      </c>
      <c r="AD33" s="386" t="s">
        <v>473</v>
      </c>
      <c r="AE33" s="386" t="s">
        <v>470</v>
      </c>
      <c r="AF33" s="386" t="s">
        <v>497</v>
      </c>
      <c r="AG33" s="375" t="b">
        <f>FALSE()</f>
        <v>0</v>
      </c>
      <c r="AH33" s="375" t="b">
        <f>FALSE()</f>
        <v>0</v>
      </c>
    </row>
    <row r="34" spans="1:34" ht="21.75" customHeight="1" x14ac:dyDescent="0.3">
      <c r="A34" s="430">
        <v>30</v>
      </c>
      <c r="B34" s="414" t="s">
        <v>175</v>
      </c>
      <c r="C34" s="415" t="s">
        <v>498</v>
      </c>
      <c r="D34" s="416" t="s">
        <v>381</v>
      </c>
      <c r="E34" s="417" t="s">
        <v>382</v>
      </c>
      <c r="F34" s="418" t="b">
        <f>TRUE()</f>
        <v>1</v>
      </c>
      <c r="G34" s="417" t="b">
        <f>FALSE()</f>
        <v>0</v>
      </c>
      <c r="H34" s="419">
        <v>0</v>
      </c>
      <c r="I34" s="417" t="s">
        <v>367</v>
      </c>
      <c r="J34" s="420">
        <v>154.58000000000001</v>
      </c>
      <c r="K34" s="420">
        <f t="shared" si="0"/>
        <v>154.58000000000001</v>
      </c>
      <c r="L34" s="420"/>
      <c r="M34" s="421">
        <f t="shared" si="1"/>
        <v>154.58000000000001</v>
      </c>
      <c r="N34" s="422">
        <f t="shared" si="2"/>
        <v>1</v>
      </c>
      <c r="O34" s="420">
        <f t="shared" si="3"/>
        <v>0</v>
      </c>
      <c r="P34" s="414" t="s">
        <v>383</v>
      </c>
      <c r="Q34" s="423">
        <v>0</v>
      </c>
      <c r="R34" s="423">
        <f>IFERROR(VLOOKUP(P34,'Instructions &amp; Assumptions'!$A$14:$B$27,2,FALSE())+Q34,Q34)</f>
        <v>0</v>
      </c>
      <c r="S34" s="417" t="s">
        <v>409</v>
      </c>
      <c r="T34" s="425">
        <v>0</v>
      </c>
      <c r="U34" s="417" t="s">
        <v>385</v>
      </c>
      <c r="V34" s="425">
        <v>6</v>
      </c>
      <c r="W34" s="425">
        <v>0</v>
      </c>
      <c r="X34" s="426">
        <v>46080</v>
      </c>
      <c r="Y34" s="426">
        <f t="shared" si="4"/>
        <v>46080</v>
      </c>
      <c r="Z34" s="426">
        <f t="shared" si="5"/>
        <v>46261</v>
      </c>
      <c r="AA34" s="426">
        <v>46080</v>
      </c>
      <c r="AB34" s="426">
        <v>46265</v>
      </c>
      <c r="AC34" s="427" t="s">
        <v>499</v>
      </c>
      <c r="AD34" s="428" t="s">
        <v>473</v>
      </c>
      <c r="AE34" s="428" t="s">
        <v>470</v>
      </c>
      <c r="AF34" s="428" t="s">
        <v>500</v>
      </c>
      <c r="AG34" s="417" t="b">
        <f>FALSE()</f>
        <v>0</v>
      </c>
      <c r="AH34" s="417" t="b">
        <f>FALSE()</f>
        <v>0</v>
      </c>
    </row>
    <row r="35" spans="1:34" ht="21.75" customHeight="1" x14ac:dyDescent="0.3">
      <c r="A35" s="374">
        <v>31</v>
      </c>
      <c r="B35" s="249" t="s">
        <v>175</v>
      </c>
      <c r="C35" s="390" t="s">
        <v>501</v>
      </c>
      <c r="D35" s="429" t="s">
        <v>381</v>
      </c>
      <c r="E35" s="375" t="s">
        <v>382</v>
      </c>
      <c r="F35" s="391" t="b">
        <f>TRUE()</f>
        <v>1</v>
      </c>
      <c r="G35" s="375" t="b">
        <f>FALSE()</f>
        <v>0</v>
      </c>
      <c r="H35" s="376">
        <v>0</v>
      </c>
      <c r="I35" s="375" t="s">
        <v>367</v>
      </c>
      <c r="J35" s="378">
        <v>10</v>
      </c>
      <c r="K35" s="378">
        <f t="shared" si="0"/>
        <v>10</v>
      </c>
      <c r="L35" s="378"/>
      <c r="M35" s="379">
        <f t="shared" si="1"/>
        <v>10</v>
      </c>
      <c r="N35" s="380">
        <f t="shared" si="2"/>
        <v>1</v>
      </c>
      <c r="O35" s="378">
        <f t="shared" si="3"/>
        <v>0</v>
      </c>
      <c r="P35" s="249" t="s">
        <v>383</v>
      </c>
      <c r="Q35" s="381">
        <v>0</v>
      </c>
      <c r="R35" s="381">
        <f>IFERROR(VLOOKUP(P35,'Instructions &amp; Assumptions'!$A$14:$B$27,2,FALSE())+Q35,Q35)</f>
        <v>0</v>
      </c>
      <c r="S35" s="375" t="s">
        <v>409</v>
      </c>
      <c r="T35" s="383">
        <v>0</v>
      </c>
      <c r="U35" s="375" t="s">
        <v>385</v>
      </c>
      <c r="V35" s="383">
        <v>6</v>
      </c>
      <c r="W35" s="383">
        <v>0</v>
      </c>
      <c r="X35" s="384">
        <v>46080</v>
      </c>
      <c r="Y35" s="384">
        <f t="shared" si="4"/>
        <v>46080</v>
      </c>
      <c r="Z35" s="384">
        <f t="shared" si="5"/>
        <v>46261</v>
      </c>
      <c r="AA35" s="384">
        <v>46080</v>
      </c>
      <c r="AB35" s="384">
        <v>46265</v>
      </c>
      <c r="AC35" s="385" t="s">
        <v>499</v>
      </c>
      <c r="AD35" s="386" t="s">
        <v>473</v>
      </c>
      <c r="AE35" s="386" t="s">
        <v>470</v>
      </c>
      <c r="AF35" s="386" t="s">
        <v>502</v>
      </c>
      <c r="AG35" s="375" t="b">
        <f>FALSE()</f>
        <v>0</v>
      </c>
      <c r="AH35" s="375" t="b">
        <f>FALSE()</f>
        <v>0</v>
      </c>
    </row>
    <row r="36" spans="1:34" ht="21.75" customHeight="1" x14ac:dyDescent="0.3">
      <c r="A36" s="430">
        <v>32</v>
      </c>
      <c r="B36" s="414" t="s">
        <v>175</v>
      </c>
      <c r="C36" s="415" t="s">
        <v>503</v>
      </c>
      <c r="D36" s="416" t="s">
        <v>381</v>
      </c>
      <c r="E36" s="417" t="s">
        <v>382</v>
      </c>
      <c r="F36" s="418" t="b">
        <f>TRUE()</f>
        <v>1</v>
      </c>
      <c r="G36" s="417" t="b">
        <f>FALSE()</f>
        <v>0</v>
      </c>
      <c r="H36" s="419">
        <v>0</v>
      </c>
      <c r="I36" s="417" t="s">
        <v>367</v>
      </c>
      <c r="J36" s="420">
        <v>17.399999999999999</v>
      </c>
      <c r="K36" s="420">
        <f t="shared" si="0"/>
        <v>17.399999999999999</v>
      </c>
      <c r="L36" s="420"/>
      <c r="M36" s="421">
        <f t="shared" si="1"/>
        <v>17.399999999999999</v>
      </c>
      <c r="N36" s="422">
        <f t="shared" si="2"/>
        <v>1</v>
      </c>
      <c r="O36" s="420">
        <f t="shared" si="3"/>
        <v>0</v>
      </c>
      <c r="P36" s="414" t="s">
        <v>466</v>
      </c>
      <c r="Q36" s="423">
        <v>0</v>
      </c>
      <c r="R36" s="424">
        <f>IFERROR(VLOOKUP(P36,'Instructions &amp; Assumptions'!$A$14:$B$27,2,FALSE())+Q36,Q36)</f>
        <v>0.09</v>
      </c>
      <c r="S36" s="417" t="s">
        <v>409</v>
      </c>
      <c r="T36" s="425">
        <v>0</v>
      </c>
      <c r="U36" s="417" t="s">
        <v>385</v>
      </c>
      <c r="V36" s="425">
        <v>48</v>
      </c>
      <c r="W36" s="425">
        <v>0</v>
      </c>
      <c r="X36" s="426">
        <v>46080</v>
      </c>
      <c r="Y36" s="426">
        <f t="shared" si="4"/>
        <v>46080</v>
      </c>
      <c r="Z36" s="426">
        <f t="shared" si="5"/>
        <v>47541</v>
      </c>
      <c r="AA36" s="426">
        <v>46080</v>
      </c>
      <c r="AB36" s="426">
        <v>46265</v>
      </c>
      <c r="AC36" s="427" t="s">
        <v>504</v>
      </c>
      <c r="AD36" s="428" t="s">
        <v>473</v>
      </c>
      <c r="AE36" s="428" t="s">
        <v>470</v>
      </c>
      <c r="AF36" s="428" t="s">
        <v>505</v>
      </c>
      <c r="AG36" s="417" t="b">
        <f>FALSE()</f>
        <v>0</v>
      </c>
      <c r="AH36" s="417" t="b">
        <f>FALSE()</f>
        <v>0</v>
      </c>
    </row>
    <row r="37" spans="1:34" ht="21.75" customHeight="1" x14ac:dyDescent="0.3">
      <c r="A37" s="374">
        <v>33</v>
      </c>
      <c r="B37" s="249" t="s">
        <v>175</v>
      </c>
      <c r="C37" s="390" t="s">
        <v>506</v>
      </c>
      <c r="D37" s="429" t="s">
        <v>381</v>
      </c>
      <c r="E37" s="375" t="s">
        <v>382</v>
      </c>
      <c r="F37" s="391" t="b">
        <f>TRUE()</f>
        <v>1</v>
      </c>
      <c r="G37" s="375" t="b">
        <f>FALSE()</f>
        <v>0</v>
      </c>
      <c r="H37" s="376">
        <v>0</v>
      </c>
      <c r="I37" s="375" t="s">
        <v>367</v>
      </c>
      <c r="J37" s="378">
        <v>1.94</v>
      </c>
      <c r="K37" s="378">
        <f t="shared" si="0"/>
        <v>1.94</v>
      </c>
      <c r="L37" s="378"/>
      <c r="M37" s="379">
        <f t="shared" si="1"/>
        <v>1.94</v>
      </c>
      <c r="N37" s="380">
        <f t="shared" si="2"/>
        <v>1</v>
      </c>
      <c r="O37" s="378">
        <f t="shared" si="3"/>
        <v>0</v>
      </c>
      <c r="P37" s="249" t="s">
        <v>466</v>
      </c>
      <c r="Q37" s="381">
        <v>0</v>
      </c>
      <c r="R37" s="382">
        <f>IFERROR(VLOOKUP(P37,'Instructions &amp; Assumptions'!$A$14:$B$27,2,FALSE())+Q37,Q37)</f>
        <v>0.09</v>
      </c>
      <c r="S37" s="375" t="s">
        <v>409</v>
      </c>
      <c r="T37" s="383">
        <v>0</v>
      </c>
      <c r="U37" s="375" t="s">
        <v>385</v>
      </c>
      <c r="V37" s="383">
        <v>48</v>
      </c>
      <c r="W37" s="383">
        <v>0</v>
      </c>
      <c r="X37" s="384">
        <v>46080</v>
      </c>
      <c r="Y37" s="384">
        <f t="shared" si="4"/>
        <v>46080</v>
      </c>
      <c r="Z37" s="384">
        <f t="shared" si="5"/>
        <v>47541</v>
      </c>
      <c r="AA37" s="384">
        <v>46080</v>
      </c>
      <c r="AB37" s="384">
        <v>46265</v>
      </c>
      <c r="AC37" s="385" t="s">
        <v>507</v>
      </c>
      <c r="AD37" s="386" t="s">
        <v>473</v>
      </c>
      <c r="AE37" s="386" t="s">
        <v>470</v>
      </c>
      <c r="AF37" s="386" t="s">
        <v>505</v>
      </c>
      <c r="AG37" s="375" t="b">
        <f>FALSE()</f>
        <v>0</v>
      </c>
      <c r="AH37" s="375" t="b">
        <f>FALSE()</f>
        <v>0</v>
      </c>
    </row>
    <row r="38" spans="1:34" ht="21.75" customHeight="1" x14ac:dyDescent="0.3">
      <c r="A38" s="361">
        <v>34</v>
      </c>
      <c r="B38" s="362" t="s">
        <v>84</v>
      </c>
      <c r="C38" s="362" t="s">
        <v>508</v>
      </c>
      <c r="D38" s="363" t="s">
        <v>381</v>
      </c>
      <c r="E38" s="363" t="s">
        <v>382</v>
      </c>
      <c r="F38" s="364" t="b">
        <f>FALSE()</f>
        <v>0</v>
      </c>
      <c r="G38" s="363" t="b">
        <f>FALSE()</f>
        <v>0</v>
      </c>
      <c r="H38" s="431">
        <v>2</v>
      </c>
      <c r="I38" s="363" t="s">
        <v>367</v>
      </c>
      <c r="J38" s="365">
        <v>250</v>
      </c>
      <c r="K38" s="365">
        <f t="shared" si="0"/>
        <v>250</v>
      </c>
      <c r="L38" s="365"/>
      <c r="M38" s="366">
        <f t="shared" si="1"/>
        <v>250</v>
      </c>
      <c r="N38" s="367">
        <f t="shared" si="2"/>
        <v>1</v>
      </c>
      <c r="O38" s="365">
        <f t="shared" si="3"/>
        <v>0</v>
      </c>
      <c r="P38" s="362" t="s">
        <v>383</v>
      </c>
      <c r="Q38" s="368">
        <v>5.0000000000000001E-3</v>
      </c>
      <c r="R38" s="368">
        <f>IFERROR(VLOOKUP(P38,'Instructions &amp; Assumptions'!$A$14:$B$27,2,FALSE())+Q38,Q38)</f>
        <v>5.0000000000000001E-3</v>
      </c>
      <c r="S38" s="363" t="s">
        <v>384</v>
      </c>
      <c r="T38" s="370">
        <v>0</v>
      </c>
      <c r="U38" s="363" t="s">
        <v>385</v>
      </c>
      <c r="V38" s="370">
        <v>12</v>
      </c>
      <c r="W38" s="370">
        <v>0</v>
      </c>
      <c r="X38" s="371">
        <v>46107</v>
      </c>
      <c r="Y38" s="371">
        <f t="shared" si="4"/>
        <v>46107</v>
      </c>
      <c r="Z38" s="371">
        <f t="shared" si="5"/>
        <v>46472</v>
      </c>
      <c r="AA38" s="371">
        <v>46107</v>
      </c>
      <c r="AB38" s="371">
        <v>46265</v>
      </c>
      <c r="AC38" s="372" t="s">
        <v>509</v>
      </c>
      <c r="AD38" s="373" t="s">
        <v>510</v>
      </c>
      <c r="AE38" s="373" t="s">
        <v>511</v>
      </c>
      <c r="AF38" s="373" t="s">
        <v>512</v>
      </c>
      <c r="AG38" s="363" t="b">
        <f>FALSE()</f>
        <v>0</v>
      </c>
      <c r="AH38" s="363" t="b">
        <f>FALSE()</f>
        <v>0</v>
      </c>
    </row>
    <row r="39" spans="1:34" ht="21.75" customHeight="1" x14ac:dyDescent="0.3">
      <c r="A39" s="374">
        <v>35</v>
      </c>
      <c r="B39" s="249" t="s">
        <v>84</v>
      </c>
      <c r="C39" s="390" t="s">
        <v>513</v>
      </c>
      <c r="D39" s="375" t="s">
        <v>448</v>
      </c>
      <c r="E39" s="375" t="s">
        <v>382</v>
      </c>
      <c r="F39" s="391" t="b">
        <f>TRUE()</f>
        <v>1</v>
      </c>
      <c r="G39" s="375" t="b">
        <f>FALSE()</f>
        <v>0</v>
      </c>
      <c r="H39" s="376">
        <v>0</v>
      </c>
      <c r="I39" s="375" t="s">
        <v>367</v>
      </c>
      <c r="J39" s="378">
        <v>100</v>
      </c>
      <c r="K39" s="378">
        <f t="shared" si="0"/>
        <v>100</v>
      </c>
      <c r="L39" s="378"/>
      <c r="M39" s="379">
        <f t="shared" si="1"/>
        <v>100</v>
      </c>
      <c r="N39" s="380">
        <f t="shared" si="2"/>
        <v>1</v>
      </c>
      <c r="O39" s="378">
        <f t="shared" si="3"/>
        <v>0</v>
      </c>
      <c r="P39" s="249" t="s">
        <v>408</v>
      </c>
      <c r="Q39" s="381">
        <v>0</v>
      </c>
      <c r="R39" s="382">
        <f>IFERROR(VLOOKUP(P39,'Instructions &amp; Assumptions'!$A$14:$B$27,2,FALSE())+Q39,Q39)</f>
        <v>9.5000000000000001E-2</v>
      </c>
      <c r="S39" s="375" t="s">
        <v>409</v>
      </c>
      <c r="T39" s="383">
        <v>0</v>
      </c>
      <c r="U39" s="375" t="s">
        <v>385</v>
      </c>
      <c r="V39" s="383">
        <v>6</v>
      </c>
      <c r="W39" s="383">
        <v>0</v>
      </c>
      <c r="X39" s="384">
        <v>46107</v>
      </c>
      <c r="Y39" s="384">
        <f t="shared" si="4"/>
        <v>46107</v>
      </c>
      <c r="Z39" s="384">
        <f t="shared" si="5"/>
        <v>46291</v>
      </c>
      <c r="AA39" s="384">
        <v>46107</v>
      </c>
      <c r="AB39" s="384">
        <v>46265</v>
      </c>
      <c r="AC39" s="385" t="s">
        <v>514</v>
      </c>
      <c r="AD39" s="386" t="s">
        <v>515</v>
      </c>
      <c r="AE39" s="386" t="s">
        <v>511</v>
      </c>
      <c r="AF39" s="386" t="s">
        <v>516</v>
      </c>
      <c r="AG39" s="375" t="b">
        <f>FALSE()</f>
        <v>0</v>
      </c>
      <c r="AH39" s="375" t="b">
        <f>FALSE()</f>
        <v>0</v>
      </c>
    </row>
    <row r="40" spans="1:34" ht="21.75" customHeight="1" x14ac:dyDescent="0.3">
      <c r="A40" s="387">
        <v>36</v>
      </c>
      <c r="B40" s="362" t="s">
        <v>84</v>
      </c>
      <c r="C40" s="388" t="s">
        <v>517</v>
      </c>
      <c r="D40" s="363" t="s">
        <v>448</v>
      </c>
      <c r="E40" s="363" t="s">
        <v>382</v>
      </c>
      <c r="F40" s="389" t="b">
        <f>TRUE()</f>
        <v>1</v>
      </c>
      <c r="G40" s="363" t="b">
        <f>FALSE()</f>
        <v>0</v>
      </c>
      <c r="H40" s="364">
        <v>0</v>
      </c>
      <c r="I40" s="363" t="s">
        <v>367</v>
      </c>
      <c r="J40" s="365">
        <v>200</v>
      </c>
      <c r="K40" s="365">
        <f t="shared" si="0"/>
        <v>200</v>
      </c>
      <c r="L40" s="365"/>
      <c r="M40" s="366">
        <f t="shared" si="1"/>
        <v>200</v>
      </c>
      <c r="N40" s="367">
        <f t="shared" si="2"/>
        <v>1</v>
      </c>
      <c r="O40" s="365">
        <f t="shared" si="3"/>
        <v>0</v>
      </c>
      <c r="P40" s="362" t="s">
        <v>408</v>
      </c>
      <c r="Q40" s="368">
        <v>0</v>
      </c>
      <c r="R40" s="369">
        <f>IFERROR(VLOOKUP(P40,'Instructions &amp; Assumptions'!$A$14:$B$27,2,FALSE())+Q40,Q40)</f>
        <v>9.5000000000000001E-2</v>
      </c>
      <c r="S40" s="363" t="s">
        <v>409</v>
      </c>
      <c r="T40" s="370">
        <v>0</v>
      </c>
      <c r="U40" s="363" t="s">
        <v>385</v>
      </c>
      <c r="V40" s="370">
        <v>6</v>
      </c>
      <c r="W40" s="370">
        <v>0</v>
      </c>
      <c r="X40" s="371">
        <v>46107</v>
      </c>
      <c r="Y40" s="371">
        <f t="shared" si="4"/>
        <v>46107</v>
      </c>
      <c r="Z40" s="371">
        <f t="shared" si="5"/>
        <v>46291</v>
      </c>
      <c r="AA40" s="371">
        <v>46107</v>
      </c>
      <c r="AB40" s="371">
        <v>46265</v>
      </c>
      <c r="AC40" s="372" t="s">
        <v>484</v>
      </c>
      <c r="AD40" s="373" t="s">
        <v>515</v>
      </c>
      <c r="AE40" s="373" t="s">
        <v>511</v>
      </c>
      <c r="AF40" s="373" t="s">
        <v>516</v>
      </c>
      <c r="AG40" s="363" t="b">
        <f>FALSE()</f>
        <v>0</v>
      </c>
      <c r="AH40" s="363" t="b">
        <f>FALSE()</f>
        <v>0</v>
      </c>
    </row>
    <row r="41" spans="1:34" ht="21.75" customHeight="1" x14ac:dyDescent="0.3">
      <c r="A41" s="374">
        <v>37</v>
      </c>
      <c r="B41" s="249" t="s">
        <v>84</v>
      </c>
      <c r="C41" s="390" t="s">
        <v>518</v>
      </c>
      <c r="D41" s="375" t="s">
        <v>381</v>
      </c>
      <c r="E41" s="375" t="s">
        <v>382</v>
      </c>
      <c r="F41" s="391" t="b">
        <f>TRUE()</f>
        <v>1</v>
      </c>
      <c r="G41" s="375" t="b">
        <f>FALSE()</f>
        <v>0</v>
      </c>
      <c r="H41" s="376">
        <v>0</v>
      </c>
      <c r="I41" s="375" t="s">
        <v>367</v>
      </c>
      <c r="J41" s="378">
        <v>250</v>
      </c>
      <c r="K41" s="378">
        <f t="shared" si="0"/>
        <v>250</v>
      </c>
      <c r="L41" s="378"/>
      <c r="M41" s="379">
        <f t="shared" si="1"/>
        <v>250</v>
      </c>
      <c r="N41" s="380">
        <f t="shared" si="2"/>
        <v>1</v>
      </c>
      <c r="O41" s="378">
        <f t="shared" si="3"/>
        <v>0</v>
      </c>
      <c r="P41" s="249" t="s">
        <v>408</v>
      </c>
      <c r="Q41" s="381">
        <v>0</v>
      </c>
      <c r="R41" s="382">
        <f>IFERROR(VLOOKUP(P41,'Instructions &amp; Assumptions'!$A$14:$B$27,2,FALSE())+Q41,Q41)</f>
        <v>9.5000000000000001E-2</v>
      </c>
      <c r="S41" s="375" t="s">
        <v>409</v>
      </c>
      <c r="T41" s="383">
        <v>0</v>
      </c>
      <c r="U41" s="375" t="s">
        <v>385</v>
      </c>
      <c r="V41" s="383">
        <v>12</v>
      </c>
      <c r="W41" s="383">
        <v>0</v>
      </c>
      <c r="X41" s="384">
        <v>46107</v>
      </c>
      <c r="Y41" s="384">
        <f t="shared" si="4"/>
        <v>46107</v>
      </c>
      <c r="Z41" s="384">
        <f t="shared" si="5"/>
        <v>46472</v>
      </c>
      <c r="AA41" s="384">
        <v>46107</v>
      </c>
      <c r="AB41" s="384">
        <v>46265</v>
      </c>
      <c r="AC41" s="385" t="s">
        <v>519</v>
      </c>
      <c r="AD41" s="386" t="s">
        <v>515</v>
      </c>
      <c r="AE41" s="386" t="s">
        <v>511</v>
      </c>
      <c r="AF41" s="386" t="s">
        <v>520</v>
      </c>
      <c r="AG41" s="375" t="b">
        <f>FALSE()</f>
        <v>0</v>
      </c>
      <c r="AH41" s="375" t="b">
        <f>FALSE()</f>
        <v>0</v>
      </c>
    </row>
    <row r="42" spans="1:34" ht="21.75" customHeight="1" x14ac:dyDescent="0.3">
      <c r="A42" s="387">
        <v>38</v>
      </c>
      <c r="B42" s="362" t="s">
        <v>84</v>
      </c>
      <c r="C42" s="388" t="s">
        <v>521</v>
      </c>
      <c r="D42" s="363" t="s">
        <v>448</v>
      </c>
      <c r="E42" s="363" t="s">
        <v>382</v>
      </c>
      <c r="F42" s="389" t="b">
        <f>TRUE()</f>
        <v>1</v>
      </c>
      <c r="G42" s="363" t="b">
        <f>FALSE()</f>
        <v>0</v>
      </c>
      <c r="H42" s="364">
        <v>0</v>
      </c>
      <c r="I42" s="363" t="s">
        <v>367</v>
      </c>
      <c r="J42" s="365">
        <v>50</v>
      </c>
      <c r="K42" s="365">
        <f t="shared" si="0"/>
        <v>50</v>
      </c>
      <c r="L42" s="365"/>
      <c r="M42" s="366">
        <f t="shared" si="1"/>
        <v>50</v>
      </c>
      <c r="N42" s="367">
        <f t="shared" si="2"/>
        <v>1</v>
      </c>
      <c r="O42" s="365">
        <f t="shared" si="3"/>
        <v>0</v>
      </c>
      <c r="P42" s="362" t="s">
        <v>522</v>
      </c>
      <c r="Q42" s="368">
        <v>0</v>
      </c>
      <c r="R42" s="368">
        <f>IFERROR(VLOOKUP(P42,'Instructions &amp; Assumptions'!$A$14:$B$27,2,FALSE())+Q42,Q42)</f>
        <v>8.1500000000000003E-2</v>
      </c>
      <c r="S42" s="363" t="s">
        <v>369</v>
      </c>
      <c r="T42" s="370">
        <v>0</v>
      </c>
      <c r="U42" s="363" t="s">
        <v>421</v>
      </c>
      <c r="V42" s="370">
        <v>12</v>
      </c>
      <c r="W42" s="370">
        <v>0</v>
      </c>
      <c r="X42" s="371">
        <v>46107</v>
      </c>
      <c r="Y42" s="371">
        <f t="shared" si="4"/>
        <v>46107</v>
      </c>
      <c r="Z42" s="371">
        <f t="shared" si="5"/>
        <v>46472</v>
      </c>
      <c r="AA42" s="371">
        <v>46107</v>
      </c>
      <c r="AB42" s="371">
        <v>46265</v>
      </c>
      <c r="AC42" s="372" t="s">
        <v>456</v>
      </c>
      <c r="AD42" s="373" t="s">
        <v>515</v>
      </c>
      <c r="AE42" s="373" t="s">
        <v>511</v>
      </c>
      <c r="AF42" s="373" t="s">
        <v>523</v>
      </c>
      <c r="AG42" s="363" t="b">
        <f>FALSE()</f>
        <v>0</v>
      </c>
      <c r="AH42" s="363" t="b">
        <f>FALSE()</f>
        <v>0</v>
      </c>
    </row>
    <row r="43" spans="1:34" ht="21.75" customHeight="1" x14ac:dyDescent="0.3">
      <c r="A43" s="374">
        <v>39</v>
      </c>
      <c r="B43" s="249" t="s">
        <v>84</v>
      </c>
      <c r="C43" s="390" t="s">
        <v>524</v>
      </c>
      <c r="D43" s="375" t="s">
        <v>448</v>
      </c>
      <c r="E43" s="375" t="s">
        <v>382</v>
      </c>
      <c r="F43" s="391" t="b">
        <f>TRUE()</f>
        <v>1</v>
      </c>
      <c r="G43" s="375" t="b">
        <f>FALSE()</f>
        <v>0</v>
      </c>
      <c r="H43" s="376">
        <v>0</v>
      </c>
      <c r="I43" s="375" t="s">
        <v>367</v>
      </c>
      <c r="J43" s="378">
        <v>50</v>
      </c>
      <c r="K43" s="378">
        <f t="shared" si="0"/>
        <v>50</v>
      </c>
      <c r="L43" s="378"/>
      <c r="M43" s="379">
        <f t="shared" si="1"/>
        <v>50</v>
      </c>
      <c r="N43" s="380">
        <f t="shared" si="2"/>
        <v>1</v>
      </c>
      <c r="O43" s="378">
        <f t="shared" si="3"/>
        <v>0</v>
      </c>
      <c r="P43" s="249" t="s">
        <v>408</v>
      </c>
      <c r="Q43" s="381">
        <v>0</v>
      </c>
      <c r="R43" s="382">
        <f>IFERROR(VLOOKUP(P43,'Instructions &amp; Assumptions'!$A$14:$B$27,2,FALSE())+Q43,Q43)</f>
        <v>9.5000000000000001E-2</v>
      </c>
      <c r="S43" s="375" t="s">
        <v>409</v>
      </c>
      <c r="T43" s="383">
        <v>0</v>
      </c>
      <c r="U43" s="375" t="s">
        <v>385</v>
      </c>
      <c r="V43" s="383">
        <v>3</v>
      </c>
      <c r="W43" s="383">
        <v>0</v>
      </c>
      <c r="X43" s="384">
        <v>46107</v>
      </c>
      <c r="Y43" s="384">
        <f t="shared" si="4"/>
        <v>46107</v>
      </c>
      <c r="Z43" s="384">
        <f t="shared" si="5"/>
        <v>46199</v>
      </c>
      <c r="AA43" s="384">
        <v>46107</v>
      </c>
      <c r="AB43" s="384">
        <v>46265</v>
      </c>
      <c r="AC43" s="385" t="s">
        <v>456</v>
      </c>
      <c r="AD43" s="386" t="s">
        <v>515</v>
      </c>
      <c r="AE43" s="386" t="s">
        <v>511</v>
      </c>
      <c r="AF43" s="386" t="s">
        <v>525</v>
      </c>
      <c r="AG43" s="375" t="b">
        <f>FALSE()</f>
        <v>0</v>
      </c>
      <c r="AH43" s="375" t="b">
        <f>FALSE()</f>
        <v>0</v>
      </c>
    </row>
    <row r="44" spans="1:34" ht="21.75" customHeight="1" x14ac:dyDescent="0.3">
      <c r="A44" s="387">
        <v>40</v>
      </c>
      <c r="B44" s="362" t="s">
        <v>84</v>
      </c>
      <c r="C44" s="362" t="s">
        <v>526</v>
      </c>
      <c r="D44" s="363" t="s">
        <v>420</v>
      </c>
      <c r="E44" s="363" t="s">
        <v>382</v>
      </c>
      <c r="F44" s="364" t="b">
        <f>FALSE()</f>
        <v>0</v>
      </c>
      <c r="G44" s="432" t="b">
        <f>TRUE()</f>
        <v>1</v>
      </c>
      <c r="H44" s="432">
        <v>3</v>
      </c>
      <c r="I44" s="363" t="s">
        <v>367</v>
      </c>
      <c r="J44" s="365">
        <v>50</v>
      </c>
      <c r="K44" s="365">
        <f t="shared" si="0"/>
        <v>50</v>
      </c>
      <c r="L44" s="365"/>
      <c r="M44" s="366">
        <f t="shared" si="1"/>
        <v>50</v>
      </c>
      <c r="N44" s="367">
        <f t="shared" si="2"/>
        <v>1</v>
      </c>
      <c r="O44" s="365">
        <f t="shared" si="3"/>
        <v>0</v>
      </c>
      <c r="P44" s="362" t="s">
        <v>527</v>
      </c>
      <c r="Q44" s="368">
        <v>0.01</v>
      </c>
      <c r="R44" s="368">
        <f>IFERROR(VLOOKUP(P44,'Instructions &amp; Assumptions'!$A$14:$B$27,2,FALSE())+Q44,Q44)</f>
        <v>0.08</v>
      </c>
      <c r="S44" s="363" t="s">
        <v>369</v>
      </c>
      <c r="T44" s="370">
        <v>0</v>
      </c>
      <c r="U44" s="363" t="s">
        <v>421</v>
      </c>
      <c r="V44" s="370">
        <v>12</v>
      </c>
      <c r="W44" s="370">
        <v>0</v>
      </c>
      <c r="X44" s="371">
        <v>46107</v>
      </c>
      <c r="Y44" s="371">
        <f t="shared" si="4"/>
        <v>46107</v>
      </c>
      <c r="Z44" s="371">
        <f t="shared" si="5"/>
        <v>46472</v>
      </c>
      <c r="AA44" s="371">
        <v>46107</v>
      </c>
      <c r="AB44" s="371">
        <v>46265</v>
      </c>
      <c r="AC44" s="372" t="s">
        <v>528</v>
      </c>
      <c r="AD44" s="373" t="s">
        <v>529</v>
      </c>
      <c r="AE44" s="373" t="s">
        <v>511</v>
      </c>
      <c r="AF44" s="373" t="s">
        <v>530</v>
      </c>
      <c r="AG44" s="363" t="b">
        <f>FALSE()</f>
        <v>0</v>
      </c>
      <c r="AH44" s="363" t="b">
        <f>FALSE()</f>
        <v>0</v>
      </c>
    </row>
    <row r="45" spans="1:34" ht="21.75" customHeight="1" x14ac:dyDescent="0.3">
      <c r="A45" s="374">
        <v>41</v>
      </c>
      <c r="B45" s="249" t="s">
        <v>84</v>
      </c>
      <c r="C45" s="390" t="s">
        <v>531</v>
      </c>
      <c r="D45" s="375" t="s">
        <v>381</v>
      </c>
      <c r="E45" s="375" t="s">
        <v>382</v>
      </c>
      <c r="F45" s="391" t="b">
        <f>TRUE()</f>
        <v>1</v>
      </c>
      <c r="G45" s="375" t="b">
        <f>FALSE()</f>
        <v>0</v>
      </c>
      <c r="H45" s="376">
        <v>0</v>
      </c>
      <c r="I45" s="375" t="s">
        <v>367</v>
      </c>
      <c r="J45" s="378">
        <v>50</v>
      </c>
      <c r="K45" s="378">
        <f t="shared" si="0"/>
        <v>50</v>
      </c>
      <c r="L45" s="378"/>
      <c r="M45" s="379">
        <f t="shared" si="1"/>
        <v>50</v>
      </c>
      <c r="N45" s="380">
        <f t="shared" si="2"/>
        <v>1</v>
      </c>
      <c r="O45" s="378">
        <f t="shared" si="3"/>
        <v>0</v>
      </c>
      <c r="P45" s="249" t="s">
        <v>383</v>
      </c>
      <c r="Q45" s="381">
        <v>0</v>
      </c>
      <c r="R45" s="381">
        <f>IFERROR(VLOOKUP(P45,'Instructions &amp; Assumptions'!$A$14:$B$27,2,FALSE())+Q45,Q45)</f>
        <v>0</v>
      </c>
      <c r="S45" s="375" t="s">
        <v>409</v>
      </c>
      <c r="T45" s="383">
        <v>0</v>
      </c>
      <c r="U45" s="375" t="s">
        <v>385</v>
      </c>
      <c r="V45" s="383">
        <v>36</v>
      </c>
      <c r="W45" s="383">
        <v>0</v>
      </c>
      <c r="X45" s="384">
        <v>46107</v>
      </c>
      <c r="Y45" s="384">
        <f t="shared" si="4"/>
        <v>46107</v>
      </c>
      <c r="Z45" s="384">
        <f t="shared" si="5"/>
        <v>47203</v>
      </c>
      <c r="AA45" s="384">
        <v>46107</v>
      </c>
      <c r="AB45" s="384">
        <v>46265</v>
      </c>
      <c r="AC45" s="385" t="s">
        <v>532</v>
      </c>
      <c r="AD45" s="386" t="s">
        <v>533</v>
      </c>
      <c r="AE45" s="386" t="s">
        <v>511</v>
      </c>
      <c r="AF45" s="386" t="s">
        <v>534</v>
      </c>
      <c r="AG45" s="375" t="b">
        <f>FALSE()</f>
        <v>0</v>
      </c>
      <c r="AH45" s="375" t="b">
        <f>FALSE()</f>
        <v>0</v>
      </c>
    </row>
    <row r="46" spans="1:34" ht="21.75" customHeight="1" x14ac:dyDescent="0.3">
      <c r="A46" s="433">
        <v>42</v>
      </c>
      <c r="B46" s="434" t="s">
        <v>85</v>
      </c>
      <c r="C46" s="434" t="s">
        <v>535</v>
      </c>
      <c r="D46" s="435" t="s">
        <v>365</v>
      </c>
      <c r="E46" s="435" t="s">
        <v>366</v>
      </c>
      <c r="F46" s="436" t="b">
        <f>FALSE()</f>
        <v>0</v>
      </c>
      <c r="G46" s="435" t="b">
        <f>FALSE()</f>
        <v>0</v>
      </c>
      <c r="H46" s="437">
        <v>1</v>
      </c>
      <c r="I46" s="435" t="s">
        <v>367</v>
      </c>
      <c r="J46" s="438">
        <v>840</v>
      </c>
      <c r="K46" s="438">
        <f t="shared" si="0"/>
        <v>840</v>
      </c>
      <c r="L46" s="438"/>
      <c r="M46" s="439">
        <f t="shared" si="1"/>
        <v>840</v>
      </c>
      <c r="N46" s="440">
        <f t="shared" si="2"/>
        <v>1</v>
      </c>
      <c r="O46" s="438">
        <f t="shared" si="3"/>
        <v>0</v>
      </c>
      <c r="P46" s="434" t="s">
        <v>536</v>
      </c>
      <c r="Q46" s="441">
        <v>6.0000000000000001E-3</v>
      </c>
      <c r="R46" s="442">
        <f>IFERROR(VLOOKUP(P46,'Instructions &amp; Assumptions'!$A$14:$B$27,2,FALSE())+Q46,Q46)</f>
        <v>8.7000000000000008E-2</v>
      </c>
      <c r="S46" s="435" t="s">
        <v>369</v>
      </c>
      <c r="T46" s="443">
        <v>12</v>
      </c>
      <c r="U46" s="435" t="s">
        <v>370</v>
      </c>
      <c r="V46" s="443">
        <v>156</v>
      </c>
      <c r="W46" s="443">
        <v>48</v>
      </c>
      <c r="X46" s="444">
        <v>46108</v>
      </c>
      <c r="Y46" s="444">
        <v>46568</v>
      </c>
      <c r="Z46" s="444">
        <v>50860</v>
      </c>
      <c r="AA46" s="444">
        <v>46108</v>
      </c>
      <c r="AB46" s="444">
        <f>Z46</f>
        <v>50860</v>
      </c>
      <c r="AC46" s="445" t="s">
        <v>537</v>
      </c>
      <c r="AD46" s="446" t="s">
        <v>538</v>
      </c>
      <c r="AE46" s="446" t="s">
        <v>539</v>
      </c>
      <c r="AF46" s="446" t="s">
        <v>540</v>
      </c>
      <c r="AG46" s="435" t="b">
        <f>FALSE()</f>
        <v>0</v>
      </c>
      <c r="AH46" s="447" t="b">
        <f>TRUE()</f>
        <v>1</v>
      </c>
    </row>
    <row r="47" spans="1:34" ht="21.75" customHeight="1" x14ac:dyDescent="0.3">
      <c r="A47" s="374">
        <v>43</v>
      </c>
      <c r="B47" s="249" t="s">
        <v>85</v>
      </c>
      <c r="C47" s="390" t="s">
        <v>541</v>
      </c>
      <c r="D47" s="375" t="s">
        <v>381</v>
      </c>
      <c r="E47" s="375" t="s">
        <v>382</v>
      </c>
      <c r="F47" s="391" t="b">
        <f>TRUE()</f>
        <v>1</v>
      </c>
      <c r="G47" s="375" t="b">
        <f>FALSE()</f>
        <v>0</v>
      </c>
      <c r="H47" s="376">
        <v>0</v>
      </c>
      <c r="I47" s="375" t="s">
        <v>367</v>
      </c>
      <c r="J47" s="378">
        <v>20</v>
      </c>
      <c r="K47" s="378">
        <f t="shared" si="0"/>
        <v>20</v>
      </c>
      <c r="L47" s="378"/>
      <c r="M47" s="379">
        <f t="shared" si="1"/>
        <v>20</v>
      </c>
      <c r="N47" s="380">
        <f t="shared" si="2"/>
        <v>1</v>
      </c>
      <c r="O47" s="378">
        <f t="shared" si="3"/>
        <v>0</v>
      </c>
      <c r="P47" s="249" t="s">
        <v>383</v>
      </c>
      <c r="Q47" s="381">
        <v>7.4999999999999997E-3</v>
      </c>
      <c r="R47" s="381">
        <f>IFERROR(VLOOKUP(P47,'Instructions &amp; Assumptions'!$A$14:$B$27,2,FALSE())+Q47,Q47)</f>
        <v>7.4999999999999997E-3</v>
      </c>
      <c r="S47" s="375" t="s">
        <v>384</v>
      </c>
      <c r="T47" s="383">
        <v>0</v>
      </c>
      <c r="U47" s="375" t="s">
        <v>385</v>
      </c>
      <c r="V47" s="383">
        <v>36</v>
      </c>
      <c r="W47" s="383">
        <v>0</v>
      </c>
      <c r="X47" s="384">
        <v>46108</v>
      </c>
      <c r="Y47" s="384">
        <f>IFERROR(EDATE(X47,T47),"")</f>
        <v>46108</v>
      </c>
      <c r="Z47" s="384">
        <f>IFERROR(EDATE(X47,V47),"")</f>
        <v>47204</v>
      </c>
      <c r="AA47" s="384">
        <v>46108</v>
      </c>
      <c r="AB47" s="384">
        <f>EDATE(X47,V47)</f>
        <v>47204</v>
      </c>
      <c r="AC47" s="385" t="s">
        <v>507</v>
      </c>
      <c r="AD47" s="386" t="s">
        <v>542</v>
      </c>
      <c r="AE47" s="386" t="s">
        <v>539</v>
      </c>
      <c r="AF47" s="386" t="s">
        <v>543</v>
      </c>
      <c r="AG47" s="375" t="b">
        <f>TRUE()</f>
        <v>1</v>
      </c>
      <c r="AH47" s="375" t="b">
        <f>FALSE()</f>
        <v>0</v>
      </c>
    </row>
    <row r="48" spans="1:34" ht="21.75" customHeight="1" x14ac:dyDescent="0.3">
      <c r="A48" s="448">
        <v>44</v>
      </c>
      <c r="B48" s="434" t="s">
        <v>85</v>
      </c>
      <c r="C48" s="449" t="s">
        <v>544</v>
      </c>
      <c r="D48" s="435" t="s">
        <v>381</v>
      </c>
      <c r="E48" s="435" t="s">
        <v>382</v>
      </c>
      <c r="F48" s="450" t="b">
        <f>TRUE()</f>
        <v>1</v>
      </c>
      <c r="G48" s="435" t="b">
        <f>FALSE()</f>
        <v>0</v>
      </c>
      <c r="H48" s="436">
        <v>0</v>
      </c>
      <c r="I48" s="435" t="s">
        <v>367</v>
      </c>
      <c r="J48" s="438">
        <v>20</v>
      </c>
      <c r="K48" s="438">
        <f t="shared" si="0"/>
        <v>20</v>
      </c>
      <c r="L48" s="438"/>
      <c r="M48" s="439">
        <f t="shared" si="1"/>
        <v>20</v>
      </c>
      <c r="N48" s="440">
        <f t="shared" si="2"/>
        <v>1</v>
      </c>
      <c r="O48" s="438">
        <f t="shared" si="3"/>
        <v>0</v>
      </c>
      <c r="P48" s="434" t="s">
        <v>383</v>
      </c>
      <c r="Q48" s="441">
        <v>7.4999999999999997E-3</v>
      </c>
      <c r="R48" s="441">
        <f>IFERROR(VLOOKUP(P48,'Instructions &amp; Assumptions'!$A$14:$B$27,2,FALSE())+Q48,Q48)</f>
        <v>7.4999999999999997E-3</v>
      </c>
      <c r="S48" s="435" t="s">
        <v>384</v>
      </c>
      <c r="T48" s="443">
        <v>0</v>
      </c>
      <c r="U48" s="435" t="s">
        <v>385</v>
      </c>
      <c r="V48" s="443">
        <v>36</v>
      </c>
      <c r="W48" s="443">
        <v>0</v>
      </c>
      <c r="X48" s="444">
        <v>46108</v>
      </c>
      <c r="Y48" s="444">
        <f>IFERROR(EDATE(X48,T48),"")</f>
        <v>46108</v>
      </c>
      <c r="Z48" s="444">
        <f>IFERROR(EDATE(X48,V48),"")</f>
        <v>47204</v>
      </c>
      <c r="AA48" s="444">
        <v>46108</v>
      </c>
      <c r="AB48" s="444">
        <f>EDATE(X48,V48)</f>
        <v>47204</v>
      </c>
      <c r="AC48" s="445" t="s">
        <v>519</v>
      </c>
      <c r="AD48" s="446" t="s">
        <v>542</v>
      </c>
      <c r="AE48" s="446" t="s">
        <v>539</v>
      </c>
      <c r="AF48" s="446" t="s">
        <v>545</v>
      </c>
      <c r="AG48" s="435" t="b">
        <f>TRUE()</f>
        <v>1</v>
      </c>
      <c r="AH48" s="435" t="b">
        <f>FALSE()</f>
        <v>0</v>
      </c>
    </row>
    <row r="49" spans="1:34" ht="7.5" customHeight="1" x14ac:dyDescent="0.3">
      <c r="A49" s="319"/>
      <c r="B49" s="319"/>
      <c r="C49" s="319"/>
      <c r="D49" s="319"/>
      <c r="E49" s="319"/>
      <c r="F49" s="319"/>
      <c r="G49" s="319"/>
      <c r="H49" s="319"/>
      <c r="I49" s="319"/>
      <c r="J49" s="319"/>
      <c r="K49" s="319"/>
      <c r="L49" s="319"/>
      <c r="M49" s="319"/>
      <c r="N49" s="319"/>
      <c r="O49" s="319"/>
      <c r="P49" s="319"/>
      <c r="Q49" s="319"/>
      <c r="R49" s="319"/>
      <c r="S49" s="319"/>
      <c r="T49" s="319"/>
      <c r="U49" s="319"/>
      <c r="V49" s="319"/>
      <c r="W49" s="319"/>
      <c r="X49" s="319"/>
      <c r="Y49" s="319"/>
      <c r="Z49" s="319"/>
      <c r="AA49" s="319"/>
      <c r="AB49" s="319"/>
      <c r="AC49" s="319"/>
      <c r="AD49" s="319"/>
      <c r="AE49" s="319"/>
      <c r="AF49" s="319"/>
      <c r="AG49" s="319"/>
      <c r="AH49" s="319"/>
    </row>
    <row r="50" spans="1:34" ht="18" customHeight="1" x14ac:dyDescent="0.3">
      <c r="A50" s="318" t="s">
        <v>546</v>
      </c>
      <c r="B50" s="318"/>
      <c r="C50" s="31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</row>
    <row r="51" spans="1:34" ht="15" hidden="1" customHeight="1" x14ac:dyDescent="0.3"/>
    <row r="52" spans="1:34" ht="15" hidden="1" customHeight="1" x14ac:dyDescent="0.3"/>
    <row r="53" spans="1:34" ht="15" hidden="1" customHeight="1" x14ac:dyDescent="0.3"/>
    <row r="54" spans="1:34" ht="15" hidden="1" customHeight="1" x14ac:dyDescent="0.3"/>
    <row r="55" spans="1:34" ht="15" hidden="1" customHeight="1" x14ac:dyDescent="0.3"/>
    <row r="56" spans="1:34" ht="15" hidden="1" customHeight="1" x14ac:dyDescent="0.3"/>
    <row r="57" spans="1:34" ht="15" hidden="1" customHeight="1" x14ac:dyDescent="0.3"/>
    <row r="58" spans="1:34" ht="15" hidden="1" customHeight="1" x14ac:dyDescent="0.3"/>
    <row r="59" spans="1:34" ht="15" hidden="1" customHeight="1" x14ac:dyDescent="0.3"/>
    <row r="60" spans="1:34" ht="14.25" hidden="1" customHeight="1" x14ac:dyDescent="0.3"/>
    <row r="61" spans="1:34" ht="14.25" hidden="1" customHeight="1" x14ac:dyDescent="0.3"/>
    <row r="62" spans="1:34" ht="14.25" hidden="1" customHeight="1" x14ac:dyDescent="0.3"/>
    <row r="63" spans="1:34" ht="14.25" hidden="1" customHeight="1" x14ac:dyDescent="0.3"/>
    <row r="64" spans="1:3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1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</sheetPr>
  <dimension ref="A1:I100"/>
  <sheetViews>
    <sheetView showGridLines="0" zoomScaleNormal="100" workbookViewId="0">
      <pane xSplit="1" ySplit="3" topLeftCell="B12" activePane="bottomRight" state="frozen"/>
      <selection pane="topRight" activeCell="B1" sqref="B1"/>
      <selection pane="bottomLeft" activeCell="A12" sqref="A12"/>
      <selection pane="bottomRight"/>
    </sheetView>
  </sheetViews>
  <sheetFormatPr defaultColWidth="8.6640625" defaultRowHeight="14.4" x14ac:dyDescent="0.3"/>
  <cols>
    <col min="1" max="1" width="16.6640625" customWidth="1"/>
    <col min="2" max="2" width="120.33203125" customWidth="1"/>
    <col min="3" max="8" width="16.6640625" customWidth="1"/>
    <col min="9" max="9" width="17.5546875" customWidth="1"/>
  </cols>
  <sheetData>
    <row r="1" spans="1:9" ht="27.75" customHeight="1" x14ac:dyDescent="0.35">
      <c r="A1" s="317" t="s">
        <v>547</v>
      </c>
      <c r="B1" s="317"/>
      <c r="C1" s="317"/>
      <c r="D1" s="317"/>
      <c r="E1" s="317"/>
      <c r="F1" s="317"/>
      <c r="G1" s="317"/>
      <c r="H1" s="317"/>
      <c r="I1" s="317"/>
    </row>
    <row r="2" spans="1:9" ht="15.75" customHeight="1" x14ac:dyDescent="0.3">
      <c r="A2" s="318" t="s">
        <v>548</v>
      </c>
      <c r="B2" s="318"/>
      <c r="C2" s="318"/>
      <c r="D2" s="318"/>
      <c r="E2" s="318"/>
      <c r="F2" s="318"/>
      <c r="G2" s="318"/>
      <c r="H2" s="318"/>
      <c r="I2" s="318"/>
    </row>
    <row r="3" spans="1:9" ht="21.75" customHeight="1" x14ac:dyDescent="0.3">
      <c r="A3" s="338" t="s">
        <v>549</v>
      </c>
      <c r="B3" s="299" t="s">
        <v>550</v>
      </c>
      <c r="C3" s="299" t="s">
        <v>551</v>
      </c>
      <c r="D3" s="299" t="s">
        <v>78</v>
      </c>
      <c r="E3" s="299" t="s">
        <v>552</v>
      </c>
      <c r="F3" s="299" t="s">
        <v>80</v>
      </c>
      <c r="G3" s="299" t="s">
        <v>553</v>
      </c>
      <c r="H3" s="299" t="s">
        <v>554</v>
      </c>
      <c r="I3" s="299" t="s">
        <v>555</v>
      </c>
    </row>
    <row r="4" spans="1:9" ht="21.75" customHeight="1" x14ac:dyDescent="0.3">
      <c r="A4" s="451" t="s">
        <v>73</v>
      </c>
      <c r="B4" s="452">
        <v>1125</v>
      </c>
      <c r="C4" s="452">
        <v>236</v>
      </c>
      <c r="D4" s="452">
        <v>235</v>
      </c>
      <c r="E4" s="453">
        <v>200</v>
      </c>
      <c r="F4" s="452">
        <v>650</v>
      </c>
      <c r="G4" s="452">
        <v>530</v>
      </c>
      <c r="H4" s="454">
        <v>840</v>
      </c>
      <c r="I4" s="455">
        <f>B4+C4+D4+E4+F4+G4+H4</f>
        <v>3816</v>
      </c>
    </row>
    <row r="5" spans="1:9" ht="21.75" customHeight="1" x14ac:dyDescent="0.3">
      <c r="A5" s="451" t="s">
        <v>556</v>
      </c>
      <c r="B5" s="452">
        <v>1125</v>
      </c>
      <c r="C5" s="452">
        <v>236</v>
      </c>
      <c r="D5" s="452">
        <v>235</v>
      </c>
      <c r="E5" s="453">
        <v>200</v>
      </c>
      <c r="F5" s="452">
        <v>650</v>
      </c>
      <c r="G5" s="452">
        <v>530</v>
      </c>
      <c r="H5" s="454">
        <v>840</v>
      </c>
      <c r="I5" s="455">
        <f>B5+C5+D5+E5+F5+G5+H5</f>
        <v>3816</v>
      </c>
    </row>
    <row r="6" spans="1:9" ht="21.75" customHeight="1" x14ac:dyDescent="0.3">
      <c r="A6" s="451" t="s">
        <v>353</v>
      </c>
      <c r="B6" s="456">
        <v>45104</v>
      </c>
      <c r="C6" s="456">
        <v>45920</v>
      </c>
      <c r="D6" s="456">
        <v>44927</v>
      </c>
      <c r="E6" s="457">
        <v>45974</v>
      </c>
      <c r="F6" s="456">
        <v>46020</v>
      </c>
      <c r="G6" s="456">
        <v>46031</v>
      </c>
      <c r="H6" s="458">
        <v>46108</v>
      </c>
      <c r="I6" s="459"/>
    </row>
    <row r="7" spans="1:9" ht="21.75" customHeight="1" x14ac:dyDescent="0.3">
      <c r="A7" s="451" t="s">
        <v>354</v>
      </c>
      <c r="B7" s="456">
        <v>46568</v>
      </c>
      <c r="C7" s="456">
        <v>46568</v>
      </c>
      <c r="D7" s="456">
        <v>46477</v>
      </c>
      <c r="E7" s="457">
        <v>46339</v>
      </c>
      <c r="F7" s="456">
        <v>46568</v>
      </c>
      <c r="G7" s="456">
        <v>46568</v>
      </c>
      <c r="H7" s="458">
        <v>46568</v>
      </c>
      <c r="I7" s="459"/>
    </row>
    <row r="8" spans="1:9" ht="21.75" customHeight="1" x14ac:dyDescent="0.3">
      <c r="A8" s="451" t="s">
        <v>355</v>
      </c>
      <c r="B8" s="456">
        <v>50860</v>
      </c>
      <c r="C8" s="456">
        <v>50860</v>
      </c>
      <c r="D8" s="456">
        <f>INDEX('Facility Master'!Z:Z, MATCH(IB_TL_SNo,'Facility Master'!A:A,0))</f>
        <v>50770</v>
      </c>
      <c r="E8" s="457">
        <v>46339</v>
      </c>
      <c r="F8" s="456">
        <v>50860</v>
      </c>
      <c r="G8" s="456">
        <v>50860</v>
      </c>
      <c r="H8" s="458">
        <v>50860</v>
      </c>
      <c r="I8" s="459"/>
    </row>
    <row r="9" spans="1:9" ht="21.75" customHeight="1" x14ac:dyDescent="0.3">
      <c r="A9" s="451" t="s">
        <v>557</v>
      </c>
      <c r="B9" s="460">
        <v>48</v>
      </c>
      <c r="C9" s="461">
        <f>INDEX('Facility Master'!T:T, MATCH(UBI_RTL2_SNo,'Facility Master'!A:A,0))</f>
        <v>21</v>
      </c>
      <c r="D9" s="461">
        <f>INDEX('Facility Master'!T:T, MATCH(IB_TL_SNo,'Facility Master'!A:A,0))</f>
        <v>50</v>
      </c>
      <c r="E9" s="462">
        <v>0</v>
      </c>
      <c r="F9" s="460">
        <v>12</v>
      </c>
      <c r="G9" s="460">
        <v>12</v>
      </c>
      <c r="H9" s="463">
        <v>12</v>
      </c>
      <c r="I9" s="191"/>
    </row>
    <row r="10" spans="1:9" ht="21.75" customHeight="1" x14ac:dyDescent="0.3">
      <c r="A10" s="451" t="s">
        <v>558</v>
      </c>
      <c r="B10" s="460" t="s">
        <v>370</v>
      </c>
      <c r="C10" s="460" t="s">
        <v>370</v>
      </c>
      <c r="D10" s="460" t="s">
        <v>370</v>
      </c>
      <c r="E10" s="462" t="s">
        <v>410</v>
      </c>
      <c r="F10" s="460" t="s">
        <v>370</v>
      </c>
      <c r="G10" s="460" t="s">
        <v>370</v>
      </c>
      <c r="H10" s="463" t="s">
        <v>370</v>
      </c>
      <c r="I10" s="191"/>
    </row>
    <row r="11" spans="1:9" ht="21.75" customHeight="1" x14ac:dyDescent="0.3">
      <c r="A11" s="451" t="s">
        <v>559</v>
      </c>
      <c r="B11" s="460">
        <v>192</v>
      </c>
      <c r="C11" s="460">
        <v>162</v>
      </c>
      <c r="D11" s="461">
        <f>INDEX('Facility Master'!V:V, MATCH(IB_TL_SNo,'Facility Master'!A:A,0))</f>
        <v>192</v>
      </c>
      <c r="E11" s="462">
        <v>12</v>
      </c>
      <c r="F11" s="460">
        <v>160</v>
      </c>
      <c r="G11" s="461">
        <f>INDEX('Facility Master'!V:V, MATCH(IDFC_TL_SNo,'Facility Master'!A:A,0))</f>
        <v>156</v>
      </c>
      <c r="H11" s="463">
        <v>156</v>
      </c>
      <c r="I11" s="191"/>
    </row>
    <row r="12" spans="1:9" ht="21.75" customHeight="1" x14ac:dyDescent="0.3">
      <c r="A12" s="451" t="s">
        <v>560</v>
      </c>
      <c r="B12" s="460">
        <v>48</v>
      </c>
      <c r="C12" s="460">
        <v>48</v>
      </c>
      <c r="D12" s="460">
        <v>48</v>
      </c>
      <c r="E12" s="462">
        <v>1</v>
      </c>
      <c r="F12" s="460">
        <v>48</v>
      </c>
      <c r="G12" s="460">
        <v>48</v>
      </c>
      <c r="H12" s="463">
        <v>48</v>
      </c>
      <c r="I12" s="191"/>
    </row>
    <row r="13" spans="1:9" ht="21.75" customHeight="1" x14ac:dyDescent="0.3">
      <c r="A13" s="451" t="s">
        <v>561</v>
      </c>
      <c r="B13" s="464" t="s">
        <v>562</v>
      </c>
      <c r="C13" s="464" t="s">
        <v>562</v>
      </c>
      <c r="D13" s="464" t="str">
        <f>INDEX('Facility Master'!P:P, MATCH(IB_TL_SNo,'Facility Master'!A:A,0))</f>
        <v>1Y MCLR (Indian Bank)</v>
      </c>
      <c r="E13" s="465" t="s">
        <v>409</v>
      </c>
      <c r="F13" s="464" t="s">
        <v>563</v>
      </c>
      <c r="G13" s="464" t="s">
        <v>563</v>
      </c>
      <c r="H13" s="463" t="s">
        <v>564</v>
      </c>
      <c r="I13" s="191"/>
    </row>
    <row r="14" spans="1:9" ht="21.75" customHeight="1" x14ac:dyDescent="0.3">
      <c r="A14" s="451" t="s">
        <v>565</v>
      </c>
      <c r="B14" s="466">
        <v>5.0000000000000001E-3</v>
      </c>
      <c r="C14" s="466">
        <v>5.0000000000000001E-3</v>
      </c>
      <c r="D14" s="466">
        <v>5.0000000000000001E-3</v>
      </c>
      <c r="E14" s="467">
        <v>0</v>
      </c>
      <c r="F14" s="466">
        <v>3.4500000000000003E-2</v>
      </c>
      <c r="G14" s="466">
        <v>1.0500000000000001E-2</v>
      </c>
      <c r="H14" s="468">
        <v>6.0000000000000001E-3</v>
      </c>
      <c r="I14" s="191"/>
    </row>
    <row r="15" spans="1:9" ht="21.75" customHeight="1" x14ac:dyDescent="0.3">
      <c r="A15" s="451" t="s">
        <v>566</v>
      </c>
      <c r="B15" s="469">
        <f>IFERROR(INDEX('Facility Master'!R:R,MATCH(UBI_RTL1_SNo,'Facility Master'!A:A,0)),0)</f>
        <v>9.4E-2</v>
      </c>
      <c r="C15" s="469">
        <f>IFERROR(INDEX('Facility Master'!R:R,MATCH(UBI_RTL2_SNo,'Facility Master'!A:A,0)),0)</f>
        <v>9.0999999999999998E-2</v>
      </c>
      <c r="D15" s="469">
        <f>IFERROR(INDEX('Facility Master'!R:R,MATCH(IB_TL_SNo,'Facility Master'!A:A,0)),0)</f>
        <v>9.4E-2</v>
      </c>
      <c r="E15" s="470">
        <f>IFERROR(INDEX('Facility Master'!R:R,MATCH(RBL_TL_SNo,'Facility Master'!A:A,0)),0)</f>
        <v>9.5000000000000001E-2</v>
      </c>
      <c r="F15" s="469">
        <f>IFERROR(INDEX('Facility Master'!R:R,MATCH(YBL_TL_SNo,'Facility Master'!A:A,0)),0)</f>
        <v>9.5500000000000002E-2</v>
      </c>
      <c r="G15" s="469">
        <f>IFERROR(INDEX('Facility Master'!R:R,MATCH(IDFC_TL_SNo,'Facility Master'!A:A,0)),0)</f>
        <v>8.7999999999999995E-2</v>
      </c>
      <c r="H15" s="468">
        <f>IFERROR(INDEX('Facility Master'!R:R,MATCH(ICICI_TL_SNo,'Facility Master'!A:A,0)),0)</f>
        <v>8.7000000000000008E-2</v>
      </c>
      <c r="I15" s="471">
        <f>SUMPRODUCT(B4:H4,B15:H15)/I4</f>
        <v>9.1748165618448632E-2</v>
      </c>
    </row>
    <row r="16" spans="1:9" ht="21.75" customHeight="1" x14ac:dyDescent="0.3">
      <c r="A16" s="451" t="s">
        <v>348</v>
      </c>
      <c r="B16" s="460" t="s">
        <v>369</v>
      </c>
      <c r="C16" s="460" t="s">
        <v>369</v>
      </c>
      <c r="D16" s="460" t="s">
        <v>369</v>
      </c>
      <c r="E16" s="462" t="s">
        <v>409</v>
      </c>
      <c r="F16" s="460" t="s">
        <v>369</v>
      </c>
      <c r="G16" s="460" t="s">
        <v>369</v>
      </c>
      <c r="H16" s="463" t="s">
        <v>369</v>
      </c>
      <c r="I16" s="191"/>
    </row>
    <row r="17" spans="1:9" ht="21.75" customHeight="1" x14ac:dyDescent="0.3">
      <c r="A17" s="451" t="s">
        <v>360</v>
      </c>
      <c r="B17" s="464" t="s">
        <v>567</v>
      </c>
      <c r="C17" s="464" t="s">
        <v>567</v>
      </c>
      <c r="D17" s="464" t="s">
        <v>568</v>
      </c>
      <c r="E17" s="465" t="s">
        <v>569</v>
      </c>
      <c r="F17" s="464" t="s">
        <v>570</v>
      </c>
      <c r="G17" s="464" t="s">
        <v>571</v>
      </c>
      <c r="H17" s="463" t="s">
        <v>572</v>
      </c>
      <c r="I17" s="191"/>
    </row>
    <row r="18" spans="1:9" ht="24" customHeight="1" x14ac:dyDescent="0.3">
      <c r="A18" s="472" t="s">
        <v>573</v>
      </c>
      <c r="B18" s="455">
        <f>SUM(B4:H4)</f>
        <v>3816</v>
      </c>
      <c r="C18" s="191" t="s">
        <v>277</v>
      </c>
      <c r="D18" s="191" t="s">
        <v>574</v>
      </c>
      <c r="E18" s="191" t="s">
        <v>575</v>
      </c>
      <c r="F18" s="191" t="s">
        <v>576</v>
      </c>
      <c r="G18" s="471">
        <f>SUMPRODUCT(B4:H4,B15:H15)/SUM(B4:H4)</f>
        <v>9.1748165618448632E-2</v>
      </c>
      <c r="H18" s="191"/>
      <c r="I18" s="191"/>
    </row>
    <row r="19" spans="1:9" ht="9.75" customHeight="1" x14ac:dyDescent="0.3">
      <c r="A19" s="320"/>
      <c r="B19" s="320"/>
      <c r="C19" s="320"/>
      <c r="D19" s="320"/>
      <c r="E19" s="320"/>
      <c r="F19" s="320"/>
      <c r="G19" s="320"/>
      <c r="H19" s="320"/>
      <c r="I19" s="320"/>
    </row>
    <row r="20" spans="1:9" ht="21.75" customHeight="1" x14ac:dyDescent="0.3">
      <c r="A20" s="473" t="s">
        <v>577</v>
      </c>
      <c r="B20" s="473"/>
      <c r="C20" s="473"/>
      <c r="D20" s="473"/>
      <c r="E20" s="473"/>
      <c r="F20" s="473"/>
      <c r="G20" s="473"/>
      <c r="H20" s="473"/>
      <c r="I20" s="473"/>
    </row>
    <row r="21" spans="1:9" ht="19.5" customHeight="1" x14ac:dyDescent="0.3">
      <c r="A21" s="474" t="s">
        <v>550</v>
      </c>
      <c r="B21" s="475" t="s">
        <v>578</v>
      </c>
      <c r="C21" s="476"/>
      <c r="D21" s="476"/>
      <c r="E21" s="476"/>
      <c r="F21" s="476"/>
      <c r="G21" s="476"/>
      <c r="H21" s="476"/>
      <c r="I21" s="476"/>
    </row>
    <row r="22" spans="1:9" ht="19.5" customHeight="1" x14ac:dyDescent="0.3">
      <c r="A22" s="477" t="s">
        <v>551</v>
      </c>
      <c r="B22" s="475" t="s">
        <v>579</v>
      </c>
      <c r="C22" s="476"/>
      <c r="D22" s="476"/>
      <c r="E22" s="476"/>
      <c r="F22" s="476"/>
      <c r="G22" s="476"/>
      <c r="H22" s="476"/>
      <c r="I22" s="476"/>
    </row>
    <row r="23" spans="1:9" ht="19.5" customHeight="1" x14ac:dyDescent="0.3">
      <c r="A23" s="478" t="s">
        <v>78</v>
      </c>
      <c r="B23" s="479" t="s">
        <v>580</v>
      </c>
      <c r="C23" s="480"/>
      <c r="D23" s="480"/>
      <c r="E23" s="480"/>
      <c r="F23" s="480"/>
      <c r="G23" s="480"/>
      <c r="H23" s="480"/>
      <c r="I23" s="480"/>
    </row>
    <row r="24" spans="1:9" ht="19.5" customHeight="1" x14ac:dyDescent="0.3">
      <c r="A24" s="478" t="s">
        <v>79</v>
      </c>
      <c r="B24" s="479" t="s">
        <v>581</v>
      </c>
      <c r="C24" s="480"/>
      <c r="D24" s="480"/>
      <c r="E24" s="480"/>
      <c r="F24" s="480"/>
      <c r="G24" s="480"/>
      <c r="H24" s="480"/>
      <c r="I24" s="480"/>
    </row>
    <row r="25" spans="1:9" ht="19.5" customHeight="1" x14ac:dyDescent="0.3">
      <c r="A25" s="478" t="s">
        <v>80</v>
      </c>
      <c r="B25" s="479" t="s">
        <v>582</v>
      </c>
      <c r="C25" s="480"/>
      <c r="D25" s="480"/>
      <c r="E25" s="480"/>
      <c r="F25" s="480"/>
      <c r="G25" s="480"/>
      <c r="H25" s="480"/>
      <c r="I25" s="480"/>
    </row>
    <row r="26" spans="1:9" ht="19.5" customHeight="1" x14ac:dyDescent="0.3">
      <c r="A26" s="478" t="s">
        <v>553</v>
      </c>
      <c r="B26" s="479" t="s">
        <v>583</v>
      </c>
      <c r="C26" s="480"/>
      <c r="D26" s="480"/>
      <c r="E26" s="480"/>
      <c r="F26" s="480"/>
      <c r="G26" s="480"/>
      <c r="H26" s="480"/>
      <c r="I26" s="480"/>
    </row>
    <row r="27" spans="1:9" ht="19.5" customHeight="1" x14ac:dyDescent="0.3">
      <c r="A27" s="478" t="s">
        <v>584</v>
      </c>
      <c r="B27" s="479" t="s">
        <v>585</v>
      </c>
      <c r="C27" s="480"/>
      <c r="D27" s="480"/>
      <c r="E27" s="480"/>
      <c r="F27" s="480"/>
      <c r="G27" s="480"/>
      <c r="H27" s="480"/>
      <c r="I27" s="480"/>
    </row>
    <row r="28" spans="1:9" ht="14.25" hidden="1" customHeight="1" x14ac:dyDescent="0.3"/>
    <row r="29" spans="1:9" ht="14.25" hidden="1" customHeight="1" x14ac:dyDescent="0.3"/>
    <row r="30" spans="1:9" ht="14.25" hidden="1" customHeight="1" x14ac:dyDescent="0.3"/>
    <row r="31" spans="1:9" ht="14.25" hidden="1" customHeight="1" x14ac:dyDescent="0.3"/>
    <row r="32" spans="1:9" ht="14.25" hidden="1" customHeight="1" x14ac:dyDescent="0.3"/>
    <row r="33" ht="14.25" hidden="1" customHeight="1" x14ac:dyDescent="0.3"/>
    <row r="34" ht="14.25" hidden="1" customHeight="1" x14ac:dyDescent="0.3"/>
    <row r="35" ht="14.25" hidden="1" customHeight="1" x14ac:dyDescent="0.3"/>
    <row r="36" ht="14.25" hidden="1" customHeight="1" x14ac:dyDescent="0.3"/>
    <row r="37" ht="14.25" hidden="1" customHeight="1" x14ac:dyDescent="0.3"/>
    <row r="38" ht="14.25" hidden="1" customHeight="1" x14ac:dyDescent="0.3"/>
    <row r="39" ht="14.25" hidden="1" customHeight="1" x14ac:dyDescent="0.3"/>
    <row r="40" ht="14.25" hidden="1" customHeight="1" x14ac:dyDescent="0.3"/>
    <row r="41" ht="14.25" hidden="1" customHeight="1" x14ac:dyDescent="0.3"/>
    <row r="42" ht="14.25" hidden="1" customHeight="1" x14ac:dyDescent="0.3"/>
    <row r="43" ht="14.25" hidden="1" customHeight="1" x14ac:dyDescent="0.3"/>
    <row r="44" ht="14.25" hidden="1" customHeight="1" x14ac:dyDescent="0.3"/>
    <row r="45" ht="14.25" hidden="1" customHeight="1" x14ac:dyDescent="0.3"/>
    <row r="46" ht="14.25" hidden="1" customHeight="1" x14ac:dyDescent="0.3"/>
    <row r="47" ht="14.25" hidden="1" customHeight="1" x14ac:dyDescent="0.3"/>
    <row r="48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5B6"/>
  </sheetPr>
  <dimension ref="A1:N200"/>
  <sheetViews>
    <sheetView showGridLines="0" zoomScaleNormal="100" workbookViewId="0">
      <pane xSplit="2" ySplit="3" topLeftCell="C8" activePane="bottomRight" state="frozen"/>
      <selection pane="topRight" activeCell="C1" sqref="C1"/>
      <selection pane="bottomLeft" activeCell="A8" sqref="A8"/>
      <selection pane="bottomRight" activeCell="A19" sqref="A19"/>
    </sheetView>
  </sheetViews>
  <sheetFormatPr defaultColWidth="8.6640625" defaultRowHeight="14.4" x14ac:dyDescent="0.3"/>
  <cols>
    <col min="1" max="1" width="6.44140625" customWidth="1"/>
    <col min="2" max="2" width="16.6640625" customWidth="1"/>
    <col min="3" max="3" width="37" customWidth="1"/>
    <col min="4" max="4" width="13" customWidth="1"/>
    <col min="5" max="5" width="12" customWidth="1"/>
    <col min="6" max="6" width="7.44140625" customWidth="1"/>
    <col min="7" max="7" width="13" customWidth="1"/>
    <col min="8" max="8" width="12" customWidth="1"/>
    <col min="9" max="9" width="9.21875" customWidth="1"/>
    <col min="10" max="10" width="12" customWidth="1"/>
    <col min="11" max="11" width="20.33203125" customWidth="1"/>
    <col min="12" max="12" width="10.21875" customWidth="1"/>
    <col min="13" max="14" width="13.88671875" customWidth="1"/>
  </cols>
  <sheetData>
    <row r="1" spans="1:14" ht="27.75" customHeight="1" x14ac:dyDescent="0.3">
      <c r="A1" s="14" t="s">
        <v>586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5.75" customHeight="1" x14ac:dyDescent="0.3">
      <c r="A2" s="901" t="s">
        <v>587</v>
      </c>
      <c r="B2" s="901"/>
      <c r="C2" s="901"/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</row>
    <row r="3" spans="1:14" ht="24" customHeight="1" x14ac:dyDescent="0.3">
      <c r="A3" s="322" t="s">
        <v>333</v>
      </c>
      <c r="B3" s="321" t="s">
        <v>72</v>
      </c>
      <c r="C3" s="321" t="s">
        <v>334</v>
      </c>
      <c r="D3" s="322" t="s">
        <v>109</v>
      </c>
      <c r="E3" s="322" t="s">
        <v>588</v>
      </c>
      <c r="F3" s="322" t="s">
        <v>589</v>
      </c>
      <c r="G3" s="322" t="s">
        <v>590</v>
      </c>
      <c r="H3" s="322" t="s">
        <v>343</v>
      </c>
      <c r="I3" s="322" t="s">
        <v>344</v>
      </c>
      <c r="J3" s="322" t="s">
        <v>127</v>
      </c>
      <c r="K3" s="322" t="s">
        <v>345</v>
      </c>
      <c r="L3" s="322" t="s">
        <v>346</v>
      </c>
      <c r="M3" s="322" t="s">
        <v>347</v>
      </c>
      <c r="N3" s="322" t="s">
        <v>591</v>
      </c>
    </row>
    <row r="4" spans="1:14" ht="19.5" customHeight="1" x14ac:dyDescent="0.3">
      <c r="A4" s="481">
        <f>IFERROR('Facility Master'!A13,"")</f>
        <v>9</v>
      </c>
      <c r="B4" s="482" t="str">
        <f>IFERROR('Facility Master'!B13,"")</f>
        <v>RBL Bank</v>
      </c>
      <c r="C4" s="483" t="str">
        <f>IFERROR('Facility Master'!C13,"")</f>
        <v>FDOD (Overdraft against FD)</v>
      </c>
      <c r="D4" s="484" t="str">
        <f>IFERROR('Facility Master'!D13,"")</f>
        <v>FB-FDbacked</v>
      </c>
      <c r="E4" s="484" t="str">
        <f>IFERROR(IF('Facility Master'!F13,"Sub-limit","Standalone"),"")</f>
        <v>Standalone</v>
      </c>
      <c r="F4" s="481" t="str">
        <f>IFERROR('Facility Master'!I13,"")</f>
        <v>INR</v>
      </c>
      <c r="G4" s="485">
        <f>IFERROR('Facility Master'!K13,0)</f>
        <v>100</v>
      </c>
      <c r="H4" s="485">
        <f>IFERROR('Facility Master'!M13,0)</f>
        <v>100</v>
      </c>
      <c r="I4" s="486">
        <f>IFERROR('Facility Master'!N13,0)</f>
        <v>1</v>
      </c>
      <c r="J4" s="487">
        <f>IFERROR('Facility Master'!O13,0)</f>
        <v>0</v>
      </c>
      <c r="K4" s="483" t="str">
        <f>IFERROR('Facility Master'!P13,"")</f>
        <v>To be decided</v>
      </c>
      <c r="L4" s="488">
        <f>IFERROR('Facility Master'!Q13,0)</f>
        <v>0</v>
      </c>
      <c r="M4" s="489">
        <f>IFERROR('Facility Master'!R13,0)</f>
        <v>9.5000000000000001E-2</v>
      </c>
      <c r="N4" s="490">
        <f>IFERROR('Facility Master'!AB13,"")</f>
        <v>46265</v>
      </c>
    </row>
    <row r="5" spans="1:14" ht="19.5" customHeight="1" x14ac:dyDescent="0.3">
      <c r="A5" s="491">
        <f>IFERROR('Facility Master'!A19,"")</f>
        <v>15</v>
      </c>
      <c r="B5" s="492" t="str">
        <f>IFERROR('Facility Master'!B19,"")</f>
        <v>ICICI Bank</v>
      </c>
      <c r="C5" s="493" t="str">
        <f>IFERROR('Facility Master'!C19,"")</f>
        <v>Cash Credit (WC)</v>
      </c>
      <c r="D5" s="494" t="str">
        <f>IFERROR('Facility Master'!D19,"")</f>
        <v>FB</v>
      </c>
      <c r="E5" s="494" t="str">
        <f>IFERROR(IF('Facility Master'!F19,"Sub-limit","Standalone"),"")</f>
        <v>Standalone</v>
      </c>
      <c r="F5" s="491" t="str">
        <f>IFERROR('Facility Master'!I19,"")</f>
        <v>INR</v>
      </c>
      <c r="G5" s="495">
        <f>IFERROR('Facility Master'!K19,0)</f>
        <v>100</v>
      </c>
      <c r="H5" s="495">
        <f>IFERROR('Facility Master'!M19,0)</f>
        <v>100</v>
      </c>
      <c r="I5" s="496">
        <f>IFERROR('Facility Master'!N19,0)</f>
        <v>1</v>
      </c>
      <c r="J5" s="497">
        <f>IFERROR('Facility Master'!O19,0)</f>
        <v>0</v>
      </c>
      <c r="K5" s="493" t="str">
        <f>IFERROR('Facility Master'!P19,"")</f>
        <v>6M I-MCLR (ICICI)</v>
      </c>
      <c r="L5" s="498">
        <f>IFERROR('Facility Master'!Q19,0)</f>
        <v>2E-3</v>
      </c>
      <c r="M5" s="499">
        <f>IFERROR('Facility Master'!R19,0)</f>
        <v>8.5000000000000006E-2</v>
      </c>
      <c r="N5" s="500">
        <f>IFERROR('Facility Master'!AB19,"")</f>
        <v>46421</v>
      </c>
    </row>
    <row r="6" spans="1:14" ht="19.5" customHeight="1" x14ac:dyDescent="0.3">
      <c r="A6" s="501">
        <f>IFERROR('Facility Master'!A20,"")</f>
        <v>16</v>
      </c>
      <c r="B6" s="244" t="str">
        <f>IFERROR('Facility Master'!B20,"")</f>
        <v>ICICI Bank</v>
      </c>
      <c r="C6" s="244" t="str">
        <f>IFERROR('Facility Master'!C20,"")</f>
        <v>WCDL (sub-limit of CC)</v>
      </c>
      <c r="D6" s="502" t="str">
        <f>IFERROR('Facility Master'!D20,"")</f>
        <v>FB</v>
      </c>
      <c r="E6" s="502" t="str">
        <f>IFERROR(IF('Facility Master'!F20,"Sub-limit","Standalone"),"")</f>
        <v>Sub-limit</v>
      </c>
      <c r="F6" s="501" t="str">
        <f>IFERROR('Facility Master'!I20,"")</f>
        <v>INR</v>
      </c>
      <c r="G6" s="503">
        <f>IFERROR('Facility Master'!K20,0)</f>
        <v>100</v>
      </c>
      <c r="H6" s="503">
        <f>IFERROR('Facility Master'!M20,0)</f>
        <v>100</v>
      </c>
      <c r="I6" s="504">
        <f>IFERROR('Facility Master'!N20,0)</f>
        <v>1</v>
      </c>
      <c r="J6" s="505">
        <f>IFERROR('Facility Master'!O20,0)</f>
        <v>0</v>
      </c>
      <c r="K6" s="244" t="str">
        <f>IFERROR('Facility Master'!P20,"")</f>
        <v>Repo Rate</v>
      </c>
      <c r="L6" s="273">
        <f>IFERROR('Facility Master'!Q20,0)</f>
        <v>0</v>
      </c>
      <c r="M6" s="506">
        <f>IFERROR('Facility Master'!R20,0)</f>
        <v>5.2499999999999998E-2</v>
      </c>
      <c r="N6" s="507">
        <f>IFERROR('Facility Master'!AB20,"")</f>
        <v>46421</v>
      </c>
    </row>
    <row r="7" spans="1:14" ht="19.5" customHeight="1" x14ac:dyDescent="0.3">
      <c r="A7" s="508">
        <f>IFERROR('Facility Master'!A24,"")</f>
        <v>20</v>
      </c>
      <c r="B7" s="509" t="str">
        <f>IFERROR('Facility Master'!B24,"")</f>
        <v>HSBC</v>
      </c>
      <c r="C7" s="510" t="str">
        <f>IFERROR('Facility Master'!C24,"")</f>
        <v>Working Capital Loan (Uncommitted, sub of #1)</v>
      </c>
      <c r="D7" s="511" t="str">
        <f>IFERROR('Facility Master'!D24,"")</f>
        <v>FB</v>
      </c>
      <c r="E7" s="511" t="str">
        <f>IFERROR(IF('Facility Master'!F24,"Sub-limit","Standalone"),"")</f>
        <v>Sub-limit</v>
      </c>
      <c r="F7" s="508" t="str">
        <f>IFERROR('Facility Master'!I24,"")</f>
        <v>INR</v>
      </c>
      <c r="G7" s="512">
        <f>IFERROR('Facility Master'!K24,0)</f>
        <v>26.08</v>
      </c>
      <c r="H7" s="512">
        <f>IFERROR('Facility Master'!M24,0)</f>
        <v>26.08</v>
      </c>
      <c r="I7" s="513">
        <f>IFERROR('Facility Master'!N24,0)</f>
        <v>1</v>
      </c>
      <c r="J7" s="514">
        <f>IFERROR('Facility Master'!O24,0)</f>
        <v>0</v>
      </c>
      <c r="K7" s="510" t="str">
        <f>IFERROR('Facility Master'!P24,"")</f>
        <v>Mutually agreed</v>
      </c>
      <c r="L7" s="515">
        <f>IFERROR('Facility Master'!Q24,0)</f>
        <v>0</v>
      </c>
      <c r="M7" s="516">
        <f>IFERROR('Facility Master'!R24,0)</f>
        <v>0.09</v>
      </c>
      <c r="N7" s="517">
        <f>IFERROR('Facility Master'!AB24,"")</f>
        <v>46265</v>
      </c>
    </row>
    <row r="8" spans="1:14" ht="19.5" customHeight="1" x14ac:dyDescent="0.3">
      <c r="A8" s="501">
        <f>IFERROR('Facility Master'!A25,"")</f>
        <v>21</v>
      </c>
      <c r="B8" s="244" t="str">
        <f>IFERROR('Facility Master'!B25,"")</f>
        <v>HSBC</v>
      </c>
      <c r="C8" s="244" t="str">
        <f>IFERROR('Facility Master'!C25,"")</f>
        <v>Overdraft (Uncommitted, sub of WCL)</v>
      </c>
      <c r="D8" s="502" t="str">
        <f>IFERROR('Facility Master'!D25,"")</f>
        <v>FB</v>
      </c>
      <c r="E8" s="502" t="str">
        <f>IFERROR(IF('Facility Master'!F25,"Sub-limit","Standalone"),"")</f>
        <v>Sub-limit</v>
      </c>
      <c r="F8" s="501" t="str">
        <f>IFERROR('Facility Master'!I25,"")</f>
        <v>INR</v>
      </c>
      <c r="G8" s="503">
        <f>IFERROR('Facility Master'!K25,0)</f>
        <v>10.432</v>
      </c>
      <c r="H8" s="503">
        <f>IFERROR('Facility Master'!M25,0)</f>
        <v>10.432</v>
      </c>
      <c r="I8" s="504">
        <f>IFERROR('Facility Master'!N25,0)</f>
        <v>1</v>
      </c>
      <c r="J8" s="505">
        <f>IFERROR('Facility Master'!O25,0)</f>
        <v>0</v>
      </c>
      <c r="K8" s="244" t="str">
        <f>IFERROR('Facility Master'!P25,"")</f>
        <v>Mutually agreed</v>
      </c>
      <c r="L8" s="273">
        <f>IFERROR('Facility Master'!Q25,0)</f>
        <v>0</v>
      </c>
      <c r="M8" s="506">
        <f>IFERROR('Facility Master'!R25,0)</f>
        <v>0.09</v>
      </c>
      <c r="N8" s="507">
        <f>IFERROR('Facility Master'!AB25,"")</f>
        <v>46265</v>
      </c>
    </row>
    <row r="9" spans="1:14" ht="19.5" customHeight="1" x14ac:dyDescent="0.3">
      <c r="A9" s="508">
        <f>IFERROR('Facility Master'!A28,"")</f>
        <v>24</v>
      </c>
      <c r="B9" s="510" t="str">
        <f>IFERROR('Facility Master'!B28,"")</f>
        <v>HSBC</v>
      </c>
      <c r="C9" s="510" t="str">
        <f>IFERROR('Facility Master'!C28,"")</f>
        <v>Pre-shipment Buyer Loan (Uncommitted)</v>
      </c>
      <c r="D9" s="511" t="str">
        <f>IFERROR('Facility Master'!D28,"")</f>
        <v>FB</v>
      </c>
      <c r="E9" s="511" t="str">
        <f>IFERROR(IF('Facility Master'!F28,"Sub-limit","Standalone"),"")</f>
        <v>Sub-limit</v>
      </c>
      <c r="F9" s="508" t="str">
        <f>IFERROR('Facility Master'!I28,"")</f>
        <v>INR</v>
      </c>
      <c r="G9" s="512">
        <f>IFERROR('Facility Master'!K28,0)</f>
        <v>26.08</v>
      </c>
      <c r="H9" s="512">
        <f>IFERROR('Facility Master'!M28,0)</f>
        <v>26.08</v>
      </c>
      <c r="I9" s="513">
        <f>IFERROR('Facility Master'!N28,0)</f>
        <v>1</v>
      </c>
      <c r="J9" s="514">
        <f>IFERROR('Facility Master'!O28,0)</f>
        <v>0</v>
      </c>
      <c r="K9" s="510" t="str">
        <f>IFERROR('Facility Master'!P28,"")</f>
        <v>Mutually agreed</v>
      </c>
      <c r="L9" s="515">
        <f>IFERROR('Facility Master'!Q28,0)</f>
        <v>0</v>
      </c>
      <c r="M9" s="516">
        <f>IFERROR('Facility Master'!R28,0)</f>
        <v>0.09</v>
      </c>
      <c r="N9" s="517">
        <f>IFERROR('Facility Master'!AB28,"")</f>
        <v>46265</v>
      </c>
    </row>
    <row r="10" spans="1:14" ht="19.5" customHeight="1" x14ac:dyDescent="0.3">
      <c r="A10" s="501">
        <f>IFERROR('Facility Master'!A29,"")</f>
        <v>25</v>
      </c>
      <c r="B10" s="244" t="str">
        <f>IFERROR('Facility Master'!B29,"")</f>
        <v>HSBC</v>
      </c>
      <c r="C10" s="244" t="str">
        <f>IFERROR('Facility Master'!C29,"")</f>
        <v>Post-Shipment Buyer Loan / DPF / LAI (Uncommitted)</v>
      </c>
      <c r="D10" s="502" t="str">
        <f>IFERROR('Facility Master'!D29,"")</f>
        <v>FB</v>
      </c>
      <c r="E10" s="502" t="str">
        <f>IFERROR(IF('Facility Master'!F29,"Sub-limit","Standalone"),"")</f>
        <v>Sub-limit</v>
      </c>
      <c r="F10" s="501" t="str">
        <f>IFERROR('Facility Master'!I29,"")</f>
        <v>INR</v>
      </c>
      <c r="G10" s="503">
        <f>IFERROR('Facility Master'!K29,0)</f>
        <v>26.08</v>
      </c>
      <c r="H10" s="503">
        <f>IFERROR('Facility Master'!M29,0)</f>
        <v>26.08</v>
      </c>
      <c r="I10" s="504">
        <f>IFERROR('Facility Master'!N29,0)</f>
        <v>1</v>
      </c>
      <c r="J10" s="505">
        <f>IFERROR('Facility Master'!O29,0)</f>
        <v>0</v>
      </c>
      <c r="K10" s="244" t="str">
        <f>IFERROR('Facility Master'!P29,"")</f>
        <v>Mutually agreed</v>
      </c>
      <c r="L10" s="273">
        <f>IFERROR('Facility Master'!Q29,0)</f>
        <v>0</v>
      </c>
      <c r="M10" s="506">
        <f>IFERROR('Facility Master'!R29,0)</f>
        <v>0.09</v>
      </c>
      <c r="N10" s="507">
        <f>IFERROR('Facility Master'!AB29,"")</f>
        <v>46265</v>
      </c>
    </row>
    <row r="11" spans="1:14" ht="19.5" customHeight="1" x14ac:dyDescent="0.3">
      <c r="A11" s="508">
        <f>IFERROR('Facility Master'!A31,"")</f>
        <v>27</v>
      </c>
      <c r="B11" s="510" t="str">
        <f>IFERROR('Facility Master'!B31,"")</f>
        <v>HSBC</v>
      </c>
      <c r="C11" s="510" t="str">
        <f>IFERROR('Facility Master'!C31,"")</f>
        <v>Pre-shipment Seller Loan (Uncommitted)</v>
      </c>
      <c r="D11" s="511" t="str">
        <f>IFERROR('Facility Master'!D31,"")</f>
        <v>FB</v>
      </c>
      <c r="E11" s="511" t="str">
        <f>IFERROR(IF('Facility Master'!F31,"Sub-limit","Standalone"),"")</f>
        <v>Sub-limit</v>
      </c>
      <c r="F11" s="508" t="str">
        <f>IFERROR('Facility Master'!I31,"")</f>
        <v>INR</v>
      </c>
      <c r="G11" s="512">
        <f>IFERROR('Facility Master'!K31,0)</f>
        <v>26.08</v>
      </c>
      <c r="H11" s="512">
        <f>IFERROR('Facility Master'!M31,0)</f>
        <v>26.08</v>
      </c>
      <c r="I11" s="513">
        <f>IFERROR('Facility Master'!N31,0)</f>
        <v>1</v>
      </c>
      <c r="J11" s="514">
        <f>IFERROR('Facility Master'!O31,0)</f>
        <v>0</v>
      </c>
      <c r="K11" s="510" t="str">
        <f>IFERROR('Facility Master'!P31,"")</f>
        <v>Mutually agreed</v>
      </c>
      <c r="L11" s="515">
        <f>IFERROR('Facility Master'!Q31,0)</f>
        <v>0</v>
      </c>
      <c r="M11" s="516">
        <f>IFERROR('Facility Master'!R31,0)</f>
        <v>0.09</v>
      </c>
      <c r="N11" s="517">
        <f>IFERROR('Facility Master'!AB31,"")</f>
        <v>46265</v>
      </c>
    </row>
    <row r="12" spans="1:14" ht="19.5" customHeight="1" x14ac:dyDescent="0.3">
      <c r="A12" s="501">
        <f>IFERROR('Facility Master'!A32,"")</f>
        <v>28</v>
      </c>
      <c r="B12" s="244" t="str">
        <f>IFERROR('Facility Master'!B32,"")</f>
        <v>HSBC</v>
      </c>
      <c r="C12" s="244" t="str">
        <f>IFERROR('Facility Master'!C32,"")</f>
        <v>Post-Shipment Seller Loan, Open Account (Uncommitted)</v>
      </c>
      <c r="D12" s="502" t="str">
        <f>IFERROR('Facility Master'!D32,"")</f>
        <v>FB</v>
      </c>
      <c r="E12" s="502" t="str">
        <f>IFERROR(IF('Facility Master'!F32,"Sub-limit","Standalone"),"")</f>
        <v>Sub-limit</v>
      </c>
      <c r="F12" s="501" t="str">
        <f>IFERROR('Facility Master'!I32,"")</f>
        <v>INR</v>
      </c>
      <c r="G12" s="503">
        <f>IFERROR('Facility Master'!K32,0)</f>
        <v>26.08</v>
      </c>
      <c r="H12" s="503">
        <f>IFERROR('Facility Master'!M32,0)</f>
        <v>26.08</v>
      </c>
      <c r="I12" s="504">
        <f>IFERROR('Facility Master'!N32,0)</f>
        <v>1</v>
      </c>
      <c r="J12" s="505">
        <f>IFERROR('Facility Master'!O32,0)</f>
        <v>0</v>
      </c>
      <c r="K12" s="244" t="str">
        <f>IFERROR('Facility Master'!P32,"")</f>
        <v>Mutually agreed</v>
      </c>
      <c r="L12" s="273">
        <f>IFERROR('Facility Master'!Q32,0)</f>
        <v>0</v>
      </c>
      <c r="M12" s="506">
        <f>IFERROR('Facility Master'!R32,0)</f>
        <v>0.09</v>
      </c>
      <c r="N12" s="507">
        <f>IFERROR('Facility Master'!AB32,"")</f>
        <v>46265</v>
      </c>
    </row>
    <row r="13" spans="1:14" ht="19.5" customHeight="1" x14ac:dyDescent="0.3">
      <c r="A13" s="491">
        <f>IFERROR('Facility Master'!A39,"")</f>
        <v>35</v>
      </c>
      <c r="B13" s="492" t="str">
        <f>IFERROR('Facility Master'!B39,"")</f>
        <v>HDFC Bank</v>
      </c>
      <c r="C13" s="493" t="str">
        <f>IFERROR('Facility Master'!C39,"")</f>
        <v>Post Shipment Finance (sub of LC)</v>
      </c>
      <c r="D13" s="494" t="str">
        <f>IFERROR('Facility Master'!D39,"")</f>
        <v>FB</v>
      </c>
      <c r="E13" s="494" t="str">
        <f>IFERROR(IF('Facility Master'!F39,"Sub-limit","Standalone"),"")</f>
        <v>Sub-limit</v>
      </c>
      <c r="F13" s="491" t="str">
        <f>IFERROR('Facility Master'!I39,"")</f>
        <v>INR</v>
      </c>
      <c r="G13" s="495">
        <f>IFERROR('Facility Master'!K39,0)</f>
        <v>100</v>
      </c>
      <c r="H13" s="495">
        <f>IFERROR('Facility Master'!M39,0)</f>
        <v>100</v>
      </c>
      <c r="I13" s="496">
        <f>IFERROR('Facility Master'!N39,0)</f>
        <v>1</v>
      </c>
      <c r="J13" s="497">
        <f>IFERROR('Facility Master'!O39,0)</f>
        <v>0</v>
      </c>
      <c r="K13" s="493" t="str">
        <f>IFERROR('Facility Master'!P39,"")</f>
        <v>To be decided</v>
      </c>
      <c r="L13" s="498">
        <f>IFERROR('Facility Master'!Q39,0)</f>
        <v>0</v>
      </c>
      <c r="M13" s="499">
        <f>IFERROR('Facility Master'!R39,0)</f>
        <v>9.5000000000000001E-2</v>
      </c>
      <c r="N13" s="500">
        <f>IFERROR('Facility Master'!AB39,"")</f>
        <v>46265</v>
      </c>
    </row>
    <row r="14" spans="1:14" ht="19.5" customHeight="1" x14ac:dyDescent="0.3">
      <c r="A14" s="501">
        <f>IFERROR('Facility Master'!A40,"")</f>
        <v>36</v>
      </c>
      <c r="B14" s="244" t="str">
        <f>IFERROR('Facility Master'!B40,"")</f>
        <v>HDFC Bank</v>
      </c>
      <c r="C14" s="244" t="str">
        <f>IFERROR('Facility Master'!C40,"")</f>
        <v>Pre-shipment Finance (sub of LC)</v>
      </c>
      <c r="D14" s="502" t="str">
        <f>IFERROR('Facility Master'!D40,"")</f>
        <v>FB</v>
      </c>
      <c r="E14" s="502" t="str">
        <f>IFERROR(IF('Facility Master'!F40,"Sub-limit","Standalone"),"")</f>
        <v>Sub-limit</v>
      </c>
      <c r="F14" s="501" t="str">
        <f>IFERROR('Facility Master'!I40,"")</f>
        <v>INR</v>
      </c>
      <c r="G14" s="503">
        <f>IFERROR('Facility Master'!K40,0)</f>
        <v>200</v>
      </c>
      <c r="H14" s="503">
        <f>IFERROR('Facility Master'!M40,0)</f>
        <v>200</v>
      </c>
      <c r="I14" s="504">
        <f>IFERROR('Facility Master'!N40,0)</f>
        <v>1</v>
      </c>
      <c r="J14" s="505">
        <f>IFERROR('Facility Master'!O40,0)</f>
        <v>0</v>
      </c>
      <c r="K14" s="244" t="str">
        <f>IFERROR('Facility Master'!P40,"")</f>
        <v>To be decided</v>
      </c>
      <c r="L14" s="273">
        <f>IFERROR('Facility Master'!Q40,0)</f>
        <v>0</v>
      </c>
      <c r="M14" s="506">
        <f>IFERROR('Facility Master'!R40,0)</f>
        <v>9.5000000000000001E-2</v>
      </c>
      <c r="N14" s="507">
        <f>IFERROR('Facility Master'!AB40,"")</f>
        <v>46265</v>
      </c>
    </row>
    <row r="15" spans="1:14" ht="19.5" customHeight="1" x14ac:dyDescent="0.3">
      <c r="A15" s="491">
        <f>IFERROR('Facility Master'!A42,"")</f>
        <v>38</v>
      </c>
      <c r="B15" s="493" t="str">
        <f>IFERROR('Facility Master'!B42,"")</f>
        <v>HDFC Bank</v>
      </c>
      <c r="C15" s="493" t="str">
        <f>IFERROR('Facility Master'!C42,"")</f>
        <v>Cash Credit (sub of LC)</v>
      </c>
      <c r="D15" s="494" t="str">
        <f>IFERROR('Facility Master'!D42,"")</f>
        <v>FB</v>
      </c>
      <c r="E15" s="494" t="str">
        <f>IFERROR(IF('Facility Master'!F42,"Sub-limit","Standalone"),"")</f>
        <v>Sub-limit</v>
      </c>
      <c r="F15" s="491" t="str">
        <f>IFERROR('Facility Master'!I42,"")</f>
        <v>INR</v>
      </c>
      <c r="G15" s="495">
        <f>IFERROR('Facility Master'!K42,0)</f>
        <v>50</v>
      </c>
      <c r="H15" s="495">
        <f>IFERROR('Facility Master'!M42,0)</f>
        <v>50</v>
      </c>
      <c r="I15" s="496">
        <f>IFERROR('Facility Master'!N42,0)</f>
        <v>1</v>
      </c>
      <c r="J15" s="497">
        <f>IFERROR('Facility Master'!O42,0)</f>
        <v>0</v>
      </c>
      <c r="K15" s="493" t="str">
        <f>IFERROR('Facility Master'!P42,"")</f>
        <v>14-day Repo (HDFC)</v>
      </c>
      <c r="L15" s="498">
        <f>IFERROR('Facility Master'!Q42,0)</f>
        <v>0</v>
      </c>
      <c r="M15" s="499">
        <f>IFERROR('Facility Master'!R42,0)</f>
        <v>8.1500000000000003E-2</v>
      </c>
      <c r="N15" s="500">
        <f>IFERROR('Facility Master'!AB42,"")</f>
        <v>46265</v>
      </c>
    </row>
    <row r="16" spans="1:14" ht="19.5" customHeight="1" x14ac:dyDescent="0.3">
      <c r="A16" s="501">
        <f>IFERROR('Facility Master'!A43,"")</f>
        <v>39</v>
      </c>
      <c r="B16" s="244" t="str">
        <f>IFERROR('Facility Master'!B43,"")</f>
        <v>HDFC Bank</v>
      </c>
      <c r="C16" s="244" t="str">
        <f>IFERROR('Facility Master'!C43,"")</f>
        <v>WCDL (sub of LC)</v>
      </c>
      <c r="D16" s="502" t="str">
        <f>IFERROR('Facility Master'!D43,"")</f>
        <v>FB</v>
      </c>
      <c r="E16" s="502" t="str">
        <f>IFERROR(IF('Facility Master'!F43,"Sub-limit","Standalone"),"")</f>
        <v>Sub-limit</v>
      </c>
      <c r="F16" s="501" t="str">
        <f>IFERROR('Facility Master'!I43,"")</f>
        <v>INR</v>
      </c>
      <c r="G16" s="503">
        <f>IFERROR('Facility Master'!K43,0)</f>
        <v>50</v>
      </c>
      <c r="H16" s="503">
        <f>IFERROR('Facility Master'!M43,0)</f>
        <v>50</v>
      </c>
      <c r="I16" s="504">
        <f>IFERROR('Facility Master'!N43,0)</f>
        <v>1</v>
      </c>
      <c r="J16" s="505">
        <f>IFERROR('Facility Master'!O43,0)</f>
        <v>0</v>
      </c>
      <c r="K16" s="244" t="str">
        <f>IFERROR('Facility Master'!P43,"")</f>
        <v>To be decided</v>
      </c>
      <c r="L16" s="273">
        <f>IFERROR('Facility Master'!Q43,0)</f>
        <v>0</v>
      </c>
      <c r="M16" s="506">
        <f>IFERROR('Facility Master'!R43,0)</f>
        <v>9.5000000000000001E-2</v>
      </c>
      <c r="N16" s="507">
        <f>IFERROR('Facility Master'!AB43,"")</f>
        <v>46265</v>
      </c>
    </row>
    <row r="17" spans="1:14" ht="19.5" customHeight="1" x14ac:dyDescent="0.3">
      <c r="A17" s="491">
        <f>IFERROR('Facility Master'!A44,"")</f>
        <v>40</v>
      </c>
      <c r="B17" s="493" t="str">
        <f>IFERROR('Facility Master'!B44,"")</f>
        <v>HDFC Bank</v>
      </c>
      <c r="C17" s="493" t="str">
        <f>IFERROR('Facility Master'!C44,"")</f>
        <v>FD-OD (FD-Backed)</v>
      </c>
      <c r="D17" s="494" t="str">
        <f>IFERROR('Facility Master'!D44,"")</f>
        <v>FB-FDbacked</v>
      </c>
      <c r="E17" s="494" t="str">
        <f>IFERROR(IF('Facility Master'!F44,"Sub-limit","Standalone"),"")</f>
        <v>Standalone</v>
      </c>
      <c r="F17" s="491" t="str">
        <f>IFERROR('Facility Master'!I44,"")</f>
        <v>INR</v>
      </c>
      <c r="G17" s="495">
        <f>IFERROR('Facility Master'!K44,0)</f>
        <v>50</v>
      </c>
      <c r="H17" s="495">
        <f>IFERROR('Facility Master'!M44,0)</f>
        <v>50</v>
      </c>
      <c r="I17" s="496">
        <f>IFERROR('Facility Master'!N44,0)</f>
        <v>1</v>
      </c>
      <c r="J17" s="497">
        <f>IFERROR('Facility Master'!O44,0)</f>
        <v>0</v>
      </c>
      <c r="K17" s="493" t="str">
        <f>IFERROR('Facility Master'!P44,"")</f>
        <v>FD Rate (HDFC)</v>
      </c>
      <c r="L17" s="498">
        <f>IFERROR('Facility Master'!Q44,0)</f>
        <v>0.01</v>
      </c>
      <c r="M17" s="499">
        <f>IFERROR('Facility Master'!R44,0)</f>
        <v>0.08</v>
      </c>
      <c r="N17" s="500">
        <f>IFERROR('Facility Master'!AB44,"")</f>
        <v>46265</v>
      </c>
    </row>
    <row r="18" spans="1:14" ht="21.75" customHeight="1" x14ac:dyDescent="0.3">
      <c r="A18" s="191" t="s">
        <v>592</v>
      </c>
      <c r="B18" s="336"/>
      <c r="C18" s="336"/>
      <c r="D18" s="336"/>
      <c r="E18" s="336"/>
      <c r="F18" s="336"/>
      <c r="G18" s="518">
        <f>SUM(G4:G17)</f>
        <v>890.83199999999988</v>
      </c>
      <c r="H18" s="518">
        <f>SUM(H4:H17)</f>
        <v>890.83199999999988</v>
      </c>
      <c r="I18" s="336"/>
      <c r="J18" s="336"/>
      <c r="K18" s="336"/>
      <c r="L18" s="336"/>
      <c r="M18" s="336"/>
      <c r="N18" s="336"/>
    </row>
    <row r="19" spans="1:14" ht="31.5" customHeight="1" x14ac:dyDescent="0.3">
      <c r="A19" s="519" t="s">
        <v>593</v>
      </c>
      <c r="B19" s="520"/>
      <c r="C19" s="520"/>
      <c r="D19" s="520"/>
      <c r="E19" s="520"/>
      <c r="F19" s="520"/>
      <c r="G19" s="520"/>
      <c r="H19" s="520"/>
      <c r="I19" s="520"/>
      <c r="J19" s="520"/>
      <c r="K19" s="520"/>
      <c r="L19" s="520"/>
      <c r="M19" s="520"/>
      <c r="N19" s="520"/>
    </row>
    <row r="20" spans="1:14" ht="14.25" hidden="1" customHeight="1" x14ac:dyDescent="0.3"/>
    <row r="21" spans="1:14" ht="14.25" hidden="1" customHeight="1" x14ac:dyDescent="0.3"/>
    <row r="22" spans="1:14" ht="14.25" hidden="1" customHeight="1" x14ac:dyDescent="0.3"/>
    <row r="23" spans="1:14" ht="14.25" hidden="1" customHeight="1" x14ac:dyDescent="0.3"/>
    <row r="24" spans="1:14" ht="14.25" hidden="1" customHeight="1" x14ac:dyDescent="0.3"/>
    <row r="25" spans="1:14" ht="14.25" hidden="1" customHeight="1" x14ac:dyDescent="0.3"/>
    <row r="26" spans="1:14" ht="14.25" hidden="1" customHeight="1" x14ac:dyDescent="0.3"/>
    <row r="27" spans="1:14" ht="14.25" hidden="1" customHeight="1" x14ac:dyDescent="0.3"/>
    <row r="28" spans="1:14" ht="14.25" hidden="1" customHeight="1" x14ac:dyDescent="0.3"/>
    <row r="29" spans="1:14" ht="14.25" hidden="1" customHeight="1" x14ac:dyDescent="0.3"/>
    <row r="30" spans="1:14" ht="14.25" hidden="1" customHeight="1" x14ac:dyDescent="0.3"/>
    <row r="31" spans="1:14" ht="14.25" hidden="1" customHeight="1" x14ac:dyDescent="0.3"/>
    <row r="32" spans="1:14" ht="14.25" hidden="1" customHeight="1" x14ac:dyDescent="0.3"/>
    <row r="33" ht="14.25" hidden="1" customHeight="1" x14ac:dyDescent="0.3"/>
    <row r="34" ht="14.25" hidden="1" customHeight="1" x14ac:dyDescent="0.3"/>
    <row r="35" ht="14.25" hidden="1" customHeight="1" x14ac:dyDescent="0.3"/>
    <row r="36" ht="14.25" hidden="1" customHeight="1" x14ac:dyDescent="0.3"/>
    <row r="37" ht="14.25" hidden="1" customHeight="1" x14ac:dyDescent="0.3"/>
    <row r="38" ht="14.25" hidden="1" customHeight="1" x14ac:dyDescent="0.3"/>
    <row r="39" ht="14.25" hidden="1" customHeight="1" x14ac:dyDescent="0.3"/>
    <row r="40" ht="14.25" hidden="1" customHeight="1" x14ac:dyDescent="0.3"/>
    <row r="41" ht="14.25" hidden="1" customHeight="1" x14ac:dyDescent="0.3"/>
    <row r="42" ht="14.25" hidden="1" customHeight="1" x14ac:dyDescent="0.3"/>
    <row r="43" ht="14.25" hidden="1" customHeight="1" x14ac:dyDescent="0.3"/>
    <row r="44" ht="14.25" hidden="1" customHeight="1" x14ac:dyDescent="0.3"/>
    <row r="45" ht="14.25" hidden="1" customHeight="1" x14ac:dyDescent="0.3"/>
    <row r="46" ht="14.25" hidden="1" customHeight="1" x14ac:dyDescent="0.3"/>
    <row r="47" ht="14.25" hidden="1" customHeight="1" x14ac:dyDescent="0.3"/>
    <row r="48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E75B6"/>
  </sheetPr>
  <dimension ref="A1:N201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24" sqref="K24"/>
    </sheetView>
  </sheetViews>
  <sheetFormatPr defaultColWidth="8.6640625" defaultRowHeight="14.4" x14ac:dyDescent="0.3"/>
  <cols>
    <col min="1" max="1" width="6.44140625" customWidth="1"/>
    <col min="2" max="2" width="16.6640625" customWidth="1"/>
    <col min="3" max="3" width="38.88671875" customWidth="1"/>
    <col min="4" max="5" width="12" customWidth="1"/>
    <col min="6" max="6" width="13" customWidth="1"/>
    <col min="7" max="7" width="12" customWidth="1"/>
    <col min="8" max="8" width="9.21875" customWidth="1"/>
    <col min="9" max="9" width="13.88671875" customWidth="1"/>
    <col min="10" max="10" width="16.6640625" customWidth="1"/>
    <col min="11" max="11" width="13.88671875" customWidth="1"/>
    <col min="12" max="12" width="8.33203125" customWidth="1"/>
  </cols>
  <sheetData>
    <row r="1" spans="1:14" ht="27.75" customHeight="1" x14ac:dyDescent="0.35">
      <c r="A1" s="14" t="s">
        <v>594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317"/>
      <c r="N1" s="317"/>
    </row>
    <row r="2" spans="1:14" ht="15.75" customHeight="1" x14ac:dyDescent="0.3">
      <c r="A2" s="13" t="s">
        <v>595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318"/>
      <c r="N2" s="318"/>
    </row>
    <row r="3" spans="1:14" ht="24" customHeight="1" x14ac:dyDescent="0.3">
      <c r="A3" s="322" t="s">
        <v>333</v>
      </c>
      <c r="B3" s="321" t="s">
        <v>72</v>
      </c>
      <c r="C3" s="321" t="s">
        <v>334</v>
      </c>
      <c r="D3" s="322" t="s">
        <v>109</v>
      </c>
      <c r="E3" s="322" t="s">
        <v>588</v>
      </c>
      <c r="F3" s="322" t="s">
        <v>590</v>
      </c>
      <c r="G3" s="322" t="s">
        <v>343</v>
      </c>
      <c r="H3" s="322" t="s">
        <v>344</v>
      </c>
      <c r="I3" s="322" t="s">
        <v>596</v>
      </c>
      <c r="J3" s="322" t="s">
        <v>597</v>
      </c>
      <c r="K3" s="322" t="s">
        <v>591</v>
      </c>
      <c r="L3" s="322" t="s">
        <v>338</v>
      </c>
      <c r="M3" s="299"/>
      <c r="N3" s="299"/>
    </row>
    <row r="4" spans="1:14" ht="19.5" customHeight="1" x14ac:dyDescent="0.3">
      <c r="A4" s="491">
        <f>IFERROR('Facility Master'!A7,"")</f>
        <v>3</v>
      </c>
      <c r="B4" s="492" t="str">
        <f>IFERROR('Facility Master'!B7,"")</f>
        <v>UBI</v>
      </c>
      <c r="C4" s="521" t="str">
        <f>IFERROR('Facility Master'!C7,"")</f>
        <v>Letter of Credit (Capex LC/UPAS/SBLC)</v>
      </c>
      <c r="D4" s="494" t="str">
        <f>IFERROR('Facility Master'!D7,"")</f>
        <v>NFB</v>
      </c>
      <c r="E4" s="494" t="str">
        <f>IFERROR(IF('Facility Master'!F7,"Sub-limit","Standalone"),"")</f>
        <v>Sub-limit</v>
      </c>
      <c r="F4" s="495">
        <f>IFERROR('Facility Master'!K7,0)</f>
        <v>750</v>
      </c>
      <c r="G4" s="495">
        <f>IFERROR('Facility Master'!M7,0)</f>
        <v>750</v>
      </c>
      <c r="H4" s="496">
        <f>IFERROR('Facility Master'!N7,0)</f>
        <v>1</v>
      </c>
      <c r="I4" s="522">
        <f>IFERROR('Facility Master'!Q7,0)</f>
        <v>6.0000000000000001E-3</v>
      </c>
      <c r="J4" s="523">
        <f t="shared" ref="J4:J25" si="0">IFERROR(F4*I4,0)</f>
        <v>4.5</v>
      </c>
      <c r="K4" s="500">
        <f>IFERROR('Facility Master'!AB7,"")</f>
        <v>46284</v>
      </c>
      <c r="L4" s="491">
        <f>IFERROR('Facility Master'!H7,0)</f>
        <v>0</v>
      </c>
      <c r="M4" s="524"/>
      <c r="N4" s="524"/>
    </row>
    <row r="5" spans="1:14" ht="19.5" customHeight="1" x14ac:dyDescent="0.3">
      <c r="A5" s="501">
        <f>IFERROR('Facility Master'!A8,"")</f>
        <v>4</v>
      </c>
      <c r="B5" s="930" t="str">
        <f>IFERROR('Facility Master'!B8,"")</f>
        <v>UBI</v>
      </c>
      <c r="C5" s="525" t="str">
        <f>IFERROR('Facility Master'!C8,"")</f>
        <v>Bank Guarantee</v>
      </c>
      <c r="D5" s="502" t="str">
        <f>IFERROR('Facility Master'!D8,"")</f>
        <v>NFB</v>
      </c>
      <c r="E5" s="502" t="str">
        <f>IFERROR(IF('Facility Master'!F8,"Sub-limit","Standalone"),"")</f>
        <v>Sub-limit</v>
      </c>
      <c r="F5" s="503">
        <f>IFERROR('Facility Master'!K8,0)</f>
        <v>12.5</v>
      </c>
      <c r="G5" s="503">
        <f>IFERROR('Facility Master'!M8,0)</f>
        <v>12.5</v>
      </c>
      <c r="H5" s="504">
        <f>IFERROR('Facility Master'!N8,0)</f>
        <v>1</v>
      </c>
      <c r="I5" s="526">
        <f>IFERROR('Facility Master'!Q8,0)</f>
        <v>6.0000000000000001E-3</v>
      </c>
      <c r="J5" s="527">
        <f t="shared" si="0"/>
        <v>7.4999999999999997E-2</v>
      </c>
      <c r="K5" s="507">
        <f>IFERROR('Facility Master'!AB8,"")</f>
        <v>46284</v>
      </c>
      <c r="L5" s="501">
        <f>IFERROR('Facility Master'!H8,0)</f>
        <v>0</v>
      </c>
      <c r="M5" s="327"/>
      <c r="N5" s="327"/>
    </row>
    <row r="6" spans="1:14" ht="19.5" customHeight="1" x14ac:dyDescent="0.3">
      <c r="A6" s="481">
        <f>IFERROR('Facility Master'!A12,"")</f>
        <v>8</v>
      </c>
      <c r="B6" s="482" t="str">
        <f>IFERROR('Facility Master'!B12,"")</f>
        <v>RBL Bank</v>
      </c>
      <c r="C6" s="528" t="str">
        <f>IFERROR('Facility Master'!C12,"")</f>
        <v>Letter of Credit (sub-limit of TL)</v>
      </c>
      <c r="D6" s="484" t="str">
        <f>IFERROR('Facility Master'!D12,"")</f>
        <v>NFB</v>
      </c>
      <c r="E6" s="484" t="str">
        <f>IFERROR(IF('Facility Master'!F12,"Sub-limit","Standalone"),"")</f>
        <v>Sub-limit</v>
      </c>
      <c r="F6" s="485">
        <f>IFERROR('Facility Master'!K12,0)</f>
        <v>200</v>
      </c>
      <c r="G6" s="485">
        <f>IFERROR('Facility Master'!M12,0)</f>
        <v>200</v>
      </c>
      <c r="H6" s="486">
        <f>IFERROR('Facility Master'!N12,0)</f>
        <v>1</v>
      </c>
      <c r="I6" s="529">
        <f>IFERROR('Facility Master'!Q12,0)</f>
        <v>5.0000000000000001E-3</v>
      </c>
      <c r="J6" s="530">
        <f t="shared" si="0"/>
        <v>1</v>
      </c>
      <c r="K6" s="490">
        <f>IFERROR('Facility Master'!AB12,"")</f>
        <v>46265</v>
      </c>
      <c r="L6" s="481">
        <f>IFERROR('Facility Master'!H12,0)</f>
        <v>0</v>
      </c>
      <c r="M6" s="358"/>
      <c r="N6" s="358"/>
    </row>
    <row r="7" spans="1:14" ht="19.5" customHeight="1" x14ac:dyDescent="0.3">
      <c r="A7" s="491">
        <f>IFERROR('Facility Master'!A15,"")</f>
        <v>11</v>
      </c>
      <c r="B7" s="492" t="str">
        <f>IFERROR('Facility Master'!B15,"")</f>
        <v>YES Bank</v>
      </c>
      <c r="C7" s="521" t="str">
        <f>IFERROR('Facility Master'!C15,"")</f>
        <v>Capex LC (sub-limit of TL)</v>
      </c>
      <c r="D7" s="494" t="str">
        <f>IFERROR('Facility Master'!D15,"")</f>
        <v>NFB</v>
      </c>
      <c r="E7" s="494" t="str">
        <f>IFERROR(IF('Facility Master'!F15,"Sub-limit","Standalone"),"")</f>
        <v>Sub-limit</v>
      </c>
      <c r="F7" s="495">
        <f>IFERROR('Facility Master'!K15,0)</f>
        <v>100</v>
      </c>
      <c r="G7" s="495">
        <f>IFERROR('Facility Master'!M15,0)</f>
        <v>100</v>
      </c>
      <c r="H7" s="496">
        <f>IFERROR('Facility Master'!N15,0)</f>
        <v>1</v>
      </c>
      <c r="I7" s="522">
        <f>IFERROR('Facility Master'!Q15,0)</f>
        <v>5.0000000000000001E-3</v>
      </c>
      <c r="J7" s="523">
        <f t="shared" si="0"/>
        <v>0.5</v>
      </c>
      <c r="K7" s="500">
        <f>IFERROR('Facility Master'!AB15,"")</f>
        <v>47116</v>
      </c>
      <c r="L7" s="491">
        <f>IFERROR('Facility Master'!H15,0)</f>
        <v>0</v>
      </c>
      <c r="M7" s="524"/>
      <c r="N7" s="524"/>
    </row>
    <row r="8" spans="1:14" ht="19.5" customHeight="1" x14ac:dyDescent="0.3">
      <c r="A8" s="481">
        <f>IFERROR('Facility Master'!A17,"")</f>
        <v>13</v>
      </c>
      <c r="B8" s="482" t="str">
        <f>IFERROR('Facility Master'!B17,"")</f>
        <v>IDFC First Bank</v>
      </c>
      <c r="C8" s="528" t="str">
        <f>IFERROR('Facility Master'!C17,"")</f>
        <v>NFB, Capex LC/SBLC (A)</v>
      </c>
      <c r="D8" s="484" t="str">
        <f>IFERROR('Facility Master'!D17,"")</f>
        <v>NFB</v>
      </c>
      <c r="E8" s="484" t="str">
        <f>IFERROR(IF('Facility Master'!F17,"Sub-limit","Standalone"),"")</f>
        <v>Sub-limit</v>
      </c>
      <c r="F8" s="485">
        <f>IFERROR('Facility Master'!K17,0)</f>
        <v>400</v>
      </c>
      <c r="G8" s="485">
        <f>IFERROR('Facility Master'!M17,0)</f>
        <v>400</v>
      </c>
      <c r="H8" s="486">
        <f>IFERROR('Facility Master'!N17,0)</f>
        <v>1</v>
      </c>
      <c r="I8" s="529">
        <f>IFERROR('Facility Master'!Q17,0)</f>
        <v>3.5000000000000001E-3</v>
      </c>
      <c r="J8" s="530">
        <f t="shared" si="0"/>
        <v>1.4000000000000001</v>
      </c>
      <c r="K8" s="490">
        <f>IFERROR('Facility Master'!AB17,"")</f>
        <v>46295</v>
      </c>
      <c r="L8" s="481">
        <f>IFERROR('Facility Master'!H17,0)</f>
        <v>0</v>
      </c>
      <c r="M8" s="358"/>
      <c r="N8" s="358"/>
    </row>
    <row r="9" spans="1:14" ht="19.5" customHeight="1" x14ac:dyDescent="0.3">
      <c r="A9" s="501">
        <f>IFERROR('Facility Master'!A18,"")</f>
        <v>14</v>
      </c>
      <c r="B9" s="930" t="str">
        <f>IFERROR('Facility Master'!B18,"")</f>
        <v>IDFC First Bank</v>
      </c>
      <c r="C9" s="525" t="str">
        <f>IFERROR('Facility Master'!C18,"")</f>
        <v>NFB, BG / SBLC (B, sub-limit within ₹400 cap)</v>
      </c>
      <c r="D9" s="502" t="str">
        <f>IFERROR('Facility Master'!D18,"")</f>
        <v>NFB</v>
      </c>
      <c r="E9" s="502" t="str">
        <f>IFERROR(IF('Facility Master'!F18,"Sub-limit","Standalone"),"")</f>
        <v>Sub-limit</v>
      </c>
      <c r="F9" s="503">
        <f>IFERROR('Facility Master'!K18,0)</f>
        <v>200</v>
      </c>
      <c r="G9" s="503">
        <f>IFERROR('Facility Master'!M18,0)</f>
        <v>200</v>
      </c>
      <c r="H9" s="504">
        <f>IFERROR('Facility Master'!N18,0)</f>
        <v>1</v>
      </c>
      <c r="I9" s="526">
        <f>IFERROR('Facility Master'!Q18,0)</f>
        <v>3.5000000000000001E-3</v>
      </c>
      <c r="J9" s="527">
        <f t="shared" si="0"/>
        <v>0.70000000000000007</v>
      </c>
      <c r="K9" s="507">
        <f>IFERROR('Facility Master'!AB18,"")</f>
        <v>46295</v>
      </c>
      <c r="L9" s="501">
        <f>IFERROR('Facility Master'!H18,0)</f>
        <v>0</v>
      </c>
      <c r="M9" s="327"/>
      <c r="N9" s="327"/>
    </row>
    <row r="10" spans="1:14" ht="19.5" customHeight="1" x14ac:dyDescent="0.3">
      <c r="A10" s="491">
        <f>IFERROR('Facility Master'!A21,"")</f>
        <v>17</v>
      </c>
      <c r="B10" s="492" t="str">
        <f>IFERROR('Facility Master'!B21,"")</f>
        <v>ICICI Bank</v>
      </c>
      <c r="C10" s="493" t="str">
        <f>IFERROR('Facility Master'!C21,"")</f>
        <v>Letter of Credit (WC)</v>
      </c>
      <c r="D10" s="494" t="str">
        <f>IFERROR('Facility Master'!D21,"")</f>
        <v>NFB</v>
      </c>
      <c r="E10" s="494" t="str">
        <f>IFERROR(IF('Facility Master'!F21,"Sub-limit","Standalone"),"")</f>
        <v>Standalone</v>
      </c>
      <c r="F10" s="495">
        <f>IFERROR('Facility Master'!K21,0)</f>
        <v>300</v>
      </c>
      <c r="G10" s="495">
        <f>IFERROR('Facility Master'!M21,0)</f>
        <v>300</v>
      </c>
      <c r="H10" s="496">
        <f>IFERROR('Facility Master'!N21,0)</f>
        <v>1</v>
      </c>
      <c r="I10" s="522">
        <f>IFERROR('Facility Master'!Q21,0)</f>
        <v>6.0000000000000001E-3</v>
      </c>
      <c r="J10" s="523">
        <f t="shared" si="0"/>
        <v>1.8</v>
      </c>
      <c r="K10" s="500">
        <f>IFERROR('Facility Master'!AB21,"")</f>
        <v>46421</v>
      </c>
      <c r="L10" s="491">
        <f>IFERROR('Facility Master'!H21,0)</f>
        <v>2</v>
      </c>
      <c r="M10" s="524"/>
      <c r="N10" s="524"/>
    </row>
    <row r="11" spans="1:14" ht="19.5" customHeight="1" x14ac:dyDescent="0.3">
      <c r="A11" s="501">
        <f>IFERROR('Facility Master'!A22,"")</f>
        <v>18</v>
      </c>
      <c r="B11" s="930" t="str">
        <f>IFERROR('Facility Master'!B22,"")</f>
        <v>ICICI Bank</v>
      </c>
      <c r="C11" s="525" t="str">
        <f>IFERROR('Facility Master'!C22,"")</f>
        <v>BG (F+P, sub-limit of LC)</v>
      </c>
      <c r="D11" s="502" t="str">
        <f>IFERROR('Facility Master'!D22,"")</f>
        <v>NFB</v>
      </c>
      <c r="E11" s="502" t="str">
        <f>IFERROR(IF('Facility Master'!F22,"Sub-limit","Standalone"),"")</f>
        <v>Sub-limit</v>
      </c>
      <c r="F11" s="503">
        <f>IFERROR('Facility Master'!K22,0)</f>
        <v>300</v>
      </c>
      <c r="G11" s="503">
        <f>IFERROR('Facility Master'!M22,0)</f>
        <v>300</v>
      </c>
      <c r="H11" s="504">
        <f>IFERROR('Facility Master'!N22,0)</f>
        <v>1</v>
      </c>
      <c r="I11" s="526">
        <f>IFERROR('Facility Master'!Q22,0)</f>
        <v>6.0000000000000001E-3</v>
      </c>
      <c r="J11" s="527">
        <f t="shared" si="0"/>
        <v>1.8</v>
      </c>
      <c r="K11" s="507">
        <f>IFERROR('Facility Master'!AB22,"")</f>
        <v>46421</v>
      </c>
      <c r="L11" s="501">
        <f>IFERROR('Facility Master'!H22,0)</f>
        <v>0</v>
      </c>
      <c r="M11" s="327"/>
      <c r="N11" s="327"/>
    </row>
    <row r="12" spans="1:14" ht="19.5" customHeight="1" x14ac:dyDescent="0.3">
      <c r="A12" s="508">
        <f>IFERROR('Facility Master'!A23,"")</f>
        <v>19</v>
      </c>
      <c r="B12" s="509" t="str">
        <f>IFERROR('Facility Master'!B23,"")</f>
        <v>HSBC</v>
      </c>
      <c r="C12" s="531" t="str">
        <f>IFERROR('Facility Master'!C23,"")</f>
        <v>Combined Limit (Uncommitted)</v>
      </c>
      <c r="D12" s="511" t="str">
        <f>IFERROR('Facility Master'!D23,"")</f>
        <v>NFB</v>
      </c>
      <c r="E12" s="511" t="str">
        <f>IFERROR(IF('Facility Master'!F23,"Sub-limit","Standalone"),"")</f>
        <v>Standalone</v>
      </c>
      <c r="F12" s="512">
        <f>IFERROR('Facility Master'!K23,0)</f>
        <v>200</v>
      </c>
      <c r="G12" s="512">
        <f>IFERROR('Facility Master'!M23,0)</f>
        <v>200</v>
      </c>
      <c r="H12" s="513">
        <f>IFERROR('Facility Master'!N23,0)</f>
        <v>1</v>
      </c>
      <c r="I12" s="532">
        <f>IFERROR('Facility Master'!Q23,0)</f>
        <v>0</v>
      </c>
      <c r="J12" s="533">
        <f t="shared" si="0"/>
        <v>0</v>
      </c>
      <c r="K12" s="517">
        <f>IFERROR('Facility Master'!AB23,"")</f>
        <v>46265</v>
      </c>
      <c r="L12" s="508">
        <f>IFERROR('Facility Master'!H23,0)</f>
        <v>1</v>
      </c>
      <c r="M12" s="534"/>
      <c r="N12" s="534"/>
    </row>
    <row r="13" spans="1:14" ht="19.5" customHeight="1" x14ac:dyDescent="0.3">
      <c r="A13" s="501">
        <f>IFERROR('Facility Master'!A26,"")</f>
        <v>22</v>
      </c>
      <c r="B13" s="930" t="str">
        <f>IFERROR('Facility Master'!B26,"")</f>
        <v>HSBC</v>
      </c>
      <c r="C13" s="535" t="str">
        <f>IFERROR('Facility Master'!C26,"")</f>
        <v>Import Controlling line - 1 (Uncommitted)</v>
      </c>
      <c r="D13" s="502" t="str">
        <f>IFERROR('Facility Master'!D26,"")</f>
        <v>NFB</v>
      </c>
      <c r="E13" s="502" t="str">
        <f>IFERROR(IF('Facility Master'!F26,"Sub-limit","Standalone"),"")</f>
        <v>Sub-limit</v>
      </c>
      <c r="F13" s="503">
        <f>IFERROR('Facility Master'!K26,0)</f>
        <v>26.08</v>
      </c>
      <c r="G13" s="503">
        <f>IFERROR('Facility Master'!M26,0)</f>
        <v>26.08</v>
      </c>
      <c r="H13" s="504">
        <f>IFERROR('Facility Master'!N26,0)</f>
        <v>1</v>
      </c>
      <c r="I13" s="526">
        <f>IFERROR('Facility Master'!Q26,0)</f>
        <v>0</v>
      </c>
      <c r="J13" s="527">
        <f t="shared" si="0"/>
        <v>0</v>
      </c>
      <c r="K13" s="507">
        <f>IFERROR('Facility Master'!AB26,"")</f>
        <v>46265</v>
      </c>
      <c r="L13" s="501">
        <f>IFERROR('Facility Master'!H26,0)</f>
        <v>0</v>
      </c>
      <c r="M13" s="327"/>
      <c r="N13" s="327"/>
    </row>
    <row r="14" spans="1:14" ht="19.5" customHeight="1" x14ac:dyDescent="0.3">
      <c r="A14" s="508">
        <f>IFERROR('Facility Master'!A27,"")</f>
        <v>23</v>
      </c>
      <c r="B14" s="536" t="str">
        <f>IFERROR('Facility Master'!B27,"")</f>
        <v>HSBC</v>
      </c>
      <c r="C14" s="531" t="str">
        <f>IFERROR('Facility Master'!C27,"")</f>
        <v>TradePay Domestic/Import (Uncommitted)</v>
      </c>
      <c r="D14" s="511" t="str">
        <f>IFERROR('Facility Master'!D27,"")</f>
        <v>NFB</v>
      </c>
      <c r="E14" s="511" t="str">
        <f>IFERROR(IF('Facility Master'!F27,"Sub-limit","Standalone"),"")</f>
        <v>Sub-limit</v>
      </c>
      <c r="F14" s="512">
        <f>IFERROR('Facility Master'!K27,0)</f>
        <v>26.08</v>
      </c>
      <c r="G14" s="512">
        <f>IFERROR('Facility Master'!M27,0)</f>
        <v>26.08</v>
      </c>
      <c r="H14" s="513">
        <f>IFERROR('Facility Master'!N27,0)</f>
        <v>1</v>
      </c>
      <c r="I14" s="532">
        <f>IFERROR('Facility Master'!Q27,0)</f>
        <v>0</v>
      </c>
      <c r="J14" s="533">
        <f t="shared" si="0"/>
        <v>0</v>
      </c>
      <c r="K14" s="517">
        <f>IFERROR('Facility Master'!AB27,"")</f>
        <v>46265</v>
      </c>
      <c r="L14" s="508">
        <f>IFERROR('Facility Master'!H27,0)</f>
        <v>0</v>
      </c>
      <c r="M14" s="534"/>
      <c r="N14" s="534"/>
    </row>
    <row r="15" spans="1:14" ht="19.5" customHeight="1" x14ac:dyDescent="0.3">
      <c r="A15" s="501">
        <f>IFERROR('Facility Master'!A30,"")</f>
        <v>26</v>
      </c>
      <c r="B15" s="930" t="str">
        <f>IFERROR('Facility Master'!B30,"")</f>
        <v>HSBC</v>
      </c>
      <c r="C15" s="535" t="str">
        <f>IFERROR('Facility Master'!C30,"")</f>
        <v>Export Controlling line (Uncommitted)</v>
      </c>
      <c r="D15" s="502" t="str">
        <f>IFERROR('Facility Master'!D30,"")</f>
        <v>NFB</v>
      </c>
      <c r="E15" s="502" t="str">
        <f>IFERROR(IF('Facility Master'!F30,"Sub-limit","Standalone"),"")</f>
        <v>Sub-limit</v>
      </c>
      <c r="F15" s="503">
        <f>IFERROR('Facility Master'!K30,0)</f>
        <v>26.08</v>
      </c>
      <c r="G15" s="503">
        <f>IFERROR('Facility Master'!M30,0)</f>
        <v>26.08</v>
      </c>
      <c r="H15" s="504">
        <f>IFERROR('Facility Master'!N30,0)</f>
        <v>1</v>
      </c>
      <c r="I15" s="526">
        <f>IFERROR('Facility Master'!Q30,0)</f>
        <v>0</v>
      </c>
      <c r="J15" s="527">
        <f t="shared" si="0"/>
        <v>0</v>
      </c>
      <c r="K15" s="507">
        <f>IFERROR('Facility Master'!AB30,"")</f>
        <v>46265</v>
      </c>
      <c r="L15" s="501">
        <f>IFERROR('Facility Master'!H30,0)</f>
        <v>0</v>
      </c>
      <c r="M15" s="327"/>
      <c r="N15" s="327"/>
    </row>
    <row r="16" spans="1:14" ht="19.5" customHeight="1" x14ac:dyDescent="0.3">
      <c r="A16" s="508">
        <f>IFERROR('Facility Master'!A33,"")</f>
        <v>29</v>
      </c>
      <c r="B16" s="536" t="str">
        <f>IFERROR('Facility Master'!B33,"")</f>
        <v>HSBC</v>
      </c>
      <c r="C16" s="531" t="str">
        <f>IFERROR('Facility Master'!C33,"")</f>
        <v>Import Controlling line - 2 (Uncommitted)</v>
      </c>
      <c r="D16" s="511" t="str">
        <f>IFERROR('Facility Master'!D33,"")</f>
        <v>NFB</v>
      </c>
      <c r="E16" s="511" t="str">
        <f>IFERROR(IF('Facility Master'!F33,"Sub-limit","Standalone"),"")</f>
        <v>Sub-limit</v>
      </c>
      <c r="F16" s="512">
        <f>IFERROR('Facility Master'!K33,0)</f>
        <v>154.58000000000001</v>
      </c>
      <c r="G16" s="512">
        <f>IFERROR('Facility Master'!M33,0)</f>
        <v>154.58000000000001</v>
      </c>
      <c r="H16" s="513">
        <f>IFERROR('Facility Master'!N33,0)</f>
        <v>1</v>
      </c>
      <c r="I16" s="532">
        <f>IFERROR('Facility Master'!Q33,0)</f>
        <v>0</v>
      </c>
      <c r="J16" s="533">
        <f t="shared" si="0"/>
        <v>0</v>
      </c>
      <c r="K16" s="517">
        <f>IFERROR('Facility Master'!AB33,"")</f>
        <v>46265</v>
      </c>
      <c r="L16" s="508">
        <f>IFERROR('Facility Master'!H33,0)</f>
        <v>0</v>
      </c>
      <c r="M16" s="534"/>
      <c r="N16" s="534"/>
    </row>
    <row r="17" spans="1:14" ht="19.5" customHeight="1" x14ac:dyDescent="0.3">
      <c r="A17" s="501">
        <f>IFERROR('Facility Master'!A34,"")</f>
        <v>30</v>
      </c>
      <c r="B17" s="930" t="str">
        <f>IFERROR('Facility Master'!B34,"")</f>
        <v>HSBC</v>
      </c>
      <c r="C17" s="535" t="str">
        <f>IFERROR('Facility Master'!C34,"")</f>
        <v>Import Documentary Credit - 12 (Uncommitted)</v>
      </c>
      <c r="D17" s="502" t="str">
        <f>IFERROR('Facility Master'!D34,"")</f>
        <v>NFB</v>
      </c>
      <c r="E17" s="502" t="str">
        <f>IFERROR(IF('Facility Master'!F34,"Sub-limit","Standalone"),"")</f>
        <v>Sub-limit</v>
      </c>
      <c r="F17" s="503">
        <f>IFERROR('Facility Master'!K34,0)</f>
        <v>154.58000000000001</v>
      </c>
      <c r="G17" s="503">
        <f>IFERROR('Facility Master'!M34,0)</f>
        <v>154.58000000000001</v>
      </c>
      <c r="H17" s="504">
        <f>IFERROR('Facility Master'!N34,0)</f>
        <v>1</v>
      </c>
      <c r="I17" s="526">
        <f>IFERROR('Facility Master'!Q34,0)</f>
        <v>0</v>
      </c>
      <c r="J17" s="527">
        <f t="shared" si="0"/>
        <v>0</v>
      </c>
      <c r="K17" s="507">
        <f>IFERROR('Facility Master'!AB34,"")</f>
        <v>46265</v>
      </c>
      <c r="L17" s="501">
        <f>IFERROR('Facility Master'!H34,0)</f>
        <v>0</v>
      </c>
      <c r="M17" s="327"/>
      <c r="N17" s="327"/>
    </row>
    <row r="18" spans="1:14" ht="19.5" customHeight="1" x14ac:dyDescent="0.3">
      <c r="A18" s="508">
        <f>IFERROR('Facility Master'!A35,"")</f>
        <v>31</v>
      </c>
      <c r="B18" s="536" t="str">
        <f>IFERROR('Facility Master'!B35,"")</f>
        <v>HSBC</v>
      </c>
      <c r="C18" s="531" t="str">
        <f>IFERROR('Facility Master'!C35,"")</f>
        <v>Import Documentary Credit - 13 (Uncommitted)</v>
      </c>
      <c r="D18" s="511" t="str">
        <f>IFERROR('Facility Master'!D35,"")</f>
        <v>NFB</v>
      </c>
      <c r="E18" s="511" t="str">
        <f>IFERROR(IF('Facility Master'!F35,"Sub-limit","Standalone"),"")</f>
        <v>Sub-limit</v>
      </c>
      <c r="F18" s="512">
        <f>IFERROR('Facility Master'!K35,0)</f>
        <v>10</v>
      </c>
      <c r="G18" s="512">
        <f>IFERROR('Facility Master'!M35,0)</f>
        <v>10</v>
      </c>
      <c r="H18" s="513">
        <f>IFERROR('Facility Master'!N35,0)</f>
        <v>1</v>
      </c>
      <c r="I18" s="532">
        <f>IFERROR('Facility Master'!Q35,0)</f>
        <v>0</v>
      </c>
      <c r="J18" s="533">
        <f t="shared" si="0"/>
        <v>0</v>
      </c>
      <c r="K18" s="517">
        <f>IFERROR('Facility Master'!AB35,"")</f>
        <v>46265</v>
      </c>
      <c r="L18" s="508">
        <f>IFERROR('Facility Master'!H35,0)</f>
        <v>0</v>
      </c>
      <c r="M18" s="534"/>
      <c r="N18" s="534"/>
    </row>
    <row r="19" spans="1:14" ht="19.5" customHeight="1" x14ac:dyDescent="0.3">
      <c r="A19" s="501">
        <f>IFERROR('Facility Master'!A36,"")</f>
        <v>32</v>
      </c>
      <c r="B19" s="930" t="str">
        <f>IFERROR('Facility Master'!B36,"")</f>
        <v>HSBC</v>
      </c>
      <c r="C19" s="535" t="str">
        <f>IFERROR('Facility Master'!C36,"")</f>
        <v>Guarantees/Bonds Non-Financial (Uncommitted)</v>
      </c>
      <c r="D19" s="502" t="str">
        <f>IFERROR('Facility Master'!D36,"")</f>
        <v>NFB</v>
      </c>
      <c r="E19" s="502" t="str">
        <f>IFERROR(IF('Facility Master'!F36,"Sub-limit","Standalone"),"")</f>
        <v>Sub-limit</v>
      </c>
      <c r="F19" s="503">
        <f>IFERROR('Facility Master'!K36,0)</f>
        <v>17.399999999999999</v>
      </c>
      <c r="G19" s="503">
        <f>IFERROR('Facility Master'!M36,0)</f>
        <v>17.399999999999999</v>
      </c>
      <c r="H19" s="504">
        <f>IFERROR('Facility Master'!N36,0)</f>
        <v>1</v>
      </c>
      <c r="I19" s="526">
        <f>IFERROR('Facility Master'!Q36,0)</f>
        <v>0</v>
      </c>
      <c r="J19" s="527">
        <f t="shared" si="0"/>
        <v>0</v>
      </c>
      <c r="K19" s="507">
        <f>IFERROR('Facility Master'!AB36,"")</f>
        <v>46265</v>
      </c>
      <c r="L19" s="501">
        <f>IFERROR('Facility Master'!H36,0)</f>
        <v>0</v>
      </c>
      <c r="M19" s="327"/>
      <c r="N19" s="327"/>
    </row>
    <row r="20" spans="1:14" ht="19.5" customHeight="1" x14ac:dyDescent="0.3">
      <c r="A20" s="491">
        <f>IFERROR('Facility Master'!A37,"")</f>
        <v>33</v>
      </c>
      <c r="B20" s="492" t="str">
        <f>IFERROR('Facility Master'!B37,"")</f>
        <v>HSBC</v>
      </c>
      <c r="C20" s="521" t="str">
        <f>IFERROR('Facility Master'!C37,"")</f>
        <v>Guarantees/Bonds Financial (Uncommitted)</v>
      </c>
      <c r="D20" s="494" t="str">
        <f>IFERROR('Facility Master'!D37,"")</f>
        <v>NFB</v>
      </c>
      <c r="E20" s="494" t="str">
        <f>IFERROR(IF('Facility Master'!F37,"Sub-limit","Standalone"),"")</f>
        <v>Sub-limit</v>
      </c>
      <c r="F20" s="495">
        <f>IFERROR('Facility Master'!K37,0)</f>
        <v>1.94</v>
      </c>
      <c r="G20" s="495">
        <f>IFERROR('Facility Master'!M37,0)</f>
        <v>1.94</v>
      </c>
      <c r="H20" s="496">
        <f>IFERROR('Facility Master'!N37,0)</f>
        <v>1</v>
      </c>
      <c r="I20" s="522">
        <f>IFERROR('Facility Master'!Q37,0)</f>
        <v>0</v>
      </c>
      <c r="J20" s="523">
        <f t="shared" si="0"/>
        <v>0</v>
      </c>
      <c r="K20" s="500">
        <f>IFERROR('Facility Master'!AB37,"")</f>
        <v>46265</v>
      </c>
      <c r="L20" s="491">
        <f>IFERROR('Facility Master'!H37,0)</f>
        <v>0</v>
      </c>
      <c r="M20" s="524"/>
      <c r="N20" s="524"/>
    </row>
    <row r="21" spans="1:14" ht="19.5" customHeight="1" x14ac:dyDescent="0.3">
      <c r="A21" s="501">
        <f>IFERROR('Facility Master'!A38,"")</f>
        <v>34</v>
      </c>
      <c r="B21" s="930" t="str">
        <f>IFERROR('Facility Master'!B38,"")</f>
        <v>HDFC Bank</v>
      </c>
      <c r="C21" s="244" t="str">
        <f>IFERROR('Facility Master'!C38,"")</f>
        <v>Letter of Credit (WC parent)</v>
      </c>
      <c r="D21" s="502" t="str">
        <f>IFERROR('Facility Master'!D38,"")</f>
        <v>NFB</v>
      </c>
      <c r="E21" s="502" t="str">
        <f>IFERROR(IF('Facility Master'!F38,"Sub-limit","Standalone"),"")</f>
        <v>Standalone</v>
      </c>
      <c r="F21" s="503">
        <f>IFERROR('Facility Master'!K38,0)</f>
        <v>250</v>
      </c>
      <c r="G21" s="503">
        <f>IFERROR('Facility Master'!M38,0)</f>
        <v>250</v>
      </c>
      <c r="H21" s="504">
        <f>IFERROR('Facility Master'!N38,0)</f>
        <v>1</v>
      </c>
      <c r="I21" s="526">
        <f>IFERROR('Facility Master'!Q38,0)</f>
        <v>5.0000000000000001E-3</v>
      </c>
      <c r="J21" s="527">
        <f t="shared" si="0"/>
        <v>1.25</v>
      </c>
      <c r="K21" s="507">
        <f>IFERROR('Facility Master'!AB38,"")</f>
        <v>46265</v>
      </c>
      <c r="L21" s="501">
        <f>IFERROR('Facility Master'!H38,0)</f>
        <v>2</v>
      </c>
      <c r="M21" s="327"/>
      <c r="N21" s="327"/>
    </row>
    <row r="22" spans="1:14" ht="19.5" customHeight="1" x14ac:dyDescent="0.3">
      <c r="A22" s="491">
        <f>IFERROR('Facility Master'!A41,"")</f>
        <v>37</v>
      </c>
      <c r="B22" s="931"/>
      <c r="C22" s="521" t="str">
        <f>IFERROR('Facility Master'!C41,"")</f>
        <v>SBLC (sub of LC)</v>
      </c>
      <c r="D22" s="494" t="str">
        <f>IFERROR('Facility Master'!D41,"")</f>
        <v>NFB</v>
      </c>
      <c r="E22" s="494" t="str">
        <f>IFERROR(IF('Facility Master'!F41,"Sub-limit","Standalone"),"")</f>
        <v>Sub-limit</v>
      </c>
      <c r="F22" s="495">
        <f>IFERROR('Facility Master'!K41,0)</f>
        <v>250</v>
      </c>
      <c r="G22" s="495">
        <f>IFERROR('Facility Master'!M41,0)</f>
        <v>250</v>
      </c>
      <c r="H22" s="496">
        <f>IFERROR('Facility Master'!N41,0)</f>
        <v>1</v>
      </c>
      <c r="I22" s="522">
        <f>IFERROR('Facility Master'!Q41,0)</f>
        <v>0</v>
      </c>
      <c r="J22" s="523">
        <f t="shared" si="0"/>
        <v>0</v>
      </c>
      <c r="K22" s="500">
        <f>IFERROR('Facility Master'!AB41,"")</f>
        <v>46265</v>
      </c>
      <c r="L22" s="491">
        <f>IFERROR('Facility Master'!H41,0)</f>
        <v>0</v>
      </c>
      <c r="M22" s="524"/>
      <c r="N22" s="524"/>
    </row>
    <row r="23" spans="1:14" ht="19.5" customHeight="1" x14ac:dyDescent="0.3">
      <c r="A23" s="481">
        <f>IFERROR('Facility Master'!A45,"")</f>
        <v>41</v>
      </c>
      <c r="B23" s="932"/>
      <c r="C23" s="538" t="str">
        <f>IFERROR('Facility Master'!C45,"")</f>
        <v>BG (sub of FD-OD)</v>
      </c>
      <c r="D23" s="484" t="str">
        <f>IFERROR('Facility Master'!D45,"")</f>
        <v>NFB</v>
      </c>
      <c r="E23" s="484" t="str">
        <f>IFERROR(IF('Facility Master'!F45,"Sub-limit","Standalone"),"")</f>
        <v>Sub-limit</v>
      </c>
      <c r="F23" s="485">
        <f>IFERROR('Facility Master'!K45,0)</f>
        <v>50</v>
      </c>
      <c r="G23" s="485">
        <f>IFERROR('Facility Master'!M45,0)</f>
        <v>50</v>
      </c>
      <c r="H23" s="486">
        <f>IFERROR('Facility Master'!N45,0)</f>
        <v>1</v>
      </c>
      <c r="I23" s="529">
        <f>IFERROR('Facility Master'!Q45,0)</f>
        <v>0</v>
      </c>
      <c r="J23" s="530">
        <f t="shared" si="0"/>
        <v>0</v>
      </c>
      <c r="K23" s="490">
        <f>IFERROR('Facility Master'!AB45,"")</f>
        <v>46265</v>
      </c>
      <c r="L23" s="481">
        <f>IFERROR('Facility Master'!H45,0)</f>
        <v>0</v>
      </c>
      <c r="M23" s="358"/>
      <c r="N23" s="358"/>
    </row>
    <row r="24" spans="1:14" ht="19.5" customHeight="1" x14ac:dyDescent="0.3">
      <c r="A24" s="481">
        <f>IFERROR('Facility Master'!A47,"")</f>
        <v>43</v>
      </c>
      <c r="B24" s="932" t="str">
        <f>IFERROR('Facility Master'!B47,"")</f>
        <v>ICICI Bank (TL)</v>
      </c>
      <c r="C24" s="538" t="str">
        <f>IFERROR('Facility Master'!C47,"")</f>
        <v>BG Financial (sub of RTL)</v>
      </c>
      <c r="D24" s="484" t="str">
        <f>IFERROR('Facility Master'!D47,"")</f>
        <v>NFB</v>
      </c>
      <c r="E24" s="484" t="str">
        <f>IFERROR(IF('Facility Master'!F47,"Sub-limit","Standalone"),"")</f>
        <v>Sub-limit</v>
      </c>
      <c r="F24" s="485">
        <f>IFERROR('Facility Master'!K47,0)</f>
        <v>20</v>
      </c>
      <c r="G24" s="485">
        <f>IFERROR('Facility Master'!M47,0)</f>
        <v>20</v>
      </c>
      <c r="H24" s="486">
        <f>IFERROR('Facility Master'!N47,0)</f>
        <v>1</v>
      </c>
      <c r="I24" s="529">
        <f>IFERROR('Facility Master'!Q47,0)</f>
        <v>7.4999999999999997E-3</v>
      </c>
      <c r="J24" s="530">
        <f t="shared" si="0"/>
        <v>0.15</v>
      </c>
      <c r="K24" s="490">
        <f>IFERROR('Facility Master'!AB47,"")</f>
        <v>47204</v>
      </c>
      <c r="L24" s="481">
        <f>IFERROR('Facility Master'!H47,0)</f>
        <v>0</v>
      </c>
      <c r="M24" s="358"/>
      <c r="N24" s="358"/>
    </row>
    <row r="25" spans="1:14" ht="19.5" customHeight="1" x14ac:dyDescent="0.3">
      <c r="A25" s="540">
        <f>IFERROR('Facility Master'!A48,"")</f>
        <v>44</v>
      </c>
      <c r="B25" s="933" t="str">
        <f>IFERROR('Facility Master'!B48,"")</f>
        <v>ICICI Bank (TL)</v>
      </c>
      <c r="C25" s="541" t="str">
        <f>IFERROR('Facility Master'!C48,"")</f>
        <v>SBLC Buyers Credit (sub of RTL)</v>
      </c>
      <c r="D25" s="542" t="str">
        <f>IFERROR('Facility Master'!D48,"")</f>
        <v>NFB</v>
      </c>
      <c r="E25" s="542" t="str">
        <f>IFERROR(IF('Facility Master'!F48,"Sub-limit","Standalone"),"")</f>
        <v>Sub-limit</v>
      </c>
      <c r="F25" s="543">
        <f>IFERROR('Facility Master'!K48,0)</f>
        <v>20</v>
      </c>
      <c r="G25" s="543">
        <f>IFERROR('Facility Master'!M48,0)</f>
        <v>20</v>
      </c>
      <c r="H25" s="544">
        <f>IFERROR('Facility Master'!N48,0)</f>
        <v>1</v>
      </c>
      <c r="I25" s="545">
        <f>IFERROR('Facility Master'!Q48,0)</f>
        <v>7.4999999999999997E-3</v>
      </c>
      <c r="J25" s="546">
        <f t="shared" si="0"/>
        <v>0.15</v>
      </c>
      <c r="K25" s="547">
        <f>IFERROR('Facility Master'!AB48,"")</f>
        <v>47204</v>
      </c>
      <c r="L25" s="540">
        <f>IFERROR('Facility Master'!H48,0)</f>
        <v>0</v>
      </c>
      <c r="M25" s="358"/>
      <c r="N25" s="358"/>
    </row>
    <row r="26" spans="1:14" ht="21.75" customHeight="1" x14ac:dyDescent="0.3">
      <c r="A26" s="191" t="s">
        <v>592</v>
      </c>
      <c r="B26" s="336"/>
      <c r="C26" s="336"/>
      <c r="D26" s="336"/>
      <c r="E26" s="336"/>
      <c r="F26" s="518">
        <f>SUM(F4:F25)</f>
        <v>3469.24</v>
      </c>
      <c r="G26" s="518">
        <f>SUM(G4:G25)</f>
        <v>3469.24</v>
      </c>
      <c r="H26" s="336"/>
      <c r="I26" s="336"/>
      <c r="J26" s="548">
        <f>SUM(J4:J25)</f>
        <v>13.325000000000003</v>
      </c>
      <c r="K26" s="336"/>
      <c r="L26" s="336"/>
      <c r="M26" s="336"/>
      <c r="N26" s="336"/>
    </row>
    <row r="27" spans="1:14" ht="36" customHeight="1" x14ac:dyDescent="0.3">
      <c r="A27" s="519" t="s">
        <v>598</v>
      </c>
      <c r="B27" s="549"/>
      <c r="C27" s="520"/>
      <c r="D27" s="520"/>
      <c r="E27" s="520"/>
      <c r="F27" s="520"/>
      <c r="G27" s="520"/>
      <c r="H27" s="520"/>
      <c r="I27" s="520"/>
      <c r="J27" s="520"/>
      <c r="K27" s="520"/>
      <c r="L27" s="520"/>
      <c r="M27" s="520"/>
      <c r="N27" s="520"/>
    </row>
    <row r="28" spans="1:14" ht="30" customHeight="1" x14ac:dyDescent="0.3">
      <c r="A28" s="550" t="s">
        <v>599</v>
      </c>
      <c r="B28" s="551"/>
      <c r="C28" s="551"/>
      <c r="D28" s="551"/>
      <c r="E28" s="551"/>
      <c r="F28" s="551"/>
      <c r="G28" s="551"/>
      <c r="H28" s="551"/>
      <c r="I28" s="551"/>
      <c r="J28" s="551"/>
      <c r="K28" s="551"/>
      <c r="L28" s="551"/>
      <c r="M28" s="551"/>
      <c r="N28" s="551"/>
    </row>
    <row r="29" spans="1:14" ht="14.25" hidden="1" customHeight="1" x14ac:dyDescent="0.3"/>
    <row r="30" spans="1:14" ht="14.25" hidden="1" customHeight="1" x14ac:dyDescent="0.3">
      <c r="B30" s="552"/>
    </row>
    <row r="31" spans="1:14" ht="14.25" hidden="1" customHeight="1" x14ac:dyDescent="0.3">
      <c r="B31" s="552"/>
    </row>
    <row r="32" spans="1:14" ht="14.25" hidden="1" customHeight="1" x14ac:dyDescent="0.3">
      <c r="B32" s="552"/>
    </row>
    <row r="33" spans="2:2" ht="14.25" hidden="1" customHeight="1" x14ac:dyDescent="0.3">
      <c r="B33" s="552"/>
    </row>
    <row r="34" spans="2:2" ht="14.25" hidden="1" customHeight="1" x14ac:dyDescent="0.3">
      <c r="B34" s="552"/>
    </row>
    <row r="35" spans="2:2" ht="14.25" hidden="1" customHeight="1" x14ac:dyDescent="0.3"/>
    <row r="36" spans="2:2" ht="14.25" hidden="1" customHeight="1" x14ac:dyDescent="0.3"/>
    <row r="37" spans="2:2" ht="14.25" hidden="1" customHeight="1" x14ac:dyDescent="0.3"/>
    <row r="38" spans="2:2" ht="14.25" hidden="1" customHeight="1" x14ac:dyDescent="0.3"/>
    <row r="39" spans="2:2" ht="14.25" hidden="1" customHeight="1" x14ac:dyDescent="0.3"/>
    <row r="40" spans="2:2" ht="14.25" hidden="1" customHeight="1" x14ac:dyDescent="0.3"/>
    <row r="41" spans="2:2" ht="14.25" hidden="1" customHeight="1" x14ac:dyDescent="0.3"/>
    <row r="42" spans="2:2" ht="14.25" hidden="1" customHeight="1" x14ac:dyDescent="0.3"/>
    <row r="43" spans="2:2" ht="14.25" hidden="1" customHeight="1" x14ac:dyDescent="0.3"/>
    <row r="44" spans="2:2" ht="14.25" hidden="1" customHeight="1" x14ac:dyDescent="0.3"/>
    <row r="45" spans="2:2" ht="14.25" hidden="1" customHeight="1" x14ac:dyDescent="0.3"/>
    <row r="46" spans="2:2" ht="14.25" hidden="1" customHeight="1" x14ac:dyDescent="0.3"/>
    <row r="47" spans="2:2" ht="14.25" hidden="1" customHeight="1" x14ac:dyDescent="0.3"/>
    <row r="48" spans="2:2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  <row r="201" ht="14.25" hidden="1" customHeight="1" x14ac:dyDescent="0.3"/>
  </sheetData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BACC6"/>
  </sheetPr>
  <dimension ref="A1:AP80"/>
  <sheetViews>
    <sheetView showGridLines="0" zoomScaleNormal="100" workbookViewId="0">
      <pane xSplit="3" ySplit="4" topLeftCell="D66" activePane="bottomRight" state="frozen"/>
      <selection pane="topRight" activeCell="D1" sqref="D1"/>
      <selection pane="bottomLeft" activeCell="A66" sqref="A66"/>
      <selection pane="bottomRight" activeCell="F23" sqref="F23"/>
    </sheetView>
  </sheetViews>
  <sheetFormatPr defaultColWidth="8.6640625" defaultRowHeight="14.4" x14ac:dyDescent="0.3"/>
  <cols>
    <col min="1" max="1" width="5.21875" customWidth="1"/>
    <col min="2" max="2" width="12" customWidth="1"/>
    <col min="3" max="41" width="10.21875" customWidth="1"/>
    <col min="42" max="42" width="12" customWidth="1"/>
  </cols>
  <sheetData>
    <row r="1" spans="1:42" ht="27.75" customHeight="1" x14ac:dyDescent="0.3">
      <c r="A1" s="14" t="s">
        <v>600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7.75" customHeight="1" x14ac:dyDescent="0.3">
      <c r="A2" s="902" t="s">
        <v>601</v>
      </c>
      <c r="B2" s="902"/>
      <c r="C2" s="902"/>
      <c r="D2" s="902"/>
      <c r="E2" s="902"/>
      <c r="F2" s="902"/>
      <c r="G2" s="902"/>
      <c r="H2" s="902"/>
      <c r="I2" s="902"/>
      <c r="J2" s="902"/>
      <c r="K2" s="902"/>
      <c r="L2" s="902"/>
      <c r="M2" s="902"/>
      <c r="N2" s="902"/>
      <c r="O2" s="902"/>
      <c r="P2" s="902"/>
      <c r="Q2" s="902"/>
      <c r="R2" s="902"/>
      <c r="S2" s="902"/>
      <c r="T2" s="902"/>
      <c r="U2" s="902"/>
      <c r="V2" s="902"/>
      <c r="W2" s="902"/>
      <c r="X2" s="902"/>
      <c r="Y2" s="902"/>
      <c r="Z2" s="902"/>
      <c r="AA2" s="902"/>
      <c r="AB2" s="902"/>
      <c r="AC2" s="902"/>
      <c r="AD2" s="902"/>
      <c r="AE2" s="902"/>
      <c r="AF2" s="902"/>
      <c r="AG2" s="902"/>
      <c r="AH2" s="902"/>
      <c r="AI2" s="902"/>
      <c r="AJ2" s="902"/>
      <c r="AK2" s="902"/>
      <c r="AL2" s="902"/>
      <c r="AM2" s="902"/>
      <c r="AN2" s="902"/>
      <c r="AO2" s="902"/>
      <c r="AP2" s="902"/>
    </row>
    <row r="3" spans="1:42" ht="24" customHeight="1" x14ac:dyDescent="0.3">
      <c r="A3" s="903" t="s">
        <v>602</v>
      </c>
      <c r="B3" s="903"/>
      <c r="C3" s="903"/>
      <c r="D3" s="904" t="s">
        <v>603</v>
      </c>
      <c r="E3" s="904"/>
      <c r="F3" s="904"/>
      <c r="G3" s="904"/>
      <c r="H3" s="904"/>
      <c r="I3" s="904" t="s">
        <v>604</v>
      </c>
      <c r="J3" s="904"/>
      <c r="K3" s="904"/>
      <c r="L3" s="904"/>
      <c r="M3" s="904"/>
      <c r="N3" s="904" t="s">
        <v>605</v>
      </c>
      <c r="O3" s="904"/>
      <c r="P3" s="904"/>
      <c r="Q3" s="904"/>
      <c r="R3" s="904"/>
      <c r="S3" s="905" t="s">
        <v>606</v>
      </c>
      <c r="T3" s="905"/>
      <c r="U3" s="905"/>
      <c r="V3" s="905"/>
      <c r="W3" s="905"/>
      <c r="X3" s="904" t="s">
        <v>607</v>
      </c>
      <c r="Y3" s="904"/>
      <c r="Z3" s="904"/>
      <c r="AA3" s="904"/>
      <c r="AB3" s="904"/>
      <c r="AC3" s="904" t="s">
        <v>608</v>
      </c>
      <c r="AD3" s="904"/>
      <c r="AE3" s="904"/>
      <c r="AF3" s="904"/>
      <c r="AG3" s="904"/>
      <c r="AH3" s="906" t="s">
        <v>609</v>
      </c>
      <c r="AI3" s="906"/>
      <c r="AJ3" s="906"/>
      <c r="AK3" s="906"/>
      <c r="AL3" s="906"/>
      <c r="AM3" s="907" t="s">
        <v>610</v>
      </c>
      <c r="AN3" s="907"/>
      <c r="AO3" s="907"/>
      <c r="AP3" s="907"/>
    </row>
    <row r="4" spans="1:42" ht="27.75" customHeight="1" x14ac:dyDescent="0.3">
      <c r="A4" s="553" t="s">
        <v>121</v>
      </c>
      <c r="B4" s="553" t="s">
        <v>611</v>
      </c>
      <c r="C4" s="553" t="s">
        <v>612</v>
      </c>
      <c r="D4" s="553" t="s">
        <v>613</v>
      </c>
      <c r="E4" s="553" t="s">
        <v>614</v>
      </c>
      <c r="F4" s="553" t="s">
        <v>615</v>
      </c>
      <c r="G4" s="553" t="s">
        <v>616</v>
      </c>
      <c r="H4" s="553" t="s">
        <v>617</v>
      </c>
      <c r="I4" s="553" t="s">
        <v>613</v>
      </c>
      <c r="J4" s="553" t="s">
        <v>614</v>
      </c>
      <c r="K4" s="553" t="s">
        <v>615</v>
      </c>
      <c r="L4" s="553" t="s">
        <v>616</v>
      </c>
      <c r="M4" s="553" t="s">
        <v>617</v>
      </c>
      <c r="N4" s="553" t="s">
        <v>613</v>
      </c>
      <c r="O4" s="553" t="s">
        <v>614</v>
      </c>
      <c r="P4" s="553" t="s">
        <v>615</v>
      </c>
      <c r="Q4" s="553" t="s">
        <v>616</v>
      </c>
      <c r="R4" s="553" t="s">
        <v>617</v>
      </c>
      <c r="S4" s="554" t="s">
        <v>613</v>
      </c>
      <c r="T4" s="554" t="s">
        <v>614</v>
      </c>
      <c r="U4" s="554" t="s">
        <v>615</v>
      </c>
      <c r="V4" s="554" t="s">
        <v>616</v>
      </c>
      <c r="W4" s="554" t="s">
        <v>617</v>
      </c>
      <c r="X4" s="553" t="s">
        <v>613</v>
      </c>
      <c r="Y4" s="553" t="s">
        <v>614</v>
      </c>
      <c r="Z4" s="553" t="s">
        <v>615</v>
      </c>
      <c r="AA4" s="553" t="s">
        <v>616</v>
      </c>
      <c r="AB4" s="553" t="s">
        <v>617</v>
      </c>
      <c r="AC4" s="553" t="s">
        <v>613</v>
      </c>
      <c r="AD4" s="553" t="s">
        <v>614</v>
      </c>
      <c r="AE4" s="553" t="s">
        <v>615</v>
      </c>
      <c r="AF4" s="553" t="s">
        <v>616</v>
      </c>
      <c r="AG4" s="553" t="s">
        <v>617</v>
      </c>
      <c r="AH4" s="555" t="s">
        <v>613</v>
      </c>
      <c r="AI4" s="555" t="s">
        <v>614</v>
      </c>
      <c r="AJ4" s="555" t="s">
        <v>615</v>
      </c>
      <c r="AK4" s="555" t="s">
        <v>616</v>
      </c>
      <c r="AL4" s="555" t="s">
        <v>617</v>
      </c>
      <c r="AM4" s="553" t="s">
        <v>618</v>
      </c>
      <c r="AN4" s="553" t="s">
        <v>619</v>
      </c>
      <c r="AO4" s="553" t="s">
        <v>620</v>
      </c>
      <c r="AP4" s="553" t="s">
        <v>621</v>
      </c>
    </row>
    <row r="5" spans="1:42" ht="15.75" customHeight="1" x14ac:dyDescent="0.3">
      <c r="A5" s="375">
        <v>1</v>
      </c>
      <c r="B5" s="556">
        <v>45107</v>
      </c>
      <c r="C5" s="375" t="s">
        <v>622</v>
      </c>
      <c r="D5" s="379">
        <f>0</f>
        <v>0</v>
      </c>
      <c r="E5" s="379">
        <f>IFERROR(IF(INDEX('Facility Master'!X:X,MATCH(UBI_RTL1_SNo,'Facility Master'!A:A,0))&lt;=B5,INDEX('Facility Master'!K:K,MATCH(UBI_RTL1_SNo,'Facility Master'!A:A,0)),0),0)</f>
        <v>1125</v>
      </c>
      <c r="F5" s="379">
        <f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379">
        <f>IFERROR((D5+(E5-F5)/2)*INDEX('Facility Master'!R:R,MATCH(UBI_RTL1_SNo,'Facility Master'!A:A,0))*91/DaysInYear,0)</f>
        <v>13.182534246575342</v>
      </c>
      <c r="H5" s="379">
        <f t="shared" ref="H5:H36" si="0">IFERROR(ROUND(MAX(D5+E5-F5,0),6),0)</f>
        <v>1125</v>
      </c>
      <c r="I5" s="379">
        <f>0</f>
        <v>0</v>
      </c>
      <c r="J5" s="379">
        <f>IFERROR(IF(INDEX('Facility Master'!X:X,MATCH(UBI_RTL2_SNo,'Facility Master'!A:A,0))&lt;=B5,INDEX('Facility Master'!K:K,MATCH(UBI_RTL2_SNo,'Facility Master'!A:A,0)),0),0)</f>
        <v>0</v>
      </c>
      <c r="K5" s="379">
        <f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379">
        <f>IFERROR((I5+(J5-K5)/2)*INDEX('Facility Master'!R:R,MATCH(UBI_RTL2_SNo,'Facility Master'!A:A,0))*91/DaysInYear,0)</f>
        <v>0</v>
      </c>
      <c r="M5" s="379">
        <f t="shared" ref="M5:M36" si="1">IFERROR(ROUND(MAX(I5+J5-K5,0),6),0)</f>
        <v>0</v>
      </c>
      <c r="N5" s="379">
        <f>0</f>
        <v>0</v>
      </c>
      <c r="O5" s="379">
        <f>IFERROR(IF(INDEX('Facility Master'!X:X,MATCH(IB_TL_SNo,'Facility Master'!A:A,0))&lt;=B5,INDEX('Facility Master'!K:K,MATCH(IB_TL_SNo,'Facility Master'!A:A,0)),0),0)</f>
        <v>235</v>
      </c>
      <c r="P5" s="379">
        <f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379">
        <f>IFERROR((N5+(O5-P5)/2)*INDEX('Facility Master'!R:R,MATCH(IB_TL_SNo,'Facility Master'!A:A,0))*91/DaysInYear,0)</f>
        <v>2.7536849315068492</v>
      </c>
      <c r="R5" s="379">
        <f t="shared" ref="R5:R36" si="2">IFERROR(ROUND(MAX(N5+O5-P5,0),6),0)</f>
        <v>235</v>
      </c>
      <c r="S5" s="557">
        <f>0</f>
        <v>0</v>
      </c>
      <c r="T5" s="557">
        <f>IFERROR(IF(INDEX('Facility Master'!X:X,MATCH(RBL_TL_SNo,'Facility Master'!A:A,0))&lt;=B5,INDEX('Facility Master'!K:K,MATCH(RBL_TL_SNo,'Facility Master'!A:A,0)),0),0)</f>
        <v>0</v>
      </c>
      <c r="U5" s="557">
        <f>IFERROR(IF(AND(RBL_TL_Maturity&lt;=B5,RBL_TL_Maturity&gt;B4),INDEX('Facility Master'!K:K,MATCH(RBL_TL_SNo,'Facility Master'!A:A,0)),0),0)</f>
        <v>0</v>
      </c>
      <c r="V5" s="557">
        <f>IFERROR((S5+(T5-U5)/2)*INDEX('Facility Master'!R:R,MATCH(RBL_TL_SNo,'Facility Master'!A:A,0))*91/DaysInYear,0)</f>
        <v>0</v>
      </c>
      <c r="W5" s="557">
        <f t="shared" ref="W5:W36" si="3">IFERROR(ROUND(MAX(S5+T5-U5,0),6),0)</f>
        <v>0</v>
      </c>
      <c r="X5" s="379">
        <f>0</f>
        <v>0</v>
      </c>
      <c r="Y5" s="379">
        <f>IFERROR(IF(INDEX('Facility Master'!X:X,MATCH(YBL_TL_SNo,'Facility Master'!A:A,0))&lt;=B5,INDEX('Facility Master'!K:K,MATCH(YBL_TL_SNo,'Facility Master'!A:A,0)),0),0)</f>
        <v>0</v>
      </c>
      <c r="Z5" s="379">
        <f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379">
        <f>IFERROR((X5+(Y5-Z5)/2)*INDEX('Facility Master'!R:R,MATCH(YBL_TL_SNo,'Facility Master'!A:A,0))*91/DaysInYear,0)</f>
        <v>0</v>
      </c>
      <c r="AB5" s="379">
        <f t="shared" ref="AB5:AB36" si="4">IFERROR(ROUND(MAX(X5+Y5-Z5,0),6),0)</f>
        <v>0</v>
      </c>
      <c r="AC5" s="379">
        <f>0</f>
        <v>0</v>
      </c>
      <c r="AD5" s="379">
        <f>IFERROR(IF(INDEX('Facility Master'!X:X,MATCH(IDFC_TL_SNo,'Facility Master'!A:A,0))&lt;=B5,INDEX('Facility Master'!K:K,MATCH(IDFC_TL_SNo,'Facility Master'!A:A,0)),0),0)</f>
        <v>0</v>
      </c>
      <c r="AE5" s="379">
        <f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379">
        <f>IFERROR((AC5+(AD5-AE5)/2)*INDEX('Facility Master'!R:R,MATCH(IDFC_TL_SNo,'Facility Master'!A:A,0))*91/DaysInYear,0)</f>
        <v>0</v>
      </c>
      <c r="AG5" s="379">
        <f t="shared" ref="AG5:AG36" si="5">IFERROR(ROUND(MAX(AC5+AD5-AE5,0),6),0)</f>
        <v>0</v>
      </c>
      <c r="AH5" s="558">
        <f>0</f>
        <v>0</v>
      </c>
      <c r="AI5" s="558">
        <f>IFERROR(IF(INDEX('Facility Master'!X:X,MATCH(ICICI_TL_SNo,'Facility Master'!A:A,0))&lt;=B5,INDEX('Facility Master'!K:K,MATCH(ICICI_TL_SNo,'Facility Master'!A:A,0)),0),0)</f>
        <v>0</v>
      </c>
      <c r="AJ5" s="558">
        <f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558">
        <f>IFERROR((AH5+(AI5-AJ5)/2)*INDEX('Facility Master'!R:R,MATCH(ICICI_TL_SNo,'Facility Master'!A:A,0))*91/DaysInYear,0)</f>
        <v>0</v>
      </c>
      <c r="AL5" s="558">
        <f t="shared" ref="AL5:AL36" si="6">IFERROR(ROUND(MAX(AH5+AI5-AJ5,0),6),0)</f>
        <v>0</v>
      </c>
      <c r="AM5" s="379">
        <f t="shared" ref="AM5:AM36" si="7">F5+K5+P5+Z5+AE5+AJ5</f>
        <v>0</v>
      </c>
      <c r="AN5" s="379">
        <f t="shared" ref="AN5:AN36" si="8">G5+L5+Q5+AA5+AF5+AK5</f>
        <v>15.93621917808219</v>
      </c>
      <c r="AO5" s="379">
        <f t="shared" ref="AO5:AO36" si="9">AM5+AN5</f>
        <v>15.93621917808219</v>
      </c>
      <c r="AP5" s="379">
        <f t="shared" ref="AP5:AP36" si="10">H5+M5+R5+AB5+AG5+AL5</f>
        <v>1360</v>
      </c>
    </row>
    <row r="6" spans="1:42" ht="15.75" customHeight="1" x14ac:dyDescent="0.3">
      <c r="A6" s="559">
        <v>2</v>
      </c>
      <c r="B6" s="560">
        <v>45199</v>
      </c>
      <c r="C6" s="559" t="s">
        <v>623</v>
      </c>
      <c r="D6" s="561">
        <f t="shared" ref="D6:D37" si="11">IFERROR(MAX(H5,0),0)</f>
        <v>1125</v>
      </c>
      <c r="E6" s="561">
        <f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561">
        <f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561">
        <f>IFERROR((D6+(E6-F6)/2)*INDEX('Facility Master'!R:R,MATCH(UBI_RTL1_SNo,'Facility Master'!A:A,0))*(B6-B5)/DaysInYear,0)</f>
        <v>26.654794520547945</v>
      </c>
      <c r="H6" s="561">
        <f t="shared" si="0"/>
        <v>1125</v>
      </c>
      <c r="I6" s="561">
        <f t="shared" ref="I6:I37" si="12">IFERROR(MAX(M5,0),0)</f>
        <v>0</v>
      </c>
      <c r="J6" s="561">
        <f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561">
        <f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561">
        <f>IFERROR((I6+(J6-K6)/2)*INDEX('Facility Master'!R:R,MATCH(UBI_RTL2_SNo,'Facility Master'!A:A,0))*(B6-B5)/DaysInYear,0)</f>
        <v>0</v>
      </c>
      <c r="M6" s="561">
        <f t="shared" si="1"/>
        <v>0</v>
      </c>
      <c r="N6" s="561">
        <f t="shared" ref="N6:N37" si="13">IFERROR(MAX(R5,0),0)</f>
        <v>235</v>
      </c>
      <c r="O6" s="561">
        <f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561">
        <f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561">
        <f>IFERROR((N6+(O6-P6)/2)*INDEX('Facility Master'!R:R,MATCH(IB_TL_SNo,'Facility Master'!A:A,0))*(B6-B5)/DaysInYear,0)</f>
        <v>5.5678904109589045</v>
      </c>
      <c r="R6" s="561">
        <f t="shared" si="2"/>
        <v>235</v>
      </c>
      <c r="S6" s="562">
        <f t="shared" ref="S6:S37" si="14">IFERROR(MAX(W5,0),0)</f>
        <v>0</v>
      </c>
      <c r="T6" s="562">
        <f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562">
        <f>IFERROR(IF(AND(RBL_TL_Maturity&lt;=B6,RBL_TL_Maturity&gt;B5),INDEX('Facility Master'!K:K,MATCH(RBL_TL_SNo,'Facility Master'!A:A,0)),0),0)</f>
        <v>0</v>
      </c>
      <c r="V6" s="562">
        <f>IFERROR((S6+(T6-U6)/2)*INDEX('Facility Master'!R:R,MATCH(RBL_TL_SNo,'Facility Master'!A:A,0))*(B6-B5)/DaysInYear,0)</f>
        <v>0</v>
      </c>
      <c r="W6" s="562">
        <f t="shared" si="3"/>
        <v>0</v>
      </c>
      <c r="X6" s="561">
        <f t="shared" ref="X6:X37" si="15">IFERROR(MAX(AB5,0),0)</f>
        <v>0</v>
      </c>
      <c r="Y6" s="561">
        <f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561">
        <f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561">
        <f>IFERROR((X6+(Y6-Z6)/2)*INDEX('Facility Master'!R:R,MATCH(YBL_TL_SNo,'Facility Master'!A:A,0))*(B6-B5)/DaysInYear,0)</f>
        <v>0</v>
      </c>
      <c r="AB6" s="561">
        <f t="shared" si="4"/>
        <v>0</v>
      </c>
      <c r="AC6" s="561">
        <f t="shared" ref="AC6:AC37" si="16">IFERROR(MAX(AG5,0),0)</f>
        <v>0</v>
      </c>
      <c r="AD6" s="561">
        <f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561">
        <f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561">
        <f>IFERROR((AC6+(AD6-AE6)/2)*INDEX('Facility Master'!R:R,MATCH(IDFC_TL_SNo,'Facility Master'!A:A,0))*(B6-B5)/DaysInYear,0)</f>
        <v>0</v>
      </c>
      <c r="AG6" s="561">
        <f t="shared" si="5"/>
        <v>0</v>
      </c>
      <c r="AH6" s="563">
        <f t="shared" ref="AH6:AH37" si="17">IFERROR(MAX(AL5,0),0)</f>
        <v>0</v>
      </c>
      <c r="AI6" s="563">
        <f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563">
        <f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563">
        <f>IFERROR((AH6+(AI6-AJ6)/2)*INDEX('Facility Master'!R:R,MATCH(ICICI_TL_SNo,'Facility Master'!A:A,0))*(B6-B5)/DaysInYear,0)</f>
        <v>0</v>
      </c>
      <c r="AL6" s="563">
        <f t="shared" si="6"/>
        <v>0</v>
      </c>
      <c r="AM6" s="561">
        <f t="shared" si="7"/>
        <v>0</v>
      </c>
      <c r="AN6" s="561">
        <f t="shared" si="8"/>
        <v>32.222684931506848</v>
      </c>
      <c r="AO6" s="561">
        <f t="shared" si="9"/>
        <v>32.222684931506848</v>
      </c>
      <c r="AP6" s="561">
        <f t="shared" si="10"/>
        <v>1360</v>
      </c>
    </row>
    <row r="7" spans="1:42" ht="15.75" customHeight="1" x14ac:dyDescent="0.3">
      <c r="A7" s="375">
        <v>3</v>
      </c>
      <c r="B7" s="556">
        <v>45291</v>
      </c>
      <c r="C7" s="375" t="s">
        <v>624</v>
      </c>
      <c r="D7" s="379">
        <f t="shared" si="11"/>
        <v>1125</v>
      </c>
      <c r="E7" s="379">
        <f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379">
        <f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379">
        <f>IFERROR((D7+(E7-F7)/2)*INDEX('Facility Master'!R:R,MATCH(UBI_RTL1_SNo,'Facility Master'!A:A,0))*(B7-B6)/DaysInYear,0)</f>
        <v>26.654794520547945</v>
      </c>
      <c r="H7" s="379">
        <f t="shared" si="0"/>
        <v>1125</v>
      </c>
      <c r="I7" s="379">
        <f t="shared" si="12"/>
        <v>0</v>
      </c>
      <c r="J7" s="379">
        <f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379">
        <f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379">
        <f>IFERROR((I7+(J7-K7)/2)*INDEX('Facility Master'!R:R,MATCH(UBI_RTL2_SNo,'Facility Master'!A:A,0))*(B7-B6)/DaysInYear,0)</f>
        <v>0</v>
      </c>
      <c r="M7" s="379">
        <f t="shared" si="1"/>
        <v>0</v>
      </c>
      <c r="N7" s="379">
        <f t="shared" si="13"/>
        <v>235</v>
      </c>
      <c r="O7" s="379">
        <f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379">
        <f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379">
        <f>IFERROR((N7+(O7-P7)/2)*INDEX('Facility Master'!R:R,MATCH(IB_TL_SNo,'Facility Master'!A:A,0))*(B7-B6)/DaysInYear,0)</f>
        <v>5.5678904109589045</v>
      </c>
      <c r="R7" s="379">
        <f t="shared" si="2"/>
        <v>235</v>
      </c>
      <c r="S7" s="557">
        <f t="shared" si="14"/>
        <v>0</v>
      </c>
      <c r="T7" s="557">
        <f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557">
        <f>IFERROR(IF(AND(RBL_TL_Maturity&lt;=B7,RBL_TL_Maturity&gt;B6),INDEX('Facility Master'!K:K,MATCH(RBL_TL_SNo,'Facility Master'!A:A,0)),0),0)</f>
        <v>0</v>
      </c>
      <c r="V7" s="557">
        <f>IFERROR((S7+(T7-U7)/2)*INDEX('Facility Master'!R:R,MATCH(RBL_TL_SNo,'Facility Master'!A:A,0))*(B7-B6)/DaysInYear,0)</f>
        <v>0</v>
      </c>
      <c r="W7" s="557">
        <f t="shared" si="3"/>
        <v>0</v>
      </c>
      <c r="X7" s="379">
        <f t="shared" si="15"/>
        <v>0</v>
      </c>
      <c r="Y7" s="379">
        <f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379">
        <f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379">
        <f>IFERROR((X7+(Y7-Z7)/2)*INDEX('Facility Master'!R:R,MATCH(YBL_TL_SNo,'Facility Master'!A:A,0))*(B7-B6)/DaysInYear,0)</f>
        <v>0</v>
      </c>
      <c r="AB7" s="379">
        <f t="shared" si="4"/>
        <v>0</v>
      </c>
      <c r="AC7" s="379">
        <f t="shared" si="16"/>
        <v>0</v>
      </c>
      <c r="AD7" s="379">
        <f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379">
        <f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379">
        <f>IFERROR((AC7+(AD7-AE7)/2)*INDEX('Facility Master'!R:R,MATCH(IDFC_TL_SNo,'Facility Master'!A:A,0))*(B7-B6)/DaysInYear,0)</f>
        <v>0</v>
      </c>
      <c r="AG7" s="379">
        <f t="shared" si="5"/>
        <v>0</v>
      </c>
      <c r="AH7" s="558">
        <f t="shared" si="17"/>
        <v>0</v>
      </c>
      <c r="AI7" s="558">
        <f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558">
        <f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558">
        <f>IFERROR((AH7+(AI7-AJ7)/2)*INDEX('Facility Master'!R:R,MATCH(ICICI_TL_SNo,'Facility Master'!A:A,0))*(B7-B6)/DaysInYear,0)</f>
        <v>0</v>
      </c>
      <c r="AL7" s="558">
        <f t="shared" si="6"/>
        <v>0</v>
      </c>
      <c r="AM7" s="379">
        <f t="shared" si="7"/>
        <v>0</v>
      </c>
      <c r="AN7" s="379">
        <f t="shared" si="8"/>
        <v>32.222684931506848</v>
      </c>
      <c r="AO7" s="379">
        <f t="shared" si="9"/>
        <v>32.222684931506848</v>
      </c>
      <c r="AP7" s="379">
        <f t="shared" si="10"/>
        <v>1360</v>
      </c>
    </row>
    <row r="8" spans="1:42" ht="15.75" customHeight="1" x14ac:dyDescent="0.3">
      <c r="A8" s="559">
        <v>4</v>
      </c>
      <c r="B8" s="560">
        <v>45382</v>
      </c>
      <c r="C8" s="559" t="s">
        <v>625</v>
      </c>
      <c r="D8" s="561">
        <f t="shared" si="11"/>
        <v>1125</v>
      </c>
      <c r="E8" s="561">
        <f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561">
        <f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561">
        <f>IFERROR((D8+(E8-F8)/2)*INDEX('Facility Master'!R:R,MATCH(UBI_RTL1_SNo,'Facility Master'!A:A,0))*(B8-B7)/DaysInYear,0)</f>
        <v>26.365068493150684</v>
      </c>
      <c r="H8" s="561">
        <f t="shared" si="0"/>
        <v>1125</v>
      </c>
      <c r="I8" s="561">
        <f t="shared" si="12"/>
        <v>0</v>
      </c>
      <c r="J8" s="561">
        <f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561">
        <f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561">
        <f>IFERROR((I8+(J8-K8)/2)*INDEX('Facility Master'!R:R,MATCH(UBI_RTL2_SNo,'Facility Master'!A:A,0))*(B8-B7)/DaysInYear,0)</f>
        <v>0</v>
      </c>
      <c r="M8" s="561">
        <f t="shared" si="1"/>
        <v>0</v>
      </c>
      <c r="N8" s="561">
        <f t="shared" si="13"/>
        <v>235</v>
      </c>
      <c r="O8" s="561">
        <f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561">
        <f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561">
        <f>IFERROR((N8+(O8-P8)/2)*INDEX('Facility Master'!R:R,MATCH(IB_TL_SNo,'Facility Master'!A:A,0))*(B8-B7)/DaysInYear,0)</f>
        <v>5.5073698630136985</v>
      </c>
      <c r="R8" s="561">
        <f t="shared" si="2"/>
        <v>235</v>
      </c>
      <c r="S8" s="562">
        <f t="shared" si="14"/>
        <v>0</v>
      </c>
      <c r="T8" s="562">
        <f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562">
        <f>IFERROR(IF(AND(RBL_TL_Maturity&lt;=B8,RBL_TL_Maturity&gt;B7),INDEX('Facility Master'!K:K,MATCH(RBL_TL_SNo,'Facility Master'!A:A,0)),0),0)</f>
        <v>0</v>
      </c>
      <c r="V8" s="562">
        <f>IFERROR((S8+(T8-U8)/2)*INDEX('Facility Master'!R:R,MATCH(RBL_TL_SNo,'Facility Master'!A:A,0))*(B8-B7)/DaysInYear,0)</f>
        <v>0</v>
      </c>
      <c r="W8" s="562">
        <f t="shared" si="3"/>
        <v>0</v>
      </c>
      <c r="X8" s="561">
        <f t="shared" si="15"/>
        <v>0</v>
      </c>
      <c r="Y8" s="561">
        <f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561">
        <f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561">
        <f>IFERROR((X8+(Y8-Z8)/2)*INDEX('Facility Master'!R:R,MATCH(YBL_TL_SNo,'Facility Master'!A:A,0))*(B8-B7)/DaysInYear,0)</f>
        <v>0</v>
      </c>
      <c r="AB8" s="561">
        <f t="shared" si="4"/>
        <v>0</v>
      </c>
      <c r="AC8" s="561">
        <f t="shared" si="16"/>
        <v>0</v>
      </c>
      <c r="AD8" s="561">
        <f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561">
        <f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561">
        <f>IFERROR((AC8+(AD8-AE8)/2)*INDEX('Facility Master'!R:R,MATCH(IDFC_TL_SNo,'Facility Master'!A:A,0))*(B8-B7)/DaysInYear,0)</f>
        <v>0</v>
      </c>
      <c r="AG8" s="561">
        <f t="shared" si="5"/>
        <v>0</v>
      </c>
      <c r="AH8" s="563">
        <f t="shared" si="17"/>
        <v>0</v>
      </c>
      <c r="AI8" s="563">
        <f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563">
        <f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563">
        <f>IFERROR((AH8+(AI8-AJ8)/2)*INDEX('Facility Master'!R:R,MATCH(ICICI_TL_SNo,'Facility Master'!A:A,0))*(B8-B7)/DaysInYear,0)</f>
        <v>0</v>
      </c>
      <c r="AL8" s="563">
        <f t="shared" si="6"/>
        <v>0</v>
      </c>
      <c r="AM8" s="561">
        <f t="shared" si="7"/>
        <v>0</v>
      </c>
      <c r="AN8" s="561">
        <f t="shared" si="8"/>
        <v>31.87243835616438</v>
      </c>
      <c r="AO8" s="561">
        <f t="shared" si="9"/>
        <v>31.87243835616438</v>
      </c>
      <c r="AP8" s="561">
        <f t="shared" si="10"/>
        <v>1360</v>
      </c>
    </row>
    <row r="9" spans="1:42" ht="15.75" customHeight="1" x14ac:dyDescent="0.3">
      <c r="A9" s="375">
        <v>5</v>
      </c>
      <c r="B9" s="556">
        <v>45473</v>
      </c>
      <c r="C9" s="375" t="s">
        <v>626</v>
      </c>
      <c r="D9" s="379">
        <f t="shared" si="11"/>
        <v>1125</v>
      </c>
      <c r="E9" s="379">
        <f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379">
        <f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379">
        <f>IFERROR((D9+(E9-F9)/2)*INDEX('Facility Master'!R:R,MATCH(UBI_RTL1_SNo,'Facility Master'!A:A,0))*(B9-B8)/DaysInYear,0)</f>
        <v>26.365068493150684</v>
      </c>
      <c r="H9" s="379">
        <f t="shared" si="0"/>
        <v>1125</v>
      </c>
      <c r="I9" s="379">
        <f t="shared" si="12"/>
        <v>0</v>
      </c>
      <c r="J9" s="379">
        <f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379">
        <f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379">
        <f>IFERROR((I9+(J9-K9)/2)*INDEX('Facility Master'!R:R,MATCH(UBI_RTL2_SNo,'Facility Master'!A:A,0))*(B9-B8)/DaysInYear,0)</f>
        <v>0</v>
      </c>
      <c r="M9" s="379">
        <f t="shared" si="1"/>
        <v>0</v>
      </c>
      <c r="N9" s="379">
        <f t="shared" si="13"/>
        <v>235</v>
      </c>
      <c r="O9" s="379">
        <f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379">
        <f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379">
        <f>IFERROR((N9+(O9-P9)/2)*INDEX('Facility Master'!R:R,MATCH(IB_TL_SNo,'Facility Master'!A:A,0))*(B9-B8)/DaysInYear,0)</f>
        <v>5.5073698630136985</v>
      </c>
      <c r="R9" s="379">
        <f t="shared" si="2"/>
        <v>235</v>
      </c>
      <c r="S9" s="557">
        <f t="shared" si="14"/>
        <v>0</v>
      </c>
      <c r="T9" s="557">
        <f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557">
        <f>IFERROR(IF(AND(RBL_TL_Maturity&lt;=B9,RBL_TL_Maturity&gt;B8),INDEX('Facility Master'!K:K,MATCH(RBL_TL_SNo,'Facility Master'!A:A,0)),0),0)</f>
        <v>0</v>
      </c>
      <c r="V9" s="557">
        <f>IFERROR((S9+(T9-U9)/2)*INDEX('Facility Master'!R:R,MATCH(RBL_TL_SNo,'Facility Master'!A:A,0))*(B9-B8)/DaysInYear,0)</f>
        <v>0</v>
      </c>
      <c r="W9" s="557">
        <f t="shared" si="3"/>
        <v>0</v>
      </c>
      <c r="X9" s="379">
        <f t="shared" si="15"/>
        <v>0</v>
      </c>
      <c r="Y9" s="379">
        <f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379">
        <f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379">
        <f>IFERROR((X9+(Y9-Z9)/2)*INDEX('Facility Master'!R:R,MATCH(YBL_TL_SNo,'Facility Master'!A:A,0))*(B9-B8)/DaysInYear,0)</f>
        <v>0</v>
      </c>
      <c r="AB9" s="379">
        <f t="shared" si="4"/>
        <v>0</v>
      </c>
      <c r="AC9" s="379">
        <f t="shared" si="16"/>
        <v>0</v>
      </c>
      <c r="AD9" s="379">
        <f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379">
        <f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379">
        <f>IFERROR((AC9+(AD9-AE9)/2)*INDEX('Facility Master'!R:R,MATCH(IDFC_TL_SNo,'Facility Master'!A:A,0))*(B9-B8)/DaysInYear,0)</f>
        <v>0</v>
      </c>
      <c r="AG9" s="379">
        <f t="shared" si="5"/>
        <v>0</v>
      </c>
      <c r="AH9" s="558">
        <f t="shared" si="17"/>
        <v>0</v>
      </c>
      <c r="AI9" s="558">
        <f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558">
        <f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558">
        <f>IFERROR((AH9+(AI9-AJ9)/2)*INDEX('Facility Master'!R:R,MATCH(ICICI_TL_SNo,'Facility Master'!A:A,0))*(B9-B8)/DaysInYear,0)</f>
        <v>0</v>
      </c>
      <c r="AL9" s="558">
        <f t="shared" si="6"/>
        <v>0</v>
      </c>
      <c r="AM9" s="379">
        <f t="shared" si="7"/>
        <v>0</v>
      </c>
      <c r="AN9" s="379">
        <f t="shared" si="8"/>
        <v>31.87243835616438</v>
      </c>
      <c r="AO9" s="379">
        <f t="shared" si="9"/>
        <v>31.87243835616438</v>
      </c>
      <c r="AP9" s="379">
        <f t="shared" si="10"/>
        <v>1360</v>
      </c>
    </row>
    <row r="10" spans="1:42" ht="15.75" customHeight="1" x14ac:dyDescent="0.3">
      <c r="A10" s="559">
        <v>6</v>
      </c>
      <c r="B10" s="560">
        <v>45565</v>
      </c>
      <c r="C10" s="559" t="s">
        <v>627</v>
      </c>
      <c r="D10" s="561">
        <f t="shared" si="11"/>
        <v>1125</v>
      </c>
      <c r="E10" s="561">
        <f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561">
        <f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561">
        <f>IFERROR((D10+(E10-F10)/2)*INDEX('Facility Master'!R:R,MATCH(UBI_RTL1_SNo,'Facility Master'!A:A,0))*(B10-B9)/DaysInYear,0)</f>
        <v>26.654794520547945</v>
      </c>
      <c r="H10" s="561">
        <f t="shared" si="0"/>
        <v>1125</v>
      </c>
      <c r="I10" s="561">
        <f t="shared" si="12"/>
        <v>0</v>
      </c>
      <c r="J10" s="561">
        <f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561">
        <f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561">
        <f>IFERROR((I10+(J10-K10)/2)*INDEX('Facility Master'!R:R,MATCH(UBI_RTL2_SNo,'Facility Master'!A:A,0))*(B10-B9)/DaysInYear,0)</f>
        <v>0</v>
      </c>
      <c r="M10" s="561">
        <f t="shared" si="1"/>
        <v>0</v>
      </c>
      <c r="N10" s="561">
        <f t="shared" si="13"/>
        <v>235</v>
      </c>
      <c r="O10" s="561">
        <f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561">
        <f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561">
        <f>IFERROR((N10+(O10-P10)/2)*INDEX('Facility Master'!R:R,MATCH(IB_TL_SNo,'Facility Master'!A:A,0))*(B10-B9)/DaysInYear,0)</f>
        <v>5.5678904109589045</v>
      </c>
      <c r="R10" s="561">
        <f t="shared" si="2"/>
        <v>235</v>
      </c>
      <c r="S10" s="562">
        <f t="shared" si="14"/>
        <v>0</v>
      </c>
      <c r="T10" s="562">
        <f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562">
        <f>IFERROR(IF(AND(RBL_TL_Maturity&lt;=B10,RBL_TL_Maturity&gt;B9),INDEX('Facility Master'!K:K,MATCH(RBL_TL_SNo,'Facility Master'!A:A,0)),0),0)</f>
        <v>0</v>
      </c>
      <c r="V10" s="562">
        <f>IFERROR((S10+(T10-U10)/2)*INDEX('Facility Master'!R:R,MATCH(RBL_TL_SNo,'Facility Master'!A:A,0))*(B10-B9)/DaysInYear,0)</f>
        <v>0</v>
      </c>
      <c r="W10" s="562">
        <f t="shared" si="3"/>
        <v>0</v>
      </c>
      <c r="X10" s="561">
        <f t="shared" si="15"/>
        <v>0</v>
      </c>
      <c r="Y10" s="561">
        <f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561">
        <f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561">
        <f>IFERROR((X10+(Y10-Z10)/2)*INDEX('Facility Master'!R:R,MATCH(YBL_TL_SNo,'Facility Master'!A:A,0))*(B10-B9)/DaysInYear,0)</f>
        <v>0</v>
      </c>
      <c r="AB10" s="561">
        <f t="shared" si="4"/>
        <v>0</v>
      </c>
      <c r="AC10" s="561">
        <f t="shared" si="16"/>
        <v>0</v>
      </c>
      <c r="AD10" s="561">
        <f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561">
        <f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561">
        <f>IFERROR((AC10+(AD10-AE10)/2)*INDEX('Facility Master'!R:R,MATCH(IDFC_TL_SNo,'Facility Master'!A:A,0))*(B10-B9)/DaysInYear,0)</f>
        <v>0</v>
      </c>
      <c r="AG10" s="561">
        <f t="shared" si="5"/>
        <v>0</v>
      </c>
      <c r="AH10" s="563">
        <f t="shared" si="17"/>
        <v>0</v>
      </c>
      <c r="AI10" s="563">
        <f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563">
        <f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563">
        <f>IFERROR((AH10+(AI10-AJ10)/2)*INDEX('Facility Master'!R:R,MATCH(ICICI_TL_SNo,'Facility Master'!A:A,0))*(B10-B9)/DaysInYear,0)</f>
        <v>0</v>
      </c>
      <c r="AL10" s="563">
        <f t="shared" si="6"/>
        <v>0</v>
      </c>
      <c r="AM10" s="561">
        <f t="shared" si="7"/>
        <v>0</v>
      </c>
      <c r="AN10" s="561">
        <f t="shared" si="8"/>
        <v>32.222684931506848</v>
      </c>
      <c r="AO10" s="561">
        <f t="shared" si="9"/>
        <v>32.222684931506848</v>
      </c>
      <c r="AP10" s="561">
        <f t="shared" si="10"/>
        <v>1360</v>
      </c>
    </row>
    <row r="11" spans="1:42" ht="15.75" customHeight="1" x14ac:dyDescent="0.3">
      <c r="A11" s="375">
        <v>7</v>
      </c>
      <c r="B11" s="556">
        <v>45657</v>
      </c>
      <c r="C11" s="375" t="s">
        <v>628</v>
      </c>
      <c r="D11" s="379">
        <f t="shared" si="11"/>
        <v>1125</v>
      </c>
      <c r="E11" s="379">
        <f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379">
        <f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379">
        <f>IFERROR((D11+(E11-F11)/2)*INDEX('Facility Master'!R:R,MATCH(UBI_RTL1_SNo,'Facility Master'!A:A,0))*(B11-B10)/DaysInYear,0)</f>
        <v>26.654794520547945</v>
      </c>
      <c r="H11" s="379">
        <f t="shared" si="0"/>
        <v>1125</v>
      </c>
      <c r="I11" s="379">
        <f t="shared" si="12"/>
        <v>0</v>
      </c>
      <c r="J11" s="379">
        <f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379">
        <f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379">
        <f>IFERROR((I11+(J11-K11)/2)*INDEX('Facility Master'!R:R,MATCH(UBI_RTL2_SNo,'Facility Master'!A:A,0))*(B11-B10)/DaysInYear,0)</f>
        <v>0</v>
      </c>
      <c r="M11" s="379">
        <f t="shared" si="1"/>
        <v>0</v>
      </c>
      <c r="N11" s="379">
        <f t="shared" si="13"/>
        <v>235</v>
      </c>
      <c r="O11" s="379">
        <f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379">
        <f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379">
        <f>IFERROR((N11+(O11-P11)/2)*INDEX('Facility Master'!R:R,MATCH(IB_TL_SNo,'Facility Master'!A:A,0))*(B11-B10)/DaysInYear,0)</f>
        <v>5.5678904109589045</v>
      </c>
      <c r="R11" s="379">
        <f t="shared" si="2"/>
        <v>235</v>
      </c>
      <c r="S11" s="557">
        <f t="shared" si="14"/>
        <v>0</v>
      </c>
      <c r="T11" s="557">
        <f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557">
        <f>IFERROR(IF(AND(RBL_TL_Maturity&lt;=B11,RBL_TL_Maturity&gt;B10),INDEX('Facility Master'!K:K,MATCH(RBL_TL_SNo,'Facility Master'!A:A,0)),0),0)</f>
        <v>0</v>
      </c>
      <c r="V11" s="557">
        <f>IFERROR((S11+(T11-U11)/2)*INDEX('Facility Master'!R:R,MATCH(RBL_TL_SNo,'Facility Master'!A:A,0))*(B11-B10)/DaysInYear,0)</f>
        <v>0</v>
      </c>
      <c r="W11" s="557">
        <f t="shared" si="3"/>
        <v>0</v>
      </c>
      <c r="X11" s="379">
        <f t="shared" si="15"/>
        <v>0</v>
      </c>
      <c r="Y11" s="379">
        <f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379">
        <f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379">
        <f>IFERROR((X11+(Y11-Z11)/2)*INDEX('Facility Master'!R:R,MATCH(YBL_TL_SNo,'Facility Master'!A:A,0))*(B11-B10)/DaysInYear,0)</f>
        <v>0</v>
      </c>
      <c r="AB11" s="379">
        <f t="shared" si="4"/>
        <v>0</v>
      </c>
      <c r="AC11" s="379">
        <f t="shared" si="16"/>
        <v>0</v>
      </c>
      <c r="AD11" s="379">
        <f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379">
        <f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379">
        <f>IFERROR((AC11+(AD11-AE11)/2)*INDEX('Facility Master'!R:R,MATCH(IDFC_TL_SNo,'Facility Master'!A:A,0))*(B11-B10)/DaysInYear,0)</f>
        <v>0</v>
      </c>
      <c r="AG11" s="379">
        <f t="shared" si="5"/>
        <v>0</v>
      </c>
      <c r="AH11" s="558">
        <f t="shared" si="17"/>
        <v>0</v>
      </c>
      <c r="AI11" s="558">
        <f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558">
        <f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558">
        <f>IFERROR((AH11+(AI11-AJ11)/2)*INDEX('Facility Master'!R:R,MATCH(ICICI_TL_SNo,'Facility Master'!A:A,0))*(B11-B10)/DaysInYear,0)</f>
        <v>0</v>
      </c>
      <c r="AL11" s="558">
        <f t="shared" si="6"/>
        <v>0</v>
      </c>
      <c r="AM11" s="379">
        <f t="shared" si="7"/>
        <v>0</v>
      </c>
      <c r="AN11" s="379">
        <f t="shared" si="8"/>
        <v>32.222684931506848</v>
      </c>
      <c r="AO11" s="379">
        <f t="shared" si="9"/>
        <v>32.222684931506848</v>
      </c>
      <c r="AP11" s="379">
        <f t="shared" si="10"/>
        <v>1360</v>
      </c>
    </row>
    <row r="12" spans="1:42" ht="15.75" customHeight="1" x14ac:dyDescent="0.3">
      <c r="A12" s="559">
        <v>8</v>
      </c>
      <c r="B12" s="560">
        <v>45747</v>
      </c>
      <c r="C12" s="559" t="s">
        <v>629</v>
      </c>
      <c r="D12" s="561">
        <f t="shared" si="11"/>
        <v>1125</v>
      </c>
      <c r="E12" s="561">
        <f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561">
        <f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561">
        <f>IFERROR((D12+(E12-F12)/2)*INDEX('Facility Master'!R:R,MATCH(UBI_RTL1_SNo,'Facility Master'!A:A,0))*(B12-B11)/DaysInYear,0)</f>
        <v>26.075342465753426</v>
      </c>
      <c r="H12" s="561">
        <f t="shared" si="0"/>
        <v>1125</v>
      </c>
      <c r="I12" s="561">
        <f t="shared" si="12"/>
        <v>0</v>
      </c>
      <c r="J12" s="561">
        <f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561">
        <f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561">
        <f>IFERROR((I12+(J12-K12)/2)*INDEX('Facility Master'!R:R,MATCH(UBI_RTL2_SNo,'Facility Master'!A:A,0))*(B12-B11)/DaysInYear,0)</f>
        <v>0</v>
      </c>
      <c r="M12" s="561">
        <f t="shared" si="1"/>
        <v>0</v>
      </c>
      <c r="N12" s="561">
        <f t="shared" si="13"/>
        <v>235</v>
      </c>
      <c r="O12" s="561">
        <f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561">
        <f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561">
        <f>IFERROR((N12+(O12-P12)/2)*INDEX('Facility Master'!R:R,MATCH(IB_TL_SNo,'Facility Master'!A:A,0))*(B12-B11)/DaysInYear,0)</f>
        <v>5.4468493150684925</v>
      </c>
      <c r="R12" s="561">
        <f t="shared" si="2"/>
        <v>235</v>
      </c>
      <c r="S12" s="562">
        <f t="shared" si="14"/>
        <v>0</v>
      </c>
      <c r="T12" s="562">
        <f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562">
        <f>IFERROR(IF(AND(RBL_TL_Maturity&lt;=B12,RBL_TL_Maturity&gt;B11),INDEX('Facility Master'!K:K,MATCH(RBL_TL_SNo,'Facility Master'!A:A,0)),0),0)</f>
        <v>0</v>
      </c>
      <c r="V12" s="562">
        <f>IFERROR((S12+(T12-U12)/2)*INDEX('Facility Master'!R:R,MATCH(RBL_TL_SNo,'Facility Master'!A:A,0))*(B12-B11)/DaysInYear,0)</f>
        <v>0</v>
      </c>
      <c r="W12" s="562">
        <f t="shared" si="3"/>
        <v>0</v>
      </c>
      <c r="X12" s="561">
        <f t="shared" si="15"/>
        <v>0</v>
      </c>
      <c r="Y12" s="561">
        <f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561">
        <f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561">
        <f>IFERROR((X12+(Y12-Z12)/2)*INDEX('Facility Master'!R:R,MATCH(YBL_TL_SNo,'Facility Master'!A:A,0))*(B12-B11)/DaysInYear,0)</f>
        <v>0</v>
      </c>
      <c r="AB12" s="561">
        <f t="shared" si="4"/>
        <v>0</v>
      </c>
      <c r="AC12" s="561">
        <f t="shared" si="16"/>
        <v>0</v>
      </c>
      <c r="AD12" s="561">
        <f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561">
        <f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561">
        <f>IFERROR((AC12+(AD12-AE12)/2)*INDEX('Facility Master'!R:R,MATCH(IDFC_TL_SNo,'Facility Master'!A:A,0))*(B12-B11)/DaysInYear,0)</f>
        <v>0</v>
      </c>
      <c r="AG12" s="561">
        <f t="shared" si="5"/>
        <v>0</v>
      </c>
      <c r="AH12" s="563">
        <f t="shared" si="17"/>
        <v>0</v>
      </c>
      <c r="AI12" s="563">
        <f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563">
        <f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563">
        <f>IFERROR((AH12+(AI12-AJ12)/2)*INDEX('Facility Master'!R:R,MATCH(ICICI_TL_SNo,'Facility Master'!A:A,0))*(B12-B11)/DaysInYear,0)</f>
        <v>0</v>
      </c>
      <c r="AL12" s="563">
        <f t="shared" si="6"/>
        <v>0</v>
      </c>
      <c r="AM12" s="561">
        <f t="shared" si="7"/>
        <v>0</v>
      </c>
      <c r="AN12" s="561">
        <f t="shared" si="8"/>
        <v>31.52219178082192</v>
      </c>
      <c r="AO12" s="561">
        <f t="shared" si="9"/>
        <v>31.52219178082192</v>
      </c>
      <c r="AP12" s="561">
        <f t="shared" si="10"/>
        <v>1360</v>
      </c>
    </row>
    <row r="13" spans="1:42" ht="15.75" customHeight="1" x14ac:dyDescent="0.3">
      <c r="A13" s="375">
        <v>9</v>
      </c>
      <c r="B13" s="556">
        <v>45838</v>
      </c>
      <c r="C13" s="375" t="s">
        <v>630</v>
      </c>
      <c r="D13" s="379">
        <f t="shared" si="11"/>
        <v>1125</v>
      </c>
      <c r="E13" s="379">
        <f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379">
        <f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379">
        <f>IFERROR((D13+(E13-F13)/2)*INDEX('Facility Master'!R:R,MATCH(UBI_RTL1_SNo,'Facility Master'!A:A,0))*(B13-B12)/DaysInYear,0)</f>
        <v>26.365068493150684</v>
      </c>
      <c r="H13" s="379">
        <f t="shared" si="0"/>
        <v>1125</v>
      </c>
      <c r="I13" s="379">
        <f t="shared" si="12"/>
        <v>0</v>
      </c>
      <c r="J13" s="379">
        <f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379">
        <f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379">
        <f>IFERROR((I13+(J13-K13)/2)*INDEX('Facility Master'!R:R,MATCH(UBI_RTL2_SNo,'Facility Master'!A:A,0))*(B13-B12)/DaysInYear,0)</f>
        <v>0</v>
      </c>
      <c r="M13" s="379">
        <f t="shared" si="1"/>
        <v>0</v>
      </c>
      <c r="N13" s="379">
        <f t="shared" si="13"/>
        <v>235</v>
      </c>
      <c r="O13" s="379">
        <f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379">
        <f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379">
        <f>IFERROR((N13+(O13-P13)/2)*INDEX('Facility Master'!R:R,MATCH(IB_TL_SNo,'Facility Master'!A:A,0))*(B13-B12)/DaysInYear,0)</f>
        <v>5.5073698630136985</v>
      </c>
      <c r="R13" s="379">
        <f t="shared" si="2"/>
        <v>235</v>
      </c>
      <c r="S13" s="557">
        <f t="shared" si="14"/>
        <v>0</v>
      </c>
      <c r="T13" s="557">
        <f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557">
        <f>IFERROR(IF(AND(RBL_TL_Maturity&lt;=B13,RBL_TL_Maturity&gt;B12),INDEX('Facility Master'!K:K,MATCH(RBL_TL_SNo,'Facility Master'!A:A,0)),0),0)</f>
        <v>0</v>
      </c>
      <c r="V13" s="557">
        <f>IFERROR((S13+(T13-U13)/2)*INDEX('Facility Master'!R:R,MATCH(RBL_TL_SNo,'Facility Master'!A:A,0))*(B13-B12)/DaysInYear,0)</f>
        <v>0</v>
      </c>
      <c r="W13" s="557">
        <f t="shared" si="3"/>
        <v>0</v>
      </c>
      <c r="X13" s="379">
        <f t="shared" si="15"/>
        <v>0</v>
      </c>
      <c r="Y13" s="379">
        <f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379">
        <f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379">
        <f>IFERROR((X13+(Y13-Z13)/2)*INDEX('Facility Master'!R:R,MATCH(YBL_TL_SNo,'Facility Master'!A:A,0))*(B13-B12)/DaysInYear,0)</f>
        <v>0</v>
      </c>
      <c r="AB13" s="379">
        <f t="shared" si="4"/>
        <v>0</v>
      </c>
      <c r="AC13" s="379">
        <f t="shared" si="16"/>
        <v>0</v>
      </c>
      <c r="AD13" s="379">
        <f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379">
        <f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379">
        <f>IFERROR((AC13+(AD13-AE13)/2)*INDEX('Facility Master'!R:R,MATCH(IDFC_TL_SNo,'Facility Master'!A:A,0))*(B13-B12)/DaysInYear,0)</f>
        <v>0</v>
      </c>
      <c r="AG13" s="379">
        <f t="shared" si="5"/>
        <v>0</v>
      </c>
      <c r="AH13" s="558">
        <f t="shared" si="17"/>
        <v>0</v>
      </c>
      <c r="AI13" s="558">
        <f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558">
        <f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558">
        <f>IFERROR((AH13+(AI13-AJ13)/2)*INDEX('Facility Master'!R:R,MATCH(ICICI_TL_SNo,'Facility Master'!A:A,0))*(B13-B12)/DaysInYear,0)</f>
        <v>0</v>
      </c>
      <c r="AL13" s="558">
        <f t="shared" si="6"/>
        <v>0</v>
      </c>
      <c r="AM13" s="379">
        <f t="shared" si="7"/>
        <v>0</v>
      </c>
      <c r="AN13" s="379">
        <f t="shared" si="8"/>
        <v>31.87243835616438</v>
      </c>
      <c r="AO13" s="379">
        <f t="shared" si="9"/>
        <v>31.87243835616438</v>
      </c>
      <c r="AP13" s="379">
        <f t="shared" si="10"/>
        <v>1360</v>
      </c>
    </row>
    <row r="14" spans="1:42" ht="15.75" customHeight="1" x14ac:dyDescent="0.3">
      <c r="A14" s="559">
        <v>10</v>
      </c>
      <c r="B14" s="560">
        <v>45930</v>
      </c>
      <c r="C14" s="559" t="s">
        <v>631</v>
      </c>
      <c r="D14" s="561">
        <f t="shared" si="11"/>
        <v>1125</v>
      </c>
      <c r="E14" s="561">
        <f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561">
        <f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561">
        <f>IFERROR((D14+(E14-F14)/2)*INDEX('Facility Master'!R:R,MATCH(UBI_RTL1_SNo,'Facility Master'!A:A,0))*(B14-B13)/DaysInYear,0)</f>
        <v>26.654794520547945</v>
      </c>
      <c r="H14" s="561">
        <f t="shared" si="0"/>
        <v>1125</v>
      </c>
      <c r="I14" s="561">
        <f t="shared" si="12"/>
        <v>0</v>
      </c>
      <c r="J14" s="561">
        <f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561">
        <f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561">
        <f>IFERROR((I14+(J14-K14)/2)*INDEX('Facility Master'!R:R,MATCH(UBI_RTL2_SNo,'Facility Master'!A:A,0))*(B14-B13)/DaysInYear,0)</f>
        <v>2.7065643835616435</v>
      </c>
      <c r="M14" s="561">
        <f t="shared" si="1"/>
        <v>236</v>
      </c>
      <c r="N14" s="561">
        <f t="shared" si="13"/>
        <v>235</v>
      </c>
      <c r="O14" s="561">
        <f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561">
        <f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561">
        <f>IFERROR((N14+(O14-P14)/2)*INDEX('Facility Master'!R:R,MATCH(IB_TL_SNo,'Facility Master'!A:A,0))*(B14-B13)/DaysInYear,0)</f>
        <v>5.5678904109589045</v>
      </c>
      <c r="R14" s="561">
        <f t="shared" si="2"/>
        <v>235</v>
      </c>
      <c r="S14" s="562">
        <f t="shared" si="14"/>
        <v>0</v>
      </c>
      <c r="T14" s="562">
        <f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562">
        <f>IFERROR(IF(AND(RBL_TL_Maturity&lt;=B14,RBL_TL_Maturity&gt;B13),INDEX('Facility Master'!K:K,MATCH(RBL_TL_SNo,'Facility Master'!A:A,0)),0),0)</f>
        <v>0</v>
      </c>
      <c r="V14" s="562">
        <f>IFERROR((S14+(T14-U14)/2)*INDEX('Facility Master'!R:R,MATCH(RBL_TL_SNo,'Facility Master'!A:A,0))*(B14-B13)/DaysInYear,0)</f>
        <v>0</v>
      </c>
      <c r="W14" s="562">
        <f t="shared" si="3"/>
        <v>0</v>
      </c>
      <c r="X14" s="561">
        <f t="shared" si="15"/>
        <v>0</v>
      </c>
      <c r="Y14" s="561">
        <f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561">
        <f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561">
        <f>IFERROR((X14+(Y14-Z14)/2)*INDEX('Facility Master'!R:R,MATCH(YBL_TL_SNo,'Facility Master'!A:A,0))*(B14-B13)/DaysInYear,0)</f>
        <v>0</v>
      </c>
      <c r="AB14" s="561">
        <f t="shared" si="4"/>
        <v>0</v>
      </c>
      <c r="AC14" s="561">
        <f t="shared" si="16"/>
        <v>0</v>
      </c>
      <c r="AD14" s="561">
        <f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561">
        <f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561">
        <f>IFERROR((AC14+(AD14-AE14)/2)*INDEX('Facility Master'!R:R,MATCH(IDFC_TL_SNo,'Facility Master'!A:A,0))*(B14-B13)/DaysInYear,0)</f>
        <v>0</v>
      </c>
      <c r="AG14" s="561">
        <f t="shared" si="5"/>
        <v>0</v>
      </c>
      <c r="AH14" s="563">
        <f t="shared" si="17"/>
        <v>0</v>
      </c>
      <c r="AI14" s="563">
        <f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563">
        <f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563">
        <f>IFERROR((AH14+(AI14-AJ14)/2)*INDEX('Facility Master'!R:R,MATCH(ICICI_TL_SNo,'Facility Master'!A:A,0))*(B14-B13)/DaysInYear,0)</f>
        <v>0</v>
      </c>
      <c r="AL14" s="563">
        <f t="shared" si="6"/>
        <v>0</v>
      </c>
      <c r="AM14" s="561">
        <f t="shared" si="7"/>
        <v>0</v>
      </c>
      <c r="AN14" s="561">
        <f t="shared" si="8"/>
        <v>34.929249315068496</v>
      </c>
      <c r="AO14" s="561">
        <f t="shared" si="9"/>
        <v>34.929249315068496</v>
      </c>
      <c r="AP14" s="561">
        <f t="shared" si="10"/>
        <v>1596</v>
      </c>
    </row>
    <row r="15" spans="1:42" ht="15.75" customHeight="1" x14ac:dyDescent="0.3">
      <c r="A15" s="375">
        <v>11</v>
      </c>
      <c r="B15" s="556">
        <v>46022</v>
      </c>
      <c r="C15" s="375" t="s">
        <v>632</v>
      </c>
      <c r="D15" s="379">
        <f t="shared" si="11"/>
        <v>1125</v>
      </c>
      <c r="E15" s="379">
        <f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379">
        <f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379">
        <f>IFERROR((D15+(E15-F15)/2)*INDEX('Facility Master'!R:R,MATCH(UBI_RTL1_SNo,'Facility Master'!A:A,0))*(B15-B14)/DaysInYear,0)</f>
        <v>26.654794520547945</v>
      </c>
      <c r="H15" s="379">
        <f t="shared" si="0"/>
        <v>1125</v>
      </c>
      <c r="I15" s="379">
        <f t="shared" si="12"/>
        <v>236</v>
      </c>
      <c r="J15" s="379">
        <f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379">
        <f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379">
        <f>IFERROR((I15+(J15-K15)/2)*INDEX('Facility Master'!R:R,MATCH(UBI_RTL2_SNo,'Facility Master'!A:A,0))*(B15-B14)/DaysInYear,0)</f>
        <v>5.4131287671232871</v>
      </c>
      <c r="M15" s="379">
        <f t="shared" si="1"/>
        <v>236</v>
      </c>
      <c r="N15" s="379">
        <f t="shared" si="13"/>
        <v>235</v>
      </c>
      <c r="O15" s="379">
        <f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379">
        <f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379">
        <f>IFERROR((N15+(O15-P15)/2)*INDEX('Facility Master'!R:R,MATCH(IB_TL_SNo,'Facility Master'!A:A,0))*(B15-B14)/DaysInYear,0)</f>
        <v>5.5678904109589045</v>
      </c>
      <c r="R15" s="379">
        <f t="shared" si="2"/>
        <v>235</v>
      </c>
      <c r="S15" s="557">
        <f t="shared" si="14"/>
        <v>0</v>
      </c>
      <c r="T15" s="557">
        <f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557">
        <f>IFERROR(IF(AND(RBL_TL_Maturity&lt;=B15,RBL_TL_Maturity&gt;B14),INDEX('Facility Master'!K:K,MATCH(RBL_TL_SNo,'Facility Master'!A:A,0)),0),0)</f>
        <v>0</v>
      </c>
      <c r="V15" s="557">
        <f>IFERROR((S15+(T15-U15)/2)*INDEX('Facility Master'!R:R,MATCH(RBL_TL_SNo,'Facility Master'!A:A,0))*(B15-B14)/DaysInYear,0)</f>
        <v>2.3945205479452056</v>
      </c>
      <c r="W15" s="557">
        <f t="shared" si="3"/>
        <v>200</v>
      </c>
      <c r="X15" s="379">
        <f t="shared" si="15"/>
        <v>0</v>
      </c>
      <c r="Y15" s="379">
        <f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379">
        <f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379">
        <f>IFERROR((X15+(Y15-Z15)/2)*INDEX('Facility Master'!R:R,MATCH(YBL_TL_SNo,'Facility Master'!A:A,0))*(B15-B14)/DaysInYear,0)</f>
        <v>7.823150684931508</v>
      </c>
      <c r="AB15" s="379">
        <f t="shared" si="4"/>
        <v>650</v>
      </c>
      <c r="AC15" s="379">
        <f t="shared" si="16"/>
        <v>0</v>
      </c>
      <c r="AD15" s="379">
        <f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379">
        <f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379">
        <f>IFERROR((AC15+(AD15-AE15)/2)*INDEX('Facility Master'!R:R,MATCH(IDFC_TL_SNo,'Facility Master'!A:A,0))*(B15-B14)/DaysInYear,0)</f>
        <v>0</v>
      </c>
      <c r="AG15" s="379">
        <f t="shared" si="5"/>
        <v>0</v>
      </c>
      <c r="AH15" s="558">
        <f t="shared" si="17"/>
        <v>0</v>
      </c>
      <c r="AI15" s="558">
        <f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558">
        <f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558">
        <f>IFERROR((AH15+(AI15-AJ15)/2)*INDEX('Facility Master'!R:R,MATCH(ICICI_TL_SNo,'Facility Master'!A:A,0))*(B15-B14)/DaysInYear,0)</f>
        <v>0</v>
      </c>
      <c r="AL15" s="558">
        <f t="shared" si="6"/>
        <v>0</v>
      </c>
      <c r="AM15" s="379">
        <f t="shared" si="7"/>
        <v>0</v>
      </c>
      <c r="AN15" s="379">
        <f t="shared" si="8"/>
        <v>45.458964383561643</v>
      </c>
      <c r="AO15" s="379">
        <f t="shared" si="9"/>
        <v>45.458964383561643</v>
      </c>
      <c r="AP15" s="379">
        <f t="shared" si="10"/>
        <v>2246</v>
      </c>
    </row>
    <row r="16" spans="1:42" ht="15.75" customHeight="1" x14ac:dyDescent="0.3">
      <c r="A16" s="559">
        <v>12</v>
      </c>
      <c r="B16" s="560">
        <v>46112</v>
      </c>
      <c r="C16" s="559" t="s">
        <v>633</v>
      </c>
      <c r="D16" s="561">
        <f t="shared" si="11"/>
        <v>1125</v>
      </c>
      <c r="E16" s="561">
        <f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561">
        <f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561">
        <f>IFERROR((D16+(E16-F16)/2)*INDEX('Facility Master'!R:R,MATCH(UBI_RTL1_SNo,'Facility Master'!A:A,0))*(B16-B15)/DaysInYear,0)</f>
        <v>26.075342465753426</v>
      </c>
      <c r="H16" s="561">
        <f t="shared" si="0"/>
        <v>1125</v>
      </c>
      <c r="I16" s="561">
        <f t="shared" si="12"/>
        <v>236</v>
      </c>
      <c r="J16" s="561">
        <f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561">
        <f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561">
        <f>IFERROR((I16+(J16-K16)/2)*INDEX('Facility Master'!R:R,MATCH(UBI_RTL2_SNo,'Facility Master'!A:A,0))*(B16-B15)/DaysInYear,0)</f>
        <v>5.2954520547945201</v>
      </c>
      <c r="M16" s="561">
        <f t="shared" si="1"/>
        <v>236</v>
      </c>
      <c r="N16" s="561">
        <f t="shared" si="13"/>
        <v>235</v>
      </c>
      <c r="O16" s="561">
        <f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561">
        <f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561">
        <f>IFERROR((N16+(O16-P16)/2)*INDEX('Facility Master'!R:R,MATCH(IB_TL_SNo,'Facility Master'!A:A,0))*(B16-B15)/DaysInYear,0)</f>
        <v>5.4468493150684925</v>
      </c>
      <c r="R16" s="561">
        <f t="shared" si="2"/>
        <v>235</v>
      </c>
      <c r="S16" s="562">
        <f t="shared" si="14"/>
        <v>200</v>
      </c>
      <c r="T16" s="562">
        <f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562">
        <f>IFERROR(IF(AND(RBL_TL_Maturity&lt;=B16,RBL_TL_Maturity&gt;B15),INDEX('Facility Master'!K:K,MATCH(RBL_TL_SNo,'Facility Master'!A:A,0)),0),0)</f>
        <v>0</v>
      </c>
      <c r="V16" s="562">
        <f>IFERROR((S16+(T16-U16)/2)*INDEX('Facility Master'!R:R,MATCH(RBL_TL_SNo,'Facility Master'!A:A,0))*(B16-B15)/DaysInYear,0)</f>
        <v>4.6849315068493151</v>
      </c>
      <c r="W16" s="562">
        <f t="shared" si="3"/>
        <v>200</v>
      </c>
      <c r="X16" s="561">
        <f t="shared" si="15"/>
        <v>650</v>
      </c>
      <c r="Y16" s="561">
        <f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561">
        <f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561">
        <f>IFERROR((X16+(Y16-Z16)/2)*INDEX('Facility Master'!R:R,MATCH(YBL_TL_SNo,'Facility Master'!A:A,0))*(B16-B15)/DaysInYear,0)</f>
        <v>15.306164383561644</v>
      </c>
      <c r="AB16" s="561">
        <f t="shared" si="4"/>
        <v>650</v>
      </c>
      <c r="AC16" s="561">
        <f t="shared" si="16"/>
        <v>0</v>
      </c>
      <c r="AD16" s="561">
        <f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561">
        <f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561">
        <f>IFERROR((AC16+(AD16-AE16)/2)*INDEX('Facility Master'!R:R,MATCH(IDFC_TL_SNo,'Facility Master'!A:A,0))*(B16-B15)/DaysInYear,0)</f>
        <v>5.7501369863013707</v>
      </c>
      <c r="AG16" s="561">
        <f t="shared" si="5"/>
        <v>530</v>
      </c>
      <c r="AH16" s="563">
        <f t="shared" si="17"/>
        <v>0</v>
      </c>
      <c r="AI16" s="563">
        <f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563">
        <f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563">
        <f>IFERROR((AH16+(AI16-AJ16)/2)*INDEX('Facility Master'!R:R,MATCH(ICICI_TL_SNo,'Facility Master'!A:A,0))*(B16-B15)/DaysInYear,0)</f>
        <v>9.0098630136986309</v>
      </c>
      <c r="AL16" s="563">
        <f t="shared" si="6"/>
        <v>840</v>
      </c>
      <c r="AM16" s="561">
        <f t="shared" si="7"/>
        <v>0</v>
      </c>
      <c r="AN16" s="561">
        <f t="shared" si="8"/>
        <v>66.883808219178079</v>
      </c>
      <c r="AO16" s="561">
        <f t="shared" si="9"/>
        <v>66.883808219178079</v>
      </c>
      <c r="AP16" s="561">
        <f t="shared" si="10"/>
        <v>3616</v>
      </c>
    </row>
    <row r="17" spans="1:42" ht="15.75" customHeight="1" x14ac:dyDescent="0.3">
      <c r="A17" s="375">
        <v>13</v>
      </c>
      <c r="B17" s="556">
        <v>46203</v>
      </c>
      <c r="C17" s="375" t="s">
        <v>634</v>
      </c>
      <c r="D17" s="379">
        <f t="shared" si="11"/>
        <v>1125</v>
      </c>
      <c r="E17" s="379">
        <f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379">
        <f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379">
        <f>IFERROR((D17+(E17-F17)/2)*INDEX('Facility Master'!R:R,MATCH(UBI_RTL1_SNo,'Facility Master'!A:A,0))*(B17-B16)/DaysInYear,0)</f>
        <v>26.365068493150684</v>
      </c>
      <c r="H17" s="379">
        <f t="shared" si="0"/>
        <v>1125</v>
      </c>
      <c r="I17" s="379">
        <f t="shared" si="12"/>
        <v>236</v>
      </c>
      <c r="J17" s="379">
        <f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379">
        <f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379">
        <f>IFERROR((I17+(J17-K17)/2)*INDEX('Facility Master'!R:R,MATCH(UBI_RTL2_SNo,'Facility Master'!A:A,0))*(B17-B16)/DaysInYear,0)</f>
        <v>5.354290410958904</v>
      </c>
      <c r="M17" s="379">
        <f t="shared" si="1"/>
        <v>236</v>
      </c>
      <c r="N17" s="379">
        <f t="shared" si="13"/>
        <v>235</v>
      </c>
      <c r="O17" s="379">
        <f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379">
        <f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379">
        <f>IFERROR((N17+(O17-P17)/2)*INDEX('Facility Master'!R:R,MATCH(IB_TL_SNo,'Facility Master'!A:A,0))*(B17-B16)/DaysInYear,0)</f>
        <v>5.5073698630136985</v>
      </c>
      <c r="R17" s="379">
        <f t="shared" si="2"/>
        <v>235</v>
      </c>
      <c r="S17" s="557">
        <f t="shared" si="14"/>
        <v>200</v>
      </c>
      <c r="T17" s="557">
        <f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557">
        <f>IFERROR(IF(AND(RBL_TL_Maturity&lt;=B17,RBL_TL_Maturity&gt;B16),INDEX('Facility Master'!K:K,MATCH(RBL_TL_SNo,'Facility Master'!A:A,0)),0),0)</f>
        <v>0</v>
      </c>
      <c r="V17" s="557">
        <f>IFERROR((S17+(T17-U17)/2)*INDEX('Facility Master'!R:R,MATCH(RBL_TL_SNo,'Facility Master'!A:A,0))*(B17-B16)/DaysInYear,0)</f>
        <v>4.7369863013698632</v>
      </c>
      <c r="W17" s="557">
        <f t="shared" si="3"/>
        <v>200</v>
      </c>
      <c r="X17" s="379">
        <f t="shared" si="15"/>
        <v>650</v>
      </c>
      <c r="Y17" s="379">
        <f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379">
        <f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379">
        <f>IFERROR((X17+(Y17-Z17)/2)*INDEX('Facility Master'!R:R,MATCH(YBL_TL_SNo,'Facility Master'!A:A,0))*(B17-B16)/DaysInYear,0)</f>
        <v>15.476232876712329</v>
      </c>
      <c r="AB17" s="379">
        <f t="shared" si="4"/>
        <v>650</v>
      </c>
      <c r="AC17" s="379">
        <f t="shared" si="16"/>
        <v>530</v>
      </c>
      <c r="AD17" s="379">
        <f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379">
        <f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379">
        <f>IFERROR((AC17+(AD17-AE17)/2)*INDEX('Facility Master'!R:R,MATCH(IDFC_TL_SNo,'Facility Master'!A:A,0))*(B17-B16)/DaysInYear,0)</f>
        <v>11.628054794520548</v>
      </c>
      <c r="AG17" s="379">
        <f t="shared" si="5"/>
        <v>530</v>
      </c>
      <c r="AH17" s="558">
        <f t="shared" si="17"/>
        <v>840</v>
      </c>
      <c r="AI17" s="558">
        <f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558">
        <f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558">
        <f>IFERROR((AH17+(AI17-AJ17)/2)*INDEX('Facility Master'!R:R,MATCH(ICICI_TL_SNo,'Facility Master'!A:A,0))*(B17-B16)/DaysInYear,0)</f>
        <v>18.219945205479455</v>
      </c>
      <c r="AL17" s="558">
        <f t="shared" si="6"/>
        <v>840</v>
      </c>
      <c r="AM17" s="379">
        <f t="shared" si="7"/>
        <v>0</v>
      </c>
      <c r="AN17" s="379">
        <f t="shared" si="8"/>
        <v>82.55096164383562</v>
      </c>
      <c r="AO17" s="379">
        <f t="shared" si="9"/>
        <v>82.55096164383562</v>
      </c>
      <c r="AP17" s="379">
        <f t="shared" si="10"/>
        <v>3616</v>
      </c>
    </row>
    <row r="18" spans="1:42" ht="15.75" customHeight="1" x14ac:dyDescent="0.3">
      <c r="A18" s="559">
        <v>14</v>
      </c>
      <c r="B18" s="560">
        <v>46295</v>
      </c>
      <c r="C18" s="559" t="s">
        <v>635</v>
      </c>
      <c r="D18" s="561">
        <f t="shared" si="11"/>
        <v>1125</v>
      </c>
      <c r="E18" s="561">
        <f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561">
        <f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561">
        <f>IFERROR((D18+(E18-F18)/2)*INDEX('Facility Master'!R:R,MATCH(UBI_RTL1_SNo,'Facility Master'!A:A,0))*(B18-B17)/DaysInYear,0)</f>
        <v>26.654794520547945</v>
      </c>
      <c r="H18" s="561">
        <f t="shared" si="0"/>
        <v>1125</v>
      </c>
      <c r="I18" s="561">
        <f t="shared" si="12"/>
        <v>236</v>
      </c>
      <c r="J18" s="561">
        <f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561">
        <f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561">
        <f>IFERROR((I18+(J18-K18)/2)*INDEX('Facility Master'!R:R,MATCH(UBI_RTL2_SNo,'Facility Master'!A:A,0))*(B18-B17)/DaysInYear,0)</f>
        <v>5.4131287671232871</v>
      </c>
      <c r="M18" s="561">
        <f t="shared" si="1"/>
        <v>236</v>
      </c>
      <c r="N18" s="561">
        <f t="shared" si="13"/>
        <v>235</v>
      </c>
      <c r="O18" s="561">
        <f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561">
        <f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561">
        <f>IFERROR((N18+(O18-P18)/2)*INDEX('Facility Master'!R:R,MATCH(IB_TL_SNo,'Facility Master'!A:A,0))*(B18-B17)/DaysInYear,0)</f>
        <v>5.5678904109589045</v>
      </c>
      <c r="R18" s="561">
        <f t="shared" si="2"/>
        <v>235</v>
      </c>
      <c r="S18" s="562">
        <f t="shared" si="14"/>
        <v>200</v>
      </c>
      <c r="T18" s="562">
        <f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562">
        <f>IFERROR(IF(AND(RBL_TL_Maturity&lt;=B18,RBL_TL_Maturity&gt;B17),INDEX('Facility Master'!K:K,MATCH(RBL_TL_SNo,'Facility Master'!A:A,0)),0),0)</f>
        <v>0</v>
      </c>
      <c r="V18" s="562">
        <f>IFERROR((S18+(T18-U18)/2)*INDEX('Facility Master'!R:R,MATCH(RBL_TL_SNo,'Facility Master'!A:A,0))*(B18-B17)/DaysInYear,0)</f>
        <v>4.7890410958904113</v>
      </c>
      <c r="W18" s="562">
        <f t="shared" si="3"/>
        <v>200</v>
      </c>
      <c r="X18" s="561">
        <f t="shared" si="15"/>
        <v>650</v>
      </c>
      <c r="Y18" s="561">
        <f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561">
        <f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561">
        <f>IFERROR((X18+(Y18-Z18)/2)*INDEX('Facility Master'!R:R,MATCH(YBL_TL_SNo,'Facility Master'!A:A,0))*(B18-B17)/DaysInYear,0)</f>
        <v>15.646301369863016</v>
      </c>
      <c r="AB18" s="561">
        <f t="shared" si="4"/>
        <v>650</v>
      </c>
      <c r="AC18" s="561">
        <f t="shared" si="16"/>
        <v>530</v>
      </c>
      <c r="AD18" s="561">
        <f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561">
        <f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561">
        <f>IFERROR((AC18+(AD18-AE18)/2)*INDEX('Facility Master'!R:R,MATCH(IDFC_TL_SNo,'Facility Master'!A:A,0))*(B18-B17)/DaysInYear,0)</f>
        <v>11.755835616438356</v>
      </c>
      <c r="AG18" s="561">
        <f t="shared" si="5"/>
        <v>530</v>
      </c>
      <c r="AH18" s="563">
        <f t="shared" si="17"/>
        <v>840</v>
      </c>
      <c r="AI18" s="563">
        <f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563">
        <f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563">
        <f>IFERROR((AH18+(AI18-AJ18)/2)*INDEX('Facility Master'!R:R,MATCH(ICICI_TL_SNo,'Facility Master'!A:A,0))*(B18-B17)/DaysInYear,0)</f>
        <v>18.420164383561648</v>
      </c>
      <c r="AL18" s="563">
        <f t="shared" si="6"/>
        <v>840</v>
      </c>
      <c r="AM18" s="561">
        <f t="shared" si="7"/>
        <v>0</v>
      </c>
      <c r="AN18" s="561">
        <f t="shared" si="8"/>
        <v>83.458115068493157</v>
      </c>
      <c r="AO18" s="561">
        <f t="shared" si="9"/>
        <v>83.458115068493157</v>
      </c>
      <c r="AP18" s="561">
        <f t="shared" si="10"/>
        <v>3616</v>
      </c>
    </row>
    <row r="19" spans="1:42" ht="15.75" customHeight="1" x14ac:dyDescent="0.3">
      <c r="A19" s="435">
        <v>15</v>
      </c>
      <c r="B19" s="564">
        <v>46387</v>
      </c>
      <c r="C19" s="447" t="s">
        <v>636</v>
      </c>
      <c r="D19" s="439">
        <f t="shared" si="11"/>
        <v>1125</v>
      </c>
      <c r="E19" s="439">
        <f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439">
        <f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439">
        <f>IFERROR((D19+(E19-F19)/2)*INDEX('Facility Master'!R:R,MATCH(UBI_RTL1_SNo,'Facility Master'!A:A,0))*(B19-B18)/DaysInYear,0)</f>
        <v>26.654794520547945</v>
      </c>
      <c r="H19" s="439">
        <f t="shared" si="0"/>
        <v>1125</v>
      </c>
      <c r="I19" s="439">
        <f t="shared" si="12"/>
        <v>236</v>
      </c>
      <c r="J19" s="439">
        <f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439">
        <f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439">
        <f>IFERROR((I19+(J19-K19)/2)*INDEX('Facility Master'!R:R,MATCH(UBI_RTL2_SNo,'Facility Master'!A:A,0))*(B19-B18)/DaysInYear,0)</f>
        <v>5.4131287671232871</v>
      </c>
      <c r="M19" s="439">
        <f t="shared" si="1"/>
        <v>236</v>
      </c>
      <c r="N19" s="439">
        <f t="shared" si="13"/>
        <v>235</v>
      </c>
      <c r="O19" s="439">
        <f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439">
        <f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439">
        <f>IFERROR((N19+(O19-P19)/2)*INDEX('Facility Master'!R:R,MATCH(IB_TL_SNo,'Facility Master'!A:A,0))*(B19-B18)/DaysInYear,0)</f>
        <v>5.5678904109589045</v>
      </c>
      <c r="R19" s="439">
        <f t="shared" si="2"/>
        <v>235</v>
      </c>
      <c r="S19" s="565">
        <f t="shared" si="14"/>
        <v>200</v>
      </c>
      <c r="T19" s="565">
        <f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565">
        <f>IFERROR(IF(AND(RBL_TL_Maturity&lt;=B19,RBL_TL_Maturity&gt;B18),INDEX('Facility Master'!K:K,MATCH(RBL_TL_SNo,'Facility Master'!A:A,0)),0),0)</f>
        <v>200</v>
      </c>
      <c r="V19" s="565">
        <f>IFERROR((S19+(T19-U19)/2)*INDEX('Facility Master'!R:R,MATCH(RBL_TL_SNo,'Facility Master'!A:A,0))*(B19-B18)/DaysInYear,0)</f>
        <v>2.3945205479452056</v>
      </c>
      <c r="W19" s="565">
        <f t="shared" si="3"/>
        <v>0</v>
      </c>
      <c r="X19" s="439">
        <f t="shared" si="15"/>
        <v>650</v>
      </c>
      <c r="Y19" s="439">
        <f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439">
        <f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439">
        <f>IFERROR((X19+(Y19-Z19)/2)*INDEX('Facility Master'!R:R,MATCH(YBL_TL_SNo,'Facility Master'!A:A,0))*(B19-B18)/DaysInYear,0)</f>
        <v>15.646301369863016</v>
      </c>
      <c r="AB19" s="439">
        <f t="shared" si="4"/>
        <v>650</v>
      </c>
      <c r="AC19" s="439">
        <f t="shared" si="16"/>
        <v>530</v>
      </c>
      <c r="AD19" s="439">
        <f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439">
        <f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439">
        <f>IFERROR((AC19+(AD19-AE19)/2)*INDEX('Facility Master'!R:R,MATCH(IDFC_TL_SNo,'Facility Master'!A:A,0))*(B19-B18)/DaysInYear,0)</f>
        <v>11.755835616438356</v>
      </c>
      <c r="AG19" s="439">
        <f t="shared" si="5"/>
        <v>530</v>
      </c>
      <c r="AH19" s="558">
        <f t="shared" si="17"/>
        <v>840</v>
      </c>
      <c r="AI19" s="558">
        <f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558">
        <f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558">
        <f>IFERROR((AH19+(AI19-AJ19)/2)*INDEX('Facility Master'!R:R,MATCH(ICICI_TL_SNo,'Facility Master'!A:A,0))*(B19-B18)/DaysInYear,0)</f>
        <v>18.420164383561648</v>
      </c>
      <c r="AL19" s="558">
        <f t="shared" si="6"/>
        <v>840</v>
      </c>
      <c r="AM19" s="439">
        <f t="shared" si="7"/>
        <v>0</v>
      </c>
      <c r="AN19" s="439">
        <f t="shared" si="8"/>
        <v>83.458115068493157</v>
      </c>
      <c r="AO19" s="439">
        <f t="shared" si="9"/>
        <v>83.458115068493157</v>
      </c>
      <c r="AP19" s="439">
        <f t="shared" si="10"/>
        <v>3616</v>
      </c>
    </row>
    <row r="20" spans="1:42" ht="15.75" customHeight="1" x14ac:dyDescent="0.3">
      <c r="A20" s="559">
        <v>16</v>
      </c>
      <c r="B20" s="560">
        <v>46477</v>
      </c>
      <c r="C20" s="559" t="s">
        <v>637</v>
      </c>
      <c r="D20" s="561">
        <f t="shared" si="11"/>
        <v>1125</v>
      </c>
      <c r="E20" s="561">
        <f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561">
        <f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561">
        <f>IFERROR((D20+(E20-F20)/2)*INDEX('Facility Master'!R:R,MATCH(UBI_RTL1_SNo,'Facility Master'!A:A,0))*(B20-B19)/DaysInYear,0)</f>
        <v>26.075342465753426</v>
      </c>
      <c r="H20" s="561">
        <f t="shared" si="0"/>
        <v>1125</v>
      </c>
      <c r="I20" s="561">
        <f t="shared" si="12"/>
        <v>236</v>
      </c>
      <c r="J20" s="561">
        <f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561">
        <f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561">
        <f>IFERROR((I20+(J20-K20)/2)*INDEX('Facility Master'!R:R,MATCH(UBI_RTL2_SNo,'Facility Master'!A:A,0))*(B20-B19)/DaysInYear,0)</f>
        <v>5.2954520547945201</v>
      </c>
      <c r="M20" s="561">
        <f t="shared" si="1"/>
        <v>236</v>
      </c>
      <c r="N20" s="561">
        <f t="shared" si="13"/>
        <v>235</v>
      </c>
      <c r="O20" s="561">
        <f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561">
        <f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561">
        <f>IFERROR((N20+(O20-P20)/2)*INDEX('Facility Master'!R:R,MATCH(IB_TL_SNo,'Facility Master'!A:A,0))*(B20-B19)/DaysInYear,0)</f>
        <v>5.4128065068493152</v>
      </c>
      <c r="R20" s="561">
        <f t="shared" si="2"/>
        <v>232.0625</v>
      </c>
      <c r="S20" s="562">
        <f t="shared" si="14"/>
        <v>0</v>
      </c>
      <c r="T20" s="562">
        <f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562">
        <f>IFERROR(IF(AND(RBL_TL_Maturity&lt;=B20,RBL_TL_Maturity&gt;B19),INDEX('Facility Master'!K:K,MATCH(RBL_TL_SNo,'Facility Master'!A:A,0)),0),0)</f>
        <v>0</v>
      </c>
      <c r="V20" s="562">
        <f>IFERROR((S20+(T20-U20)/2)*INDEX('Facility Master'!R:R,MATCH(RBL_TL_SNo,'Facility Master'!A:A,0))*(B20-B19)/DaysInYear,0)</f>
        <v>0</v>
      </c>
      <c r="W20" s="562">
        <f t="shared" si="3"/>
        <v>0</v>
      </c>
      <c r="X20" s="561">
        <f t="shared" si="15"/>
        <v>650</v>
      </c>
      <c r="Y20" s="561">
        <f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561">
        <f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561">
        <f>IFERROR((X20+(Y20-Z20)/2)*INDEX('Facility Master'!R:R,MATCH(YBL_TL_SNo,'Facility Master'!A:A,0))*(B20-B19)/DaysInYear,0)</f>
        <v>15.306164383561644</v>
      </c>
      <c r="AB20" s="561">
        <f t="shared" si="4"/>
        <v>650</v>
      </c>
      <c r="AC20" s="561">
        <f t="shared" si="16"/>
        <v>530</v>
      </c>
      <c r="AD20" s="561">
        <f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561">
        <f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561">
        <f>IFERROR((AC20+(AD20-AE20)/2)*INDEX('Facility Master'!R:R,MATCH(IDFC_TL_SNo,'Facility Master'!A:A,0))*(B20-B19)/DaysInYear,0)</f>
        <v>11.500273972602741</v>
      </c>
      <c r="AG20" s="561">
        <f t="shared" si="5"/>
        <v>530</v>
      </c>
      <c r="AH20" s="563">
        <f t="shared" si="17"/>
        <v>840</v>
      </c>
      <c r="AI20" s="563">
        <f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563">
        <f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563">
        <f>IFERROR((AH20+(AI20-AJ20)/2)*INDEX('Facility Master'!R:R,MATCH(ICICI_TL_SNo,'Facility Master'!A:A,0))*(B20-B19)/DaysInYear,0)</f>
        <v>18.019726027397262</v>
      </c>
      <c r="AL20" s="563">
        <f t="shared" si="6"/>
        <v>840</v>
      </c>
      <c r="AM20" s="561">
        <f t="shared" si="7"/>
        <v>2.9375</v>
      </c>
      <c r="AN20" s="561">
        <f t="shared" si="8"/>
        <v>81.609765410958914</v>
      </c>
      <c r="AO20" s="561">
        <f t="shared" si="9"/>
        <v>84.547265410958914</v>
      </c>
      <c r="AP20" s="561">
        <f t="shared" si="10"/>
        <v>3613.0625</v>
      </c>
    </row>
    <row r="21" spans="1:42" ht="15.75" customHeight="1" x14ac:dyDescent="0.3">
      <c r="A21" s="375">
        <v>17</v>
      </c>
      <c r="B21" s="556">
        <v>46568</v>
      </c>
      <c r="C21" s="375" t="s">
        <v>638</v>
      </c>
      <c r="D21" s="379">
        <f t="shared" si="11"/>
        <v>1125</v>
      </c>
      <c r="E21" s="379">
        <f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379">
        <f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379">
        <f>IFERROR((D21+(E21-F21)/2)*INDEX('Facility Master'!R:R,MATCH(UBI_RTL1_SNo,'Facility Master'!A:A,0))*(B21-B20)/DaysInYear,0)</f>
        <v>26.200286815068491</v>
      </c>
      <c r="H21" s="379">
        <f t="shared" si="0"/>
        <v>1110.9375</v>
      </c>
      <c r="I21" s="379">
        <f t="shared" si="12"/>
        <v>236</v>
      </c>
      <c r="J21" s="379">
        <f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379">
        <f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379">
        <f>IFERROR((I21+(J21-K21)/2)*INDEX('Facility Master'!R:R,MATCH(UBI_RTL2_SNo,'Facility Master'!A:A,0))*(B21-B20)/DaysInYear,0)</f>
        <v>5.3208260958904106</v>
      </c>
      <c r="M21" s="379">
        <f t="shared" si="1"/>
        <v>233.05</v>
      </c>
      <c r="N21" s="379">
        <f t="shared" si="13"/>
        <v>232.0625</v>
      </c>
      <c r="O21" s="379">
        <f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379">
        <f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379">
        <f>IFERROR((N21+(O21-P21)/2)*INDEX('Facility Master'!R:R,MATCH(IB_TL_SNo,'Facility Master'!A:A,0))*(B21-B20)/DaysInYear,0)</f>
        <v>5.4041066780821918</v>
      </c>
      <c r="R21" s="379">
        <f t="shared" si="2"/>
        <v>229.125</v>
      </c>
      <c r="S21" s="557">
        <f t="shared" si="14"/>
        <v>0</v>
      </c>
      <c r="T21" s="557">
        <f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557">
        <f>IFERROR(IF(AND(RBL_TL_Maturity&lt;=B21,RBL_TL_Maturity&gt;B20),INDEX('Facility Master'!K:K,MATCH(RBL_TL_SNo,'Facility Master'!A:A,0)),0),0)</f>
        <v>0</v>
      </c>
      <c r="V21" s="557">
        <f>IFERROR((S21+(T21-U21)/2)*INDEX('Facility Master'!R:R,MATCH(RBL_TL_SNo,'Facility Master'!A:A,0))*(B21-B20)/DaysInYear,0)</f>
        <v>0</v>
      </c>
      <c r="W21" s="557">
        <f t="shared" si="3"/>
        <v>0</v>
      </c>
      <c r="X21" s="379">
        <f t="shared" si="15"/>
        <v>650</v>
      </c>
      <c r="Y21" s="379">
        <f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379">
        <f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379">
        <f>IFERROR((X21+(Y21-Z21)/2)*INDEX('Facility Master'!R:R,MATCH(YBL_TL_SNo,'Facility Master'!A:A,0))*(B21-B20)/DaysInYear,0)</f>
        <v>15.379506421232877</v>
      </c>
      <c r="AB21" s="379">
        <f t="shared" si="4"/>
        <v>641.875</v>
      </c>
      <c r="AC21" s="379">
        <f t="shared" si="16"/>
        <v>530</v>
      </c>
      <c r="AD21" s="379">
        <f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379">
        <f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379">
        <f>IFERROR((AC21+(AD21-AE21)/2)*INDEX('Facility Master'!R:R,MATCH(IDFC_TL_SNo,'Facility Master'!A:A,0))*(B21-B20)/DaysInYear,0)</f>
        <v>11.555379452054794</v>
      </c>
      <c r="AG21" s="379">
        <f t="shared" si="5"/>
        <v>523.375</v>
      </c>
      <c r="AH21" s="558">
        <f t="shared" si="17"/>
        <v>840</v>
      </c>
      <c r="AI21" s="558">
        <f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558">
        <f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558">
        <f>IFERROR((AH21+(AI21-AJ21)/2)*INDEX('Facility Master'!R:R,MATCH(ICICI_TL_SNo,'Facility Master'!A:A,0))*(B21-B20)/DaysInYear,0)</f>
        <v>18.106070547945208</v>
      </c>
      <c r="AL21" s="558">
        <f t="shared" si="6"/>
        <v>829.5</v>
      </c>
      <c r="AM21" s="379">
        <f t="shared" si="7"/>
        <v>45.2</v>
      </c>
      <c r="AN21" s="379">
        <f t="shared" si="8"/>
        <v>81.966176010273969</v>
      </c>
      <c r="AO21" s="379">
        <f t="shared" si="9"/>
        <v>127.16617601027397</v>
      </c>
      <c r="AP21" s="379">
        <f t="shared" si="10"/>
        <v>3567.8625000000002</v>
      </c>
    </row>
    <row r="22" spans="1:42" ht="15.75" customHeight="1" x14ac:dyDescent="0.3">
      <c r="A22" s="559">
        <v>18</v>
      </c>
      <c r="B22" s="560">
        <v>46660</v>
      </c>
      <c r="C22" s="559" t="s">
        <v>639</v>
      </c>
      <c r="D22" s="561">
        <f t="shared" si="11"/>
        <v>1110.9375</v>
      </c>
      <c r="E22" s="561">
        <f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561">
        <f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561">
        <f>IFERROR((D22+(E22-F22)/2)*INDEX('Facility Master'!R:R,MATCH(UBI_RTL1_SNo,'Facility Master'!A:A,0))*(B22-B21)/DaysInYear,0)</f>
        <v>26.155017123287674</v>
      </c>
      <c r="H22" s="561">
        <f t="shared" si="0"/>
        <v>1096.875</v>
      </c>
      <c r="I22" s="561">
        <f t="shared" si="12"/>
        <v>233.05</v>
      </c>
      <c r="J22" s="561">
        <f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561">
        <f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561">
        <f>IFERROR((I22+(J22-K22)/2)*INDEX('Facility Master'!R:R,MATCH(UBI_RTL2_SNo,'Facility Master'!A:A,0))*(B22-B21)/DaysInYear,0)</f>
        <v>5.311632602739726</v>
      </c>
      <c r="M22" s="561">
        <f t="shared" si="1"/>
        <v>230.1</v>
      </c>
      <c r="N22" s="561">
        <f t="shared" si="13"/>
        <v>229.125</v>
      </c>
      <c r="O22" s="561">
        <f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561">
        <f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561">
        <f>IFERROR((N22+(O22-P22)/2)*INDEX('Facility Master'!R:R,MATCH(IB_TL_SNo,'Facility Master'!A:A,0))*(B22-B21)/DaysInYear,0)</f>
        <v>5.3938938356164376</v>
      </c>
      <c r="R22" s="561">
        <f t="shared" si="2"/>
        <v>226.1875</v>
      </c>
      <c r="S22" s="562">
        <f t="shared" si="14"/>
        <v>0</v>
      </c>
      <c r="T22" s="562">
        <f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562">
        <f>IFERROR(IF(AND(RBL_TL_Maturity&lt;=B22,RBL_TL_Maturity&gt;B21),INDEX('Facility Master'!K:K,MATCH(RBL_TL_SNo,'Facility Master'!A:A,0)),0),0)</f>
        <v>0</v>
      </c>
      <c r="V22" s="562">
        <f>IFERROR((S22+(T22-U22)/2)*INDEX('Facility Master'!R:R,MATCH(RBL_TL_SNo,'Facility Master'!A:A,0))*(B22-B21)/DaysInYear,0)</f>
        <v>0</v>
      </c>
      <c r="W22" s="562">
        <f t="shared" si="3"/>
        <v>0</v>
      </c>
      <c r="X22" s="561">
        <f t="shared" si="15"/>
        <v>641.875</v>
      </c>
      <c r="Y22" s="561">
        <f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561">
        <f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561">
        <f>IFERROR((X22+(Y22-Z22)/2)*INDEX('Facility Master'!R:R,MATCH(YBL_TL_SNo,'Facility Master'!A:A,0))*(B22-B21)/DaysInYear,0)</f>
        <v>15.352933219178084</v>
      </c>
      <c r="AB22" s="561">
        <f t="shared" si="4"/>
        <v>633.75</v>
      </c>
      <c r="AC22" s="561">
        <f t="shared" si="16"/>
        <v>523.375</v>
      </c>
      <c r="AD22" s="561">
        <f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561">
        <f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561">
        <f>IFERROR((AC22+(AD22-AE22)/2)*INDEX('Facility Master'!R:R,MATCH(IDFC_TL_SNo,'Facility Master'!A:A,0))*(B22-B21)/DaysInYear,0)</f>
        <v>11.535413698630135</v>
      </c>
      <c r="AG22" s="561">
        <f t="shared" si="5"/>
        <v>516.75</v>
      </c>
      <c r="AH22" s="563">
        <f t="shared" si="17"/>
        <v>829.5</v>
      </c>
      <c r="AI22" s="563">
        <f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563">
        <f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563">
        <f>IFERROR((AH22+(AI22-AJ22)/2)*INDEX('Facility Master'!R:R,MATCH(ICICI_TL_SNo,'Facility Master'!A:A,0))*(B22-B21)/DaysInYear,0)</f>
        <v>18.074786301369862</v>
      </c>
      <c r="AL22" s="563">
        <f t="shared" si="6"/>
        <v>819</v>
      </c>
      <c r="AM22" s="561">
        <f t="shared" si="7"/>
        <v>45.2</v>
      </c>
      <c r="AN22" s="561">
        <f t="shared" si="8"/>
        <v>81.823676780821927</v>
      </c>
      <c r="AO22" s="561">
        <f t="shared" si="9"/>
        <v>127.02367678082193</v>
      </c>
      <c r="AP22" s="561">
        <f t="shared" si="10"/>
        <v>3522.6624999999999</v>
      </c>
    </row>
    <row r="23" spans="1:42" ht="15.75" customHeight="1" x14ac:dyDescent="0.3">
      <c r="A23" s="375">
        <v>19</v>
      </c>
      <c r="B23" s="556">
        <v>46752</v>
      </c>
      <c r="C23" s="375" t="s">
        <v>640</v>
      </c>
      <c r="D23" s="379">
        <f t="shared" si="11"/>
        <v>1096.875</v>
      </c>
      <c r="E23" s="379">
        <f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379">
        <f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379">
        <f>IFERROR((D23+(E23-F23)/2)*INDEX('Facility Master'!R:R,MATCH(UBI_RTL1_SNo,'Facility Master'!A:A,0))*(B23-B22)/DaysInYear,0)</f>
        <v>25.821832191780821</v>
      </c>
      <c r="H23" s="379">
        <f t="shared" si="0"/>
        <v>1082.8125</v>
      </c>
      <c r="I23" s="379">
        <f t="shared" si="12"/>
        <v>230.1</v>
      </c>
      <c r="J23" s="379">
        <f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379">
        <f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379">
        <f>IFERROR((I23+(J23-K23)/2)*INDEX('Facility Master'!R:R,MATCH(UBI_RTL2_SNo,'Facility Master'!A:A,0))*(B23-B22)/DaysInYear,0)</f>
        <v>5.2439684931506845</v>
      </c>
      <c r="M23" s="379">
        <f t="shared" si="1"/>
        <v>227.15</v>
      </c>
      <c r="N23" s="379">
        <f t="shared" si="13"/>
        <v>226.1875</v>
      </c>
      <c r="O23" s="379">
        <f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379">
        <f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379">
        <f>IFERROR((N23+(O23-P23)/2)*INDEX('Facility Master'!R:R,MATCH(IB_TL_SNo,'Facility Master'!A:A,0))*(B23-B22)/DaysInYear,0)</f>
        <v>5.3242952054794515</v>
      </c>
      <c r="R23" s="379">
        <f t="shared" si="2"/>
        <v>223.25</v>
      </c>
      <c r="S23" s="557">
        <f t="shared" si="14"/>
        <v>0</v>
      </c>
      <c r="T23" s="557">
        <f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557">
        <f>IFERROR(IF(AND(RBL_TL_Maturity&lt;=B23,RBL_TL_Maturity&gt;B22),INDEX('Facility Master'!K:K,MATCH(RBL_TL_SNo,'Facility Master'!A:A,0)),0),0)</f>
        <v>0</v>
      </c>
      <c r="V23" s="557">
        <f>IFERROR((S23+(T23-U23)/2)*INDEX('Facility Master'!R:R,MATCH(RBL_TL_SNo,'Facility Master'!A:A,0))*(B23-B22)/DaysInYear,0)</f>
        <v>0</v>
      </c>
      <c r="W23" s="557">
        <f t="shared" si="3"/>
        <v>0</v>
      </c>
      <c r="X23" s="379">
        <f t="shared" si="15"/>
        <v>633.75</v>
      </c>
      <c r="Y23" s="379">
        <f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379">
        <f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379">
        <f>IFERROR((X23+(Y23-Z23)/2)*INDEX('Facility Master'!R:R,MATCH(YBL_TL_SNo,'Facility Master'!A:A,0))*(B23-B22)/DaysInYear,0)</f>
        <v>15.157354452054793</v>
      </c>
      <c r="AB23" s="379">
        <f t="shared" si="4"/>
        <v>625.625</v>
      </c>
      <c r="AC23" s="379">
        <f t="shared" si="16"/>
        <v>516.75</v>
      </c>
      <c r="AD23" s="379">
        <f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379">
        <f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379">
        <f>IFERROR((AC23+(AD23-AE23)/2)*INDEX('Facility Master'!R:R,MATCH(IDFC_TL_SNo,'Facility Master'!A:A,0))*(B23-B22)/DaysInYear,0)</f>
        <v>11.388465753424658</v>
      </c>
      <c r="AG23" s="379">
        <f t="shared" si="5"/>
        <v>510.125</v>
      </c>
      <c r="AH23" s="558">
        <f t="shared" si="17"/>
        <v>819</v>
      </c>
      <c r="AI23" s="558">
        <f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558">
        <f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558">
        <f>IFERROR((AH23+(AI23-AJ23)/2)*INDEX('Facility Master'!R:R,MATCH(ICICI_TL_SNo,'Facility Master'!A:A,0))*(B23-B22)/DaysInYear,0)</f>
        <v>17.844534246575343</v>
      </c>
      <c r="AL23" s="558">
        <f t="shared" si="6"/>
        <v>808.5</v>
      </c>
      <c r="AM23" s="379">
        <f t="shared" si="7"/>
        <v>45.2</v>
      </c>
      <c r="AN23" s="379">
        <f t="shared" si="8"/>
        <v>80.780450342465741</v>
      </c>
      <c r="AO23" s="379">
        <f t="shared" si="9"/>
        <v>125.98045034246574</v>
      </c>
      <c r="AP23" s="379">
        <f t="shared" si="10"/>
        <v>3477.4625000000001</v>
      </c>
    </row>
    <row r="24" spans="1:42" ht="15.75" customHeight="1" x14ac:dyDescent="0.3">
      <c r="A24" s="559">
        <v>20</v>
      </c>
      <c r="B24" s="560">
        <v>46843</v>
      </c>
      <c r="C24" s="559" t="s">
        <v>641</v>
      </c>
      <c r="D24" s="561">
        <f t="shared" si="11"/>
        <v>1082.8125</v>
      </c>
      <c r="E24" s="561">
        <f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561">
        <f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561">
        <f>IFERROR((D24+(E24-F24)/2)*INDEX('Facility Master'!R:R,MATCH(UBI_RTL1_SNo,'Facility Master'!A:A,0))*(B24-B23)/DaysInYear,0)</f>
        <v>25.211596746575342</v>
      </c>
      <c r="H24" s="561">
        <f t="shared" si="0"/>
        <v>1068.75</v>
      </c>
      <c r="I24" s="561">
        <f t="shared" si="12"/>
        <v>227.15</v>
      </c>
      <c r="J24" s="561">
        <f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561">
        <f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561">
        <f>IFERROR((I24+(J24-K24)/2)*INDEX('Facility Master'!R:R,MATCH(UBI_RTL2_SNo,'Facility Master'!A:A,0))*(B24-B23)/DaysInYear,0)</f>
        <v>5.1200402054794525</v>
      </c>
      <c r="M24" s="561">
        <f t="shared" si="1"/>
        <v>224.2</v>
      </c>
      <c r="N24" s="561">
        <f t="shared" si="13"/>
        <v>223.25</v>
      </c>
      <c r="O24" s="561">
        <f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561">
        <f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561">
        <f>IFERROR((N24+(O24-P24)/2)*INDEX('Facility Master'!R:R,MATCH(IB_TL_SNo,'Facility Master'!A:A,0))*(B24-B23)/DaysInYear,0)</f>
        <v>5.1975803082191785</v>
      </c>
      <c r="R24" s="561">
        <f t="shared" si="2"/>
        <v>220.3125</v>
      </c>
      <c r="S24" s="562">
        <f t="shared" si="14"/>
        <v>0</v>
      </c>
      <c r="T24" s="562">
        <f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562">
        <f>IFERROR(IF(AND(RBL_TL_Maturity&lt;=B24,RBL_TL_Maturity&gt;B23),INDEX('Facility Master'!K:K,MATCH(RBL_TL_SNo,'Facility Master'!A:A,0)),0),0)</f>
        <v>0</v>
      </c>
      <c r="V24" s="562">
        <f>IFERROR((S24+(T24-U24)/2)*INDEX('Facility Master'!R:R,MATCH(RBL_TL_SNo,'Facility Master'!A:A,0))*(B24-B23)/DaysInYear,0)</f>
        <v>0</v>
      </c>
      <c r="W24" s="562">
        <f t="shared" si="3"/>
        <v>0</v>
      </c>
      <c r="X24" s="561">
        <f t="shared" si="15"/>
        <v>625.625</v>
      </c>
      <c r="Y24" s="561">
        <f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561">
        <f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561">
        <f>IFERROR((X24+(Y24-Z24)/2)*INDEX('Facility Master'!R:R,MATCH(YBL_TL_SNo,'Facility Master'!A:A,0))*(B24-B23)/DaysInYear,0)</f>
        <v>14.799147688356166</v>
      </c>
      <c r="AB24" s="561">
        <f t="shared" si="4"/>
        <v>617.5</v>
      </c>
      <c r="AC24" s="561">
        <f t="shared" si="16"/>
        <v>510.125</v>
      </c>
      <c r="AD24" s="561">
        <f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561">
        <f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561">
        <f>IFERROR((AC24+(AD24-AE24)/2)*INDEX('Facility Master'!R:R,MATCH(IDFC_TL_SNo,'Facility Master'!A:A,0))*(B24-B23)/DaysInYear,0)</f>
        <v>11.119327397260273</v>
      </c>
      <c r="AG24" s="561">
        <f t="shared" si="5"/>
        <v>503.5</v>
      </c>
      <c r="AH24" s="563">
        <f t="shared" si="17"/>
        <v>808.5</v>
      </c>
      <c r="AI24" s="563">
        <f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563">
        <f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563">
        <f>IFERROR((AH24+(AI24-AJ24)/2)*INDEX('Facility Master'!R:R,MATCH(ICICI_TL_SNo,'Facility Master'!A:A,0))*(B24-B23)/DaysInYear,0)</f>
        <v>17.422822602739725</v>
      </c>
      <c r="AL24" s="563">
        <f t="shared" si="6"/>
        <v>798</v>
      </c>
      <c r="AM24" s="561">
        <f t="shared" si="7"/>
        <v>45.2</v>
      </c>
      <c r="AN24" s="561">
        <f t="shared" si="8"/>
        <v>78.870514948630131</v>
      </c>
      <c r="AO24" s="561">
        <f t="shared" si="9"/>
        <v>124.07051494863013</v>
      </c>
      <c r="AP24" s="561">
        <f t="shared" si="10"/>
        <v>3432.2624999999998</v>
      </c>
    </row>
    <row r="25" spans="1:42" ht="15.75" customHeight="1" x14ac:dyDescent="0.3">
      <c r="A25" s="566">
        <v>21</v>
      </c>
      <c r="B25" s="567">
        <v>46934</v>
      </c>
      <c r="C25" s="568" t="s">
        <v>642</v>
      </c>
      <c r="D25" s="569">
        <f t="shared" si="11"/>
        <v>1068.75</v>
      </c>
      <c r="E25" s="569">
        <f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569">
        <f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569">
        <f>IFERROR((D25+(E25-F25)/2)*INDEX('Facility Master'!R:R,MATCH(UBI_RTL1_SNo,'Facility Master'!A:A,0))*(B25-B24)/DaysInYear,0)</f>
        <v>24.88203339041096</v>
      </c>
      <c r="H25" s="569">
        <f t="shared" si="0"/>
        <v>1054.6875</v>
      </c>
      <c r="I25" s="569">
        <f t="shared" si="12"/>
        <v>224.2</v>
      </c>
      <c r="J25" s="569">
        <f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569">
        <f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569">
        <f>IFERROR((I25+(J25-K25)/2)*INDEX('Facility Master'!R:R,MATCH(UBI_RTL2_SNo,'Facility Master'!A:A,0))*(B25-B24)/DaysInYear,0)</f>
        <v>5.0531115753424656</v>
      </c>
      <c r="M25" s="569">
        <f t="shared" si="1"/>
        <v>221.25</v>
      </c>
      <c r="N25" s="569">
        <f t="shared" si="13"/>
        <v>220.3125</v>
      </c>
      <c r="O25" s="569">
        <f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569">
        <f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569">
        <f>IFERROR((N25+(O25-P25)/2)*INDEX('Facility Master'!R:R,MATCH(IB_TL_SNo,'Facility Master'!A:A,0))*(B25-B24)/DaysInYear,0)</f>
        <v>5.1287381849315068</v>
      </c>
      <c r="R25" s="569">
        <f t="shared" si="2"/>
        <v>217.375</v>
      </c>
      <c r="S25" s="570">
        <f t="shared" si="14"/>
        <v>0</v>
      </c>
      <c r="T25" s="570">
        <f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570">
        <f>IFERROR(IF(AND(RBL_TL_Maturity&lt;=B25,RBL_TL_Maturity&gt;B24),INDEX('Facility Master'!K:K,MATCH(RBL_TL_SNo,'Facility Master'!A:A,0)),0),0)</f>
        <v>0</v>
      </c>
      <c r="V25" s="570">
        <f>IFERROR((S25+(T25-U25)/2)*INDEX('Facility Master'!R:R,MATCH(RBL_TL_SNo,'Facility Master'!A:A,0))*(B25-B24)/DaysInYear,0)</f>
        <v>0</v>
      </c>
      <c r="W25" s="570">
        <f t="shared" si="3"/>
        <v>0</v>
      </c>
      <c r="X25" s="569">
        <f t="shared" si="15"/>
        <v>617.5</v>
      </c>
      <c r="Y25" s="569">
        <f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569">
        <f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569">
        <f>IFERROR((X25+(Y25-Z25)/2)*INDEX('Facility Master'!R:R,MATCH(YBL_TL_SNo,'Facility Master'!A:A,0))*(B25-B24)/DaysInYear,0)</f>
        <v>14.605694777397259</v>
      </c>
      <c r="AB25" s="569">
        <f t="shared" si="4"/>
        <v>609.375</v>
      </c>
      <c r="AC25" s="569">
        <f t="shared" si="16"/>
        <v>503.5</v>
      </c>
      <c r="AD25" s="569">
        <f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569">
        <f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569">
        <f>IFERROR((AC25+(AD25-AE25)/2)*INDEX('Facility Master'!R:R,MATCH(IDFC_TL_SNo,'Facility Master'!A:A,0))*(B25-B24)/DaysInYear,0)</f>
        <v>10.973976712328767</v>
      </c>
      <c r="AG25" s="569">
        <f t="shared" si="5"/>
        <v>496.875</v>
      </c>
      <c r="AH25" s="563">
        <f t="shared" si="17"/>
        <v>798</v>
      </c>
      <c r="AI25" s="563">
        <f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563">
        <f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563">
        <f>IFERROR((AH25+(AI25-AJ25)/2)*INDEX('Facility Master'!R:R,MATCH(ICICI_TL_SNo,'Facility Master'!A:A,0))*(B25-B24)/DaysInYear,0)</f>
        <v>17.195073287671235</v>
      </c>
      <c r="AL25" s="563">
        <f t="shared" si="6"/>
        <v>787.5</v>
      </c>
      <c r="AM25" s="571">
        <f t="shared" si="7"/>
        <v>45.2</v>
      </c>
      <c r="AN25" s="571">
        <f t="shared" si="8"/>
        <v>77.83862792808219</v>
      </c>
      <c r="AO25" s="571">
        <f t="shared" si="9"/>
        <v>123.03862792808219</v>
      </c>
      <c r="AP25" s="571">
        <f t="shared" si="10"/>
        <v>3387.0625</v>
      </c>
    </row>
    <row r="26" spans="1:42" ht="15.75" customHeight="1" x14ac:dyDescent="0.3">
      <c r="A26" s="566">
        <v>22</v>
      </c>
      <c r="B26" s="567">
        <v>47026</v>
      </c>
      <c r="C26" s="568" t="s">
        <v>643</v>
      </c>
      <c r="D26" s="569">
        <f t="shared" si="11"/>
        <v>1054.6875</v>
      </c>
      <c r="E26" s="569">
        <f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569">
        <f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569">
        <f>IFERROR((D26+(E26-F26)/2)*INDEX('Facility Master'!R:R,MATCH(UBI_RTL1_SNo,'Facility Master'!A:A,0))*(B26-B25)/DaysInYear,0)</f>
        <v>24.822277397260276</v>
      </c>
      <c r="H26" s="569">
        <f t="shared" si="0"/>
        <v>1040.625</v>
      </c>
      <c r="I26" s="569">
        <f t="shared" si="12"/>
        <v>221.25</v>
      </c>
      <c r="J26" s="569">
        <f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569">
        <f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569">
        <f>IFERROR((I26+(J26-K26)/2)*INDEX('Facility Master'!R:R,MATCH(UBI_RTL2_SNo,'Facility Master'!A:A,0))*(B26-B25)/DaysInYear,0)</f>
        <v>5.0409761643835616</v>
      </c>
      <c r="M26" s="569">
        <f t="shared" si="1"/>
        <v>218.3</v>
      </c>
      <c r="N26" s="569">
        <f t="shared" si="13"/>
        <v>217.375</v>
      </c>
      <c r="O26" s="569">
        <f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569">
        <f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569">
        <f>IFERROR((N26+(O26-P26)/2)*INDEX('Facility Master'!R:R,MATCH(IB_TL_SNo,'Facility Master'!A:A,0))*(B26-B25)/DaysInYear,0)</f>
        <v>5.1154993150684929</v>
      </c>
      <c r="R26" s="569">
        <f t="shared" si="2"/>
        <v>214.4375</v>
      </c>
      <c r="S26" s="570">
        <f t="shared" si="14"/>
        <v>0</v>
      </c>
      <c r="T26" s="570">
        <f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570">
        <f>IFERROR(IF(AND(RBL_TL_Maturity&lt;=B26,RBL_TL_Maturity&gt;B25),INDEX('Facility Master'!K:K,MATCH(RBL_TL_SNo,'Facility Master'!A:A,0)),0),0)</f>
        <v>0</v>
      </c>
      <c r="V26" s="570">
        <f>IFERROR((S26+(T26-U26)/2)*INDEX('Facility Master'!R:R,MATCH(RBL_TL_SNo,'Facility Master'!A:A,0))*(B26-B25)/DaysInYear,0)</f>
        <v>0</v>
      </c>
      <c r="W26" s="570">
        <f t="shared" si="3"/>
        <v>0</v>
      </c>
      <c r="X26" s="569">
        <f t="shared" si="15"/>
        <v>609.375</v>
      </c>
      <c r="Y26" s="569">
        <f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569">
        <f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569">
        <f>IFERROR((X26+(Y26-Z26)/2)*INDEX('Facility Master'!R:R,MATCH(YBL_TL_SNo,'Facility Master'!A:A,0))*(B26-B25)/DaysInYear,0)</f>
        <v>14.570618150684933</v>
      </c>
      <c r="AB26" s="569">
        <f t="shared" si="4"/>
        <v>601.25</v>
      </c>
      <c r="AC26" s="569">
        <f t="shared" si="16"/>
        <v>496.875</v>
      </c>
      <c r="AD26" s="569">
        <f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569">
        <f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569">
        <f>IFERROR((AC26+(AD26-AE26)/2)*INDEX('Facility Master'!R:R,MATCH(IDFC_TL_SNo,'Facility Master'!A:A,0))*(B26-B25)/DaysInYear,0)</f>
        <v>10.947621917808219</v>
      </c>
      <c r="AG26" s="569">
        <f t="shared" si="5"/>
        <v>490.25</v>
      </c>
      <c r="AH26" s="563">
        <f t="shared" si="17"/>
        <v>787.5</v>
      </c>
      <c r="AI26" s="563">
        <f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563">
        <f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563">
        <f>IFERROR((AH26+(AI26-AJ26)/2)*INDEX('Facility Master'!R:R,MATCH(ICICI_TL_SNo,'Facility Master'!A:A,0))*(B26-B25)/DaysInYear,0)</f>
        <v>17.153778082191781</v>
      </c>
      <c r="AL26" s="563">
        <f t="shared" si="6"/>
        <v>777</v>
      </c>
      <c r="AM26" s="571">
        <f t="shared" si="7"/>
        <v>45.2</v>
      </c>
      <c r="AN26" s="571">
        <f t="shared" si="8"/>
        <v>77.650771027397255</v>
      </c>
      <c r="AO26" s="571">
        <f t="shared" si="9"/>
        <v>122.85077102739726</v>
      </c>
      <c r="AP26" s="571">
        <f t="shared" si="10"/>
        <v>3341.8625000000002</v>
      </c>
    </row>
    <row r="27" spans="1:42" ht="15.75" customHeight="1" x14ac:dyDescent="0.3">
      <c r="A27" s="566">
        <v>23</v>
      </c>
      <c r="B27" s="567">
        <v>47118</v>
      </c>
      <c r="C27" s="568" t="s">
        <v>644</v>
      </c>
      <c r="D27" s="569">
        <f t="shared" si="11"/>
        <v>1040.625</v>
      </c>
      <c r="E27" s="569">
        <f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569">
        <f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569">
        <f>IFERROR((D27+(E27-F27)/2)*INDEX('Facility Master'!R:R,MATCH(UBI_RTL1_SNo,'Facility Master'!A:A,0))*(B27-B26)/DaysInYear,0)</f>
        <v>24.489092465753426</v>
      </c>
      <c r="H27" s="569">
        <f t="shared" si="0"/>
        <v>1026.5625</v>
      </c>
      <c r="I27" s="569">
        <f t="shared" si="12"/>
        <v>218.3</v>
      </c>
      <c r="J27" s="569">
        <f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569">
        <f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569">
        <f>IFERROR((I27+(J27-K27)/2)*INDEX('Facility Master'!R:R,MATCH(UBI_RTL2_SNo,'Facility Master'!A:A,0))*(B27-B26)/DaysInYear,0)</f>
        <v>4.9733120547945209</v>
      </c>
      <c r="M27" s="569">
        <f t="shared" si="1"/>
        <v>215.35</v>
      </c>
      <c r="N27" s="569">
        <f t="shared" si="13"/>
        <v>214.4375</v>
      </c>
      <c r="O27" s="569">
        <f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569">
        <f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569">
        <f>IFERROR((N27+(O27-P27)/2)*INDEX('Facility Master'!R:R,MATCH(IB_TL_SNo,'Facility Master'!A:A,0))*(B27-B26)/DaysInYear,0)</f>
        <v>5.0459006849315067</v>
      </c>
      <c r="R27" s="569">
        <f t="shared" si="2"/>
        <v>211.5</v>
      </c>
      <c r="S27" s="570">
        <f t="shared" si="14"/>
        <v>0</v>
      </c>
      <c r="T27" s="570">
        <f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570">
        <f>IFERROR(IF(AND(RBL_TL_Maturity&lt;=B27,RBL_TL_Maturity&gt;B26),INDEX('Facility Master'!K:K,MATCH(RBL_TL_SNo,'Facility Master'!A:A,0)),0),0)</f>
        <v>0</v>
      </c>
      <c r="V27" s="570">
        <f>IFERROR((S27+(T27-U27)/2)*INDEX('Facility Master'!R:R,MATCH(RBL_TL_SNo,'Facility Master'!A:A,0))*(B27-B26)/DaysInYear,0)</f>
        <v>0</v>
      </c>
      <c r="W27" s="570">
        <f t="shared" si="3"/>
        <v>0</v>
      </c>
      <c r="X27" s="569">
        <f t="shared" si="15"/>
        <v>601.25</v>
      </c>
      <c r="Y27" s="569">
        <f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569">
        <f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569">
        <f>IFERROR((X27+(Y27-Z27)/2)*INDEX('Facility Master'!R:R,MATCH(YBL_TL_SNo,'Facility Master'!A:A,0))*(B27-B26)/DaysInYear,0)</f>
        <v>14.375039383561646</v>
      </c>
      <c r="AB27" s="569">
        <f t="shared" si="4"/>
        <v>593.125</v>
      </c>
      <c r="AC27" s="569">
        <f t="shared" si="16"/>
        <v>490.25</v>
      </c>
      <c r="AD27" s="569">
        <f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569">
        <f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569">
        <f>IFERROR((AC27+(AD27-AE27)/2)*INDEX('Facility Master'!R:R,MATCH(IDFC_TL_SNo,'Facility Master'!A:A,0))*(B27-B26)/DaysInYear,0)</f>
        <v>10.800673972602739</v>
      </c>
      <c r="AG27" s="569">
        <f t="shared" si="5"/>
        <v>483.625</v>
      </c>
      <c r="AH27" s="563">
        <f t="shared" si="17"/>
        <v>777</v>
      </c>
      <c r="AI27" s="563">
        <f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563">
        <f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563">
        <f>IFERROR((AH27+(AI27-AJ27)/2)*INDEX('Facility Master'!R:R,MATCH(ICICI_TL_SNo,'Facility Master'!A:A,0))*(B27-B26)/DaysInYear,0)</f>
        <v>16.923526027397262</v>
      </c>
      <c r="AL27" s="563">
        <f t="shared" si="6"/>
        <v>766.5</v>
      </c>
      <c r="AM27" s="571">
        <f t="shared" si="7"/>
        <v>45.2</v>
      </c>
      <c r="AN27" s="571">
        <f t="shared" si="8"/>
        <v>76.607544589041098</v>
      </c>
      <c r="AO27" s="571">
        <f t="shared" si="9"/>
        <v>121.8075445890411</v>
      </c>
      <c r="AP27" s="571">
        <f t="shared" si="10"/>
        <v>3296.6624999999999</v>
      </c>
    </row>
    <row r="28" spans="1:42" ht="15.75" customHeight="1" x14ac:dyDescent="0.3">
      <c r="A28" s="566">
        <v>24</v>
      </c>
      <c r="B28" s="567">
        <v>47208</v>
      </c>
      <c r="C28" s="568" t="s">
        <v>645</v>
      </c>
      <c r="D28" s="569">
        <f t="shared" si="11"/>
        <v>1026.5625</v>
      </c>
      <c r="E28" s="569">
        <f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569">
        <f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569">
        <f>IFERROR((D28+(E28-F28)/2)*INDEX('Facility Master'!R:R,MATCH(UBI_RTL1_SNo,'Facility Master'!A:A,0))*(B28-B27)/DaysInYear,0)</f>
        <v>23.630779109589042</v>
      </c>
      <c r="H28" s="569">
        <f t="shared" si="0"/>
        <v>1012.5</v>
      </c>
      <c r="I28" s="569">
        <f t="shared" si="12"/>
        <v>215.35</v>
      </c>
      <c r="J28" s="569">
        <f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569">
        <f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569">
        <f>IFERROR((I28+(J28-K28)/2)*INDEX('Facility Master'!R:R,MATCH(UBI_RTL2_SNo,'Facility Master'!A:A,0))*(B28-B27)/DaysInYear,0)</f>
        <v>4.7990034246575339</v>
      </c>
      <c r="M28" s="569">
        <f t="shared" si="1"/>
        <v>212.4</v>
      </c>
      <c r="N28" s="569">
        <f t="shared" si="13"/>
        <v>211.5</v>
      </c>
      <c r="O28" s="569">
        <f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569">
        <f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5.2874999999999996</v>
      </c>
      <c r="Q28" s="569">
        <f>IFERROR((N28+(O28-P28)/2)*INDEX('Facility Master'!R:R,MATCH(IB_TL_SNo,'Facility Master'!A:A,0))*(B28-B27)/DaysInYear,0)</f>
        <v>4.8408873287671232</v>
      </c>
      <c r="R28" s="569">
        <f t="shared" si="2"/>
        <v>206.21250000000001</v>
      </c>
      <c r="S28" s="570">
        <f t="shared" si="14"/>
        <v>0</v>
      </c>
      <c r="T28" s="570">
        <f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570">
        <f>IFERROR(IF(AND(RBL_TL_Maturity&lt;=B28,RBL_TL_Maturity&gt;B27),INDEX('Facility Master'!K:K,MATCH(RBL_TL_SNo,'Facility Master'!A:A,0)),0),0)</f>
        <v>0</v>
      </c>
      <c r="V28" s="570">
        <f>IFERROR((S28+(T28-U28)/2)*INDEX('Facility Master'!R:R,MATCH(RBL_TL_SNo,'Facility Master'!A:A,0))*(B28-B27)/DaysInYear,0)</f>
        <v>0</v>
      </c>
      <c r="W28" s="570">
        <f t="shared" si="3"/>
        <v>0</v>
      </c>
      <c r="X28" s="569">
        <f t="shared" si="15"/>
        <v>593.125</v>
      </c>
      <c r="Y28" s="569">
        <f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569">
        <f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569">
        <f>IFERROR((X28+(Y28-Z28)/2)*INDEX('Facility Master'!R:R,MATCH(YBL_TL_SNo,'Facility Master'!A:A,0))*(B28-B27)/DaysInYear,0)</f>
        <v>13.87121147260274</v>
      </c>
      <c r="AB28" s="569">
        <f t="shared" si="4"/>
        <v>585</v>
      </c>
      <c r="AC28" s="569">
        <f t="shared" si="16"/>
        <v>483.625</v>
      </c>
      <c r="AD28" s="569">
        <f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569">
        <f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569">
        <f>IFERROR((AC28+(AD28-AE28)/2)*INDEX('Facility Master'!R:R,MATCH(IDFC_TL_SNo,'Facility Master'!A:A,0))*(B28-B27)/DaysInYear,0)</f>
        <v>10.422123287671232</v>
      </c>
      <c r="AG28" s="569">
        <f t="shared" si="5"/>
        <v>477</v>
      </c>
      <c r="AH28" s="563">
        <f t="shared" si="17"/>
        <v>766.5</v>
      </c>
      <c r="AI28" s="563">
        <f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563">
        <f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563">
        <f>IFERROR((AH28+(AI28-AJ28)/2)*INDEX('Facility Master'!R:R,MATCH(ICICI_TL_SNo,'Facility Master'!A:A,0))*(B28-B27)/DaysInYear,0)</f>
        <v>16.330376712328768</v>
      </c>
      <c r="AL28" s="563">
        <f t="shared" si="6"/>
        <v>756</v>
      </c>
      <c r="AM28" s="571">
        <f t="shared" si="7"/>
        <v>47.55</v>
      </c>
      <c r="AN28" s="571">
        <f t="shared" si="8"/>
        <v>73.894381335616444</v>
      </c>
      <c r="AO28" s="571">
        <f t="shared" si="9"/>
        <v>121.44438133561644</v>
      </c>
      <c r="AP28" s="571">
        <f t="shared" si="10"/>
        <v>3249.1125000000002</v>
      </c>
    </row>
    <row r="29" spans="1:42" ht="15.75" customHeight="1" x14ac:dyDescent="0.3">
      <c r="A29" s="375">
        <v>25</v>
      </c>
      <c r="B29" s="556">
        <v>47299</v>
      </c>
      <c r="C29" s="375" t="s">
        <v>646</v>
      </c>
      <c r="D29" s="379">
        <f t="shared" si="11"/>
        <v>1012.5</v>
      </c>
      <c r="E29" s="379">
        <f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379">
        <f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379">
        <f>IFERROR((D29+(E29-F29)/2)*INDEX('Facility Master'!R:R,MATCH(UBI_RTL1_SNo,'Facility Master'!A:A,0))*(B29-B28)/DaysInYear,0)</f>
        <v>23.431954623287673</v>
      </c>
      <c r="H29" s="379">
        <f t="shared" si="0"/>
        <v>987.1875</v>
      </c>
      <c r="I29" s="379">
        <f t="shared" si="12"/>
        <v>212.4</v>
      </c>
      <c r="J29" s="379">
        <f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379">
        <f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379">
        <f>IFERROR((I29+(J29-K29)/2)*INDEX('Facility Master'!R:R,MATCH(UBI_RTL2_SNo,'Facility Master'!A:A,0))*(B29-B28)/DaysInYear,0)</f>
        <v>4.758625602739726</v>
      </c>
      <c r="M29" s="379">
        <f t="shared" si="1"/>
        <v>207.09</v>
      </c>
      <c r="N29" s="379">
        <f t="shared" si="13"/>
        <v>206.21250000000001</v>
      </c>
      <c r="O29" s="379">
        <f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379">
        <f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5.2874999999999996</v>
      </c>
      <c r="Q29" s="379">
        <f>IFERROR((N29+(O29-P29)/2)*INDEX('Facility Master'!R:R,MATCH(IB_TL_SNo,'Facility Master'!A:A,0))*(B29-B28)/DaysInYear,0)</f>
        <v>4.7707591438356163</v>
      </c>
      <c r="R29" s="379">
        <f t="shared" si="2"/>
        <v>200.92500000000001</v>
      </c>
      <c r="S29" s="557">
        <f t="shared" si="14"/>
        <v>0</v>
      </c>
      <c r="T29" s="557">
        <f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557">
        <f>IFERROR(IF(AND(RBL_TL_Maturity&lt;=B29,RBL_TL_Maturity&gt;B28),INDEX('Facility Master'!K:K,MATCH(RBL_TL_SNo,'Facility Master'!A:A,0)),0),0)</f>
        <v>0</v>
      </c>
      <c r="V29" s="557">
        <f>IFERROR((S29+(T29-U29)/2)*INDEX('Facility Master'!R:R,MATCH(RBL_TL_SNo,'Facility Master'!A:A,0))*(B29-B28)/DaysInYear,0)</f>
        <v>0</v>
      </c>
      <c r="W29" s="557">
        <f t="shared" si="3"/>
        <v>0</v>
      </c>
      <c r="X29" s="379">
        <f t="shared" si="15"/>
        <v>585</v>
      </c>
      <c r="Y29" s="379">
        <f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379">
        <f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379">
        <f>IFERROR((X29+(Y29-Z29)/2)*INDEX('Facility Master'!R:R,MATCH(YBL_TL_SNo,'Facility Master'!A:A,0))*(B29-B28)/DaysInYear,0)</f>
        <v>13.754501969178083</v>
      </c>
      <c r="AB29" s="379">
        <f t="shared" si="4"/>
        <v>570.375</v>
      </c>
      <c r="AC29" s="379">
        <f t="shared" si="16"/>
        <v>477</v>
      </c>
      <c r="AD29" s="379">
        <f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379">
        <f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11.924999999999999</v>
      </c>
      <c r="AF29" s="379">
        <f>IFERROR((AC29+(AD29-AE29)/2)*INDEX('Facility Master'!R:R,MATCH(IDFC_TL_SNo,'Facility Master'!A:A,0))*(B29-B28)/DaysInYear,0)</f>
        <v>10.334433698630136</v>
      </c>
      <c r="AG29" s="379">
        <f t="shared" si="5"/>
        <v>465.07499999999999</v>
      </c>
      <c r="AH29" s="558">
        <f t="shared" si="17"/>
        <v>756</v>
      </c>
      <c r="AI29" s="558">
        <f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558">
        <f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18.899999999999999</v>
      </c>
      <c r="AK29" s="558">
        <f>IFERROR((AH29+(AI29-AJ29)/2)*INDEX('Facility Master'!R:R,MATCH(ICICI_TL_SNo,'Facility Master'!A:A,0))*(B29-B28)/DaysInYear,0)</f>
        <v>16.192976301369864</v>
      </c>
      <c r="AL29" s="558">
        <f t="shared" si="6"/>
        <v>737.1</v>
      </c>
      <c r="AM29" s="379">
        <f t="shared" si="7"/>
        <v>81.359999999999985</v>
      </c>
      <c r="AN29" s="379">
        <f t="shared" si="8"/>
        <v>73.243251339041109</v>
      </c>
      <c r="AO29" s="379">
        <f t="shared" si="9"/>
        <v>154.60325133904109</v>
      </c>
      <c r="AP29" s="379">
        <f t="shared" si="10"/>
        <v>3167.7524999999996</v>
      </c>
    </row>
    <row r="30" spans="1:42" ht="15.75" customHeight="1" x14ac:dyDescent="0.3">
      <c r="A30" s="559">
        <v>26</v>
      </c>
      <c r="B30" s="560">
        <v>47391</v>
      </c>
      <c r="C30" s="559" t="s">
        <v>647</v>
      </c>
      <c r="D30" s="561">
        <f t="shared" si="11"/>
        <v>987.1875</v>
      </c>
      <c r="E30" s="561">
        <f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561">
        <f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561">
        <f>IFERROR((D30+(E30-F30)/2)*INDEX('Facility Master'!R:R,MATCH(UBI_RTL1_SNo,'Facility Master'!A:A,0))*(B30-B29)/DaysInYear,0)</f>
        <v>23.08971575342466</v>
      </c>
      <c r="H30" s="561">
        <f t="shared" si="0"/>
        <v>961.875</v>
      </c>
      <c r="I30" s="561">
        <f t="shared" si="12"/>
        <v>207.09</v>
      </c>
      <c r="J30" s="561">
        <f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561">
        <f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561">
        <f>IFERROR((I30+(J30-K30)/2)*INDEX('Facility Master'!R:R,MATCH(UBI_RTL2_SNo,'Facility Master'!A:A,0))*(B30-B29)/DaysInYear,0)</f>
        <v>4.6891227945205483</v>
      </c>
      <c r="M30" s="561">
        <f t="shared" si="1"/>
        <v>201.78</v>
      </c>
      <c r="N30" s="561">
        <f t="shared" si="13"/>
        <v>200.92500000000001</v>
      </c>
      <c r="O30" s="561">
        <f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561">
        <f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5.2874999999999996</v>
      </c>
      <c r="Q30" s="561">
        <f>IFERROR((N30+(O30-P30)/2)*INDEX('Facility Master'!R:R,MATCH(IB_TL_SNo,'Facility Master'!A:A,0))*(B30-B29)/DaysInYear,0)</f>
        <v>4.6979075342465748</v>
      </c>
      <c r="R30" s="561">
        <f t="shared" si="2"/>
        <v>195.63749999999999</v>
      </c>
      <c r="S30" s="562">
        <f t="shared" si="14"/>
        <v>0</v>
      </c>
      <c r="T30" s="562">
        <f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562">
        <f>IFERROR(IF(AND(RBL_TL_Maturity&lt;=B30,RBL_TL_Maturity&gt;B29),INDEX('Facility Master'!K:K,MATCH(RBL_TL_SNo,'Facility Master'!A:A,0)),0),0)</f>
        <v>0</v>
      </c>
      <c r="V30" s="562">
        <f>IFERROR((S30+(T30-U30)/2)*INDEX('Facility Master'!R:R,MATCH(RBL_TL_SNo,'Facility Master'!A:A,0))*(B30-B29)/DaysInYear,0)</f>
        <v>0</v>
      </c>
      <c r="W30" s="562">
        <f t="shared" si="3"/>
        <v>0</v>
      </c>
      <c r="X30" s="561">
        <f t="shared" si="15"/>
        <v>570.375</v>
      </c>
      <c r="Y30" s="561">
        <f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561">
        <f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561">
        <f>IFERROR((X30+(Y30-Z30)/2)*INDEX('Facility Master'!R:R,MATCH(YBL_TL_SNo,'Facility Master'!A:A,0))*(B30-B29)/DaysInYear,0)</f>
        <v>13.553608561643838</v>
      </c>
      <c r="AB30" s="561">
        <f t="shared" si="4"/>
        <v>555.75</v>
      </c>
      <c r="AC30" s="561">
        <f t="shared" si="16"/>
        <v>465.07499999999999</v>
      </c>
      <c r="AD30" s="561">
        <f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561">
        <f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11.924999999999999</v>
      </c>
      <c r="AF30" s="561">
        <f>IFERROR((AC30+(AD30-AE30)/2)*INDEX('Facility Master'!R:R,MATCH(IDFC_TL_SNo,'Facility Master'!A:A,0))*(B30-B29)/DaysInYear,0)</f>
        <v>10.183492602739726</v>
      </c>
      <c r="AG30" s="561">
        <f t="shared" si="5"/>
        <v>453.15</v>
      </c>
      <c r="AH30" s="563">
        <f t="shared" si="17"/>
        <v>737.1</v>
      </c>
      <c r="AI30" s="563">
        <f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563">
        <f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18.899999999999999</v>
      </c>
      <c r="AK30" s="563">
        <f>IFERROR((AH30+(AI30-AJ30)/2)*INDEX('Facility Master'!R:R,MATCH(ICICI_TL_SNo,'Facility Master'!A:A,0))*(B30-B29)/DaysInYear,0)</f>
        <v>15.956467397260274</v>
      </c>
      <c r="AL30" s="563">
        <f t="shared" si="6"/>
        <v>718.2</v>
      </c>
      <c r="AM30" s="561">
        <f t="shared" si="7"/>
        <v>81.359999999999985</v>
      </c>
      <c r="AN30" s="561">
        <f t="shared" si="8"/>
        <v>72.170314643835624</v>
      </c>
      <c r="AO30" s="561">
        <f t="shared" si="9"/>
        <v>153.5303146438356</v>
      </c>
      <c r="AP30" s="561">
        <f t="shared" si="10"/>
        <v>3086.3924999999999</v>
      </c>
    </row>
    <row r="31" spans="1:42" ht="15.75" customHeight="1" x14ac:dyDescent="0.3">
      <c r="A31" s="375">
        <v>27</v>
      </c>
      <c r="B31" s="556">
        <v>47483</v>
      </c>
      <c r="C31" s="375" t="s">
        <v>648</v>
      </c>
      <c r="D31" s="379">
        <f t="shared" si="11"/>
        <v>961.875</v>
      </c>
      <c r="E31" s="379">
        <f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379">
        <f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379">
        <f>IFERROR((D31+(E31-F31)/2)*INDEX('Facility Master'!R:R,MATCH(UBI_RTL1_SNo,'Facility Master'!A:A,0))*(B31-B30)/DaysInYear,0)</f>
        <v>22.489982876712329</v>
      </c>
      <c r="H31" s="379">
        <f t="shared" si="0"/>
        <v>936.5625</v>
      </c>
      <c r="I31" s="379">
        <f t="shared" si="12"/>
        <v>201.78</v>
      </c>
      <c r="J31" s="379">
        <f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379">
        <f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379">
        <f>IFERROR((I31+(J31-K31)/2)*INDEX('Facility Master'!R:R,MATCH(UBI_RTL2_SNo,'Facility Master'!A:A,0))*(B31-B30)/DaysInYear,0)</f>
        <v>4.5673273972602741</v>
      </c>
      <c r="M31" s="379">
        <f t="shared" si="1"/>
        <v>196.47</v>
      </c>
      <c r="N31" s="379">
        <f t="shared" si="13"/>
        <v>195.63749999999999</v>
      </c>
      <c r="O31" s="379">
        <f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379">
        <f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5.2874999999999996</v>
      </c>
      <c r="Q31" s="379">
        <f>IFERROR((N31+(O31-P31)/2)*INDEX('Facility Master'!R:R,MATCH(IB_TL_SNo,'Facility Master'!A:A,0))*(B31-B30)/DaysInYear,0)</f>
        <v>4.5726299999999993</v>
      </c>
      <c r="R31" s="379">
        <f t="shared" si="2"/>
        <v>190.35</v>
      </c>
      <c r="S31" s="557">
        <f t="shared" si="14"/>
        <v>0</v>
      </c>
      <c r="T31" s="557">
        <f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557">
        <f>IFERROR(IF(AND(RBL_TL_Maturity&lt;=B31,RBL_TL_Maturity&gt;B30),INDEX('Facility Master'!K:K,MATCH(RBL_TL_SNo,'Facility Master'!A:A,0)),0),0)</f>
        <v>0</v>
      </c>
      <c r="V31" s="557">
        <f>IFERROR((S31+(T31-U31)/2)*INDEX('Facility Master'!R:R,MATCH(RBL_TL_SNo,'Facility Master'!A:A,0))*(B31-B30)/DaysInYear,0)</f>
        <v>0</v>
      </c>
      <c r="W31" s="557">
        <f t="shared" si="3"/>
        <v>0</v>
      </c>
      <c r="X31" s="379">
        <f t="shared" si="15"/>
        <v>555.75</v>
      </c>
      <c r="Y31" s="379">
        <f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379">
        <f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379">
        <f>IFERROR((X31+(Y31-Z31)/2)*INDEX('Facility Master'!R:R,MATCH(YBL_TL_SNo,'Facility Master'!A:A,0))*(B31-B30)/DaysInYear,0)</f>
        <v>13.201566780821919</v>
      </c>
      <c r="AB31" s="379">
        <f t="shared" si="4"/>
        <v>541.125</v>
      </c>
      <c r="AC31" s="379">
        <f t="shared" si="16"/>
        <v>453.15</v>
      </c>
      <c r="AD31" s="379">
        <f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379">
        <f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11.924999999999999</v>
      </c>
      <c r="AF31" s="379">
        <f>IFERROR((AC31+(AD31-AE31)/2)*INDEX('Facility Master'!R:R,MATCH(IDFC_TL_SNo,'Facility Master'!A:A,0))*(B31-B30)/DaysInYear,0)</f>
        <v>9.9189863013698627</v>
      </c>
      <c r="AG31" s="379">
        <f t="shared" si="5"/>
        <v>441.22500000000002</v>
      </c>
      <c r="AH31" s="558">
        <f t="shared" si="17"/>
        <v>718.2</v>
      </c>
      <c r="AI31" s="558">
        <f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558">
        <f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18.899999999999999</v>
      </c>
      <c r="AK31" s="558">
        <f>IFERROR((AH31+(AI31-AJ31)/2)*INDEX('Facility Master'!R:R,MATCH(ICICI_TL_SNo,'Facility Master'!A:A,0))*(B31-B30)/DaysInYear,0)</f>
        <v>15.542013698630138</v>
      </c>
      <c r="AL31" s="558">
        <f t="shared" si="6"/>
        <v>699.3</v>
      </c>
      <c r="AM31" s="379">
        <f t="shared" si="7"/>
        <v>81.359999999999985</v>
      </c>
      <c r="AN31" s="379">
        <f t="shared" si="8"/>
        <v>70.292507054794527</v>
      </c>
      <c r="AO31" s="379">
        <f t="shared" si="9"/>
        <v>151.65250705479451</v>
      </c>
      <c r="AP31" s="379">
        <f t="shared" si="10"/>
        <v>3005.0325000000003</v>
      </c>
    </row>
    <row r="32" spans="1:42" ht="15.75" customHeight="1" x14ac:dyDescent="0.3">
      <c r="A32" s="559">
        <v>28</v>
      </c>
      <c r="B32" s="560">
        <v>47573</v>
      </c>
      <c r="C32" s="559" t="s">
        <v>649</v>
      </c>
      <c r="D32" s="561">
        <f t="shared" si="11"/>
        <v>936.5625</v>
      </c>
      <c r="E32" s="561">
        <f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561">
        <f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561">
        <f>IFERROR((D32+(E32-F32)/2)*INDEX('Facility Master'!R:R,MATCH(UBI_RTL1_SNo,'Facility Master'!A:A,0))*(B32-B31)/DaysInYear,0)</f>
        <v>21.414375000000003</v>
      </c>
      <c r="H32" s="561">
        <f t="shared" si="0"/>
        <v>911.25</v>
      </c>
      <c r="I32" s="561">
        <f t="shared" si="12"/>
        <v>196.47</v>
      </c>
      <c r="J32" s="561">
        <f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561">
        <f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561">
        <f>IFERROR((I32+(J32-K32)/2)*INDEX('Facility Master'!R:R,MATCH(UBI_RTL2_SNo,'Facility Master'!A:A,0))*(B32-B31)/DaysInYear,0)</f>
        <v>4.3488899999999999</v>
      </c>
      <c r="M32" s="561">
        <f t="shared" si="1"/>
        <v>191.16</v>
      </c>
      <c r="N32" s="561">
        <f t="shared" si="13"/>
        <v>190.35</v>
      </c>
      <c r="O32" s="561">
        <f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561">
        <f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5.2874999999999996</v>
      </c>
      <c r="Q32" s="561">
        <f>IFERROR((N32+(O32-P32)/2)*INDEX('Facility Master'!R:R,MATCH(IB_TL_SNo,'Facility Master'!A:A,0))*(B32-B31)/DaysInYear,0)</f>
        <v>4.3506708904109583</v>
      </c>
      <c r="R32" s="561">
        <f t="shared" si="2"/>
        <v>185.0625</v>
      </c>
      <c r="S32" s="562">
        <f t="shared" si="14"/>
        <v>0</v>
      </c>
      <c r="T32" s="562">
        <f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562">
        <f>IFERROR(IF(AND(RBL_TL_Maturity&lt;=B32,RBL_TL_Maturity&gt;B31),INDEX('Facility Master'!K:K,MATCH(RBL_TL_SNo,'Facility Master'!A:A,0)),0),0)</f>
        <v>0</v>
      </c>
      <c r="V32" s="562">
        <f>IFERROR((S32+(T32-U32)/2)*INDEX('Facility Master'!R:R,MATCH(RBL_TL_SNo,'Facility Master'!A:A,0))*(B32-B31)/DaysInYear,0)</f>
        <v>0</v>
      </c>
      <c r="W32" s="562">
        <f t="shared" si="3"/>
        <v>0</v>
      </c>
      <c r="X32" s="561">
        <f t="shared" si="15"/>
        <v>541.125</v>
      </c>
      <c r="Y32" s="561">
        <f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561">
        <f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561">
        <f>IFERROR((X32+(Y32-Z32)/2)*INDEX('Facility Master'!R:R,MATCH(YBL_TL_SNo,'Facility Master'!A:A,0))*(B32-B31)/DaysInYear,0)</f>
        <v>12.570187500000001</v>
      </c>
      <c r="AB32" s="561">
        <f t="shared" si="4"/>
        <v>526.5</v>
      </c>
      <c r="AC32" s="561">
        <f t="shared" si="16"/>
        <v>441.22500000000002</v>
      </c>
      <c r="AD32" s="561">
        <f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561">
        <f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11.924999999999999</v>
      </c>
      <c r="AF32" s="561">
        <f>IFERROR((AC32+(AD32-AE32)/2)*INDEX('Facility Master'!R:R,MATCH(IDFC_TL_SNo,'Facility Master'!A:A,0))*(B32-B31)/DaysInYear,0)</f>
        <v>9.4445999999999994</v>
      </c>
      <c r="AG32" s="561">
        <f t="shared" si="5"/>
        <v>429.3</v>
      </c>
      <c r="AH32" s="563">
        <f t="shared" si="17"/>
        <v>699.3</v>
      </c>
      <c r="AI32" s="563">
        <f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563">
        <f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18.899999999999999</v>
      </c>
      <c r="AK32" s="563">
        <f>IFERROR((AH32+(AI32-AJ32)/2)*INDEX('Facility Master'!R:R,MATCH(ICICI_TL_SNo,'Facility Master'!A:A,0))*(B32-B31)/DaysInYear,0)</f>
        <v>14.798699999999998</v>
      </c>
      <c r="AL32" s="563">
        <f t="shared" si="6"/>
        <v>680.4</v>
      </c>
      <c r="AM32" s="561">
        <f t="shared" si="7"/>
        <v>81.359999999999985</v>
      </c>
      <c r="AN32" s="561">
        <f t="shared" si="8"/>
        <v>66.927423390410965</v>
      </c>
      <c r="AO32" s="561">
        <f t="shared" si="9"/>
        <v>148.28742339041094</v>
      </c>
      <c r="AP32" s="561">
        <f t="shared" si="10"/>
        <v>2923.6725000000001</v>
      </c>
    </row>
    <row r="33" spans="1:42" ht="15.75" customHeight="1" x14ac:dyDescent="0.3">
      <c r="A33" s="375">
        <v>29</v>
      </c>
      <c r="B33" s="556">
        <v>47664</v>
      </c>
      <c r="C33" s="375" t="s">
        <v>650</v>
      </c>
      <c r="D33" s="379">
        <f t="shared" si="11"/>
        <v>911.25</v>
      </c>
      <c r="E33" s="379">
        <f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379">
        <f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379">
        <f>IFERROR((D33+(E33-F33)/2)*INDEX('Facility Master'!R:R,MATCH(UBI_RTL1_SNo,'Facility Master'!A:A,0))*(B33-B32)/DaysInYear,0)</f>
        <v>21.05909845890411</v>
      </c>
      <c r="H33" s="379">
        <f t="shared" si="0"/>
        <v>885.9375</v>
      </c>
      <c r="I33" s="379">
        <f t="shared" si="12"/>
        <v>191.16</v>
      </c>
      <c r="J33" s="379">
        <f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379">
        <f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379">
        <f>IFERROR((I33+(J33-K33)/2)*INDEX('Facility Master'!R:R,MATCH(UBI_RTL2_SNo,'Facility Master'!A:A,0))*(B33-B32)/DaysInYear,0)</f>
        <v>4.2767394657534243</v>
      </c>
      <c r="M33" s="379">
        <f t="shared" si="1"/>
        <v>185.85</v>
      </c>
      <c r="N33" s="379">
        <f t="shared" si="13"/>
        <v>185.0625</v>
      </c>
      <c r="O33" s="379">
        <f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379">
        <f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5.2874999999999996</v>
      </c>
      <c r="Q33" s="379">
        <f>IFERROR((N33+(O33-P33)/2)*INDEX('Facility Master'!R:R,MATCH(IB_TL_SNo,'Facility Master'!A:A,0))*(B33-B32)/DaysInYear,0)</f>
        <v>4.2750958561643833</v>
      </c>
      <c r="R33" s="379">
        <f t="shared" si="2"/>
        <v>179.77500000000001</v>
      </c>
      <c r="S33" s="557">
        <f t="shared" si="14"/>
        <v>0</v>
      </c>
      <c r="T33" s="557">
        <f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557">
        <f>IFERROR(IF(AND(RBL_TL_Maturity&lt;=B33,RBL_TL_Maturity&gt;B32),INDEX('Facility Master'!K:K,MATCH(RBL_TL_SNo,'Facility Master'!A:A,0)),0),0)</f>
        <v>0</v>
      </c>
      <c r="V33" s="557">
        <f>IFERROR((S33+(T33-U33)/2)*INDEX('Facility Master'!R:R,MATCH(RBL_TL_SNo,'Facility Master'!A:A,0))*(B33-B32)/DaysInYear,0)</f>
        <v>0</v>
      </c>
      <c r="W33" s="557">
        <f t="shared" si="3"/>
        <v>0</v>
      </c>
      <c r="X33" s="379">
        <f t="shared" si="15"/>
        <v>526.5</v>
      </c>
      <c r="Y33" s="379">
        <f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379">
        <f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379">
        <f>IFERROR((X33+(Y33-Z33)/2)*INDEX('Facility Master'!R:R,MATCH(YBL_TL_SNo,'Facility Master'!A:A,0))*(B33-B32)/DaysInYear,0)</f>
        <v>12.361641010273972</v>
      </c>
      <c r="AB33" s="379">
        <f t="shared" si="4"/>
        <v>511.875</v>
      </c>
      <c r="AC33" s="379">
        <f t="shared" si="16"/>
        <v>429.3</v>
      </c>
      <c r="AD33" s="379">
        <f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379">
        <f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11.924999999999999</v>
      </c>
      <c r="AF33" s="379">
        <f>IFERROR((AC33+(AD33-AE33)/2)*INDEX('Facility Master'!R:R,MATCH(IDFC_TL_SNo,'Facility Master'!A:A,0))*(B33-B32)/DaysInYear,0)</f>
        <v>9.2879087671232892</v>
      </c>
      <c r="AG33" s="379">
        <f t="shared" si="5"/>
        <v>417.375</v>
      </c>
      <c r="AH33" s="558">
        <f t="shared" si="17"/>
        <v>680.4</v>
      </c>
      <c r="AI33" s="558">
        <f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558">
        <f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18.899999999999999</v>
      </c>
      <c r="AK33" s="558">
        <f>IFERROR((AH33+(AI33-AJ33)/2)*INDEX('Facility Master'!R:R,MATCH(ICICI_TL_SNo,'Facility Master'!A:A,0))*(B33-B32)/DaysInYear,0)</f>
        <v>14.553181232876712</v>
      </c>
      <c r="AL33" s="558">
        <f t="shared" si="6"/>
        <v>661.5</v>
      </c>
      <c r="AM33" s="379">
        <f t="shared" si="7"/>
        <v>81.359999999999985</v>
      </c>
      <c r="AN33" s="379">
        <f t="shared" si="8"/>
        <v>65.813664791095889</v>
      </c>
      <c r="AO33" s="379">
        <f t="shared" si="9"/>
        <v>147.17366479109586</v>
      </c>
      <c r="AP33" s="379">
        <f t="shared" si="10"/>
        <v>2842.3125</v>
      </c>
    </row>
    <row r="34" spans="1:42" ht="15.75" customHeight="1" x14ac:dyDescent="0.3">
      <c r="A34" s="559">
        <v>30</v>
      </c>
      <c r="B34" s="560">
        <v>47756</v>
      </c>
      <c r="C34" s="559" t="s">
        <v>651</v>
      </c>
      <c r="D34" s="561">
        <f t="shared" si="11"/>
        <v>885.9375</v>
      </c>
      <c r="E34" s="561">
        <f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561">
        <f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561">
        <f>IFERROR((D34+(E34-F34)/2)*INDEX('Facility Master'!R:R,MATCH(UBI_RTL1_SNo,'Facility Master'!A:A,0))*(B34-B33)/DaysInYear,0)</f>
        <v>20.69078424657534</v>
      </c>
      <c r="H34" s="561">
        <f t="shared" si="0"/>
        <v>860.625</v>
      </c>
      <c r="I34" s="561">
        <f t="shared" si="12"/>
        <v>185.85</v>
      </c>
      <c r="J34" s="561">
        <f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561">
        <f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561">
        <f>IFERROR((I34+(J34-K34)/2)*INDEX('Facility Master'!R:R,MATCH(UBI_RTL2_SNo,'Facility Master'!A:A,0))*(B34-B33)/DaysInYear,0)</f>
        <v>4.2019412054794527</v>
      </c>
      <c r="M34" s="561">
        <f t="shared" si="1"/>
        <v>180.54</v>
      </c>
      <c r="N34" s="561">
        <f t="shared" si="13"/>
        <v>179.77500000000001</v>
      </c>
      <c r="O34" s="561">
        <f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561">
        <f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5.2874999999999996</v>
      </c>
      <c r="Q34" s="561">
        <f>IFERROR((N34+(O34-P34)/2)*INDEX('Facility Master'!R:R,MATCH(IB_TL_SNo,'Facility Master'!A:A,0))*(B34-B33)/DaysInYear,0)</f>
        <v>4.1967973972602737</v>
      </c>
      <c r="R34" s="561">
        <f t="shared" si="2"/>
        <v>174.48750000000001</v>
      </c>
      <c r="S34" s="562">
        <f t="shared" si="14"/>
        <v>0</v>
      </c>
      <c r="T34" s="562">
        <f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562">
        <f>IFERROR(IF(AND(RBL_TL_Maturity&lt;=B34,RBL_TL_Maturity&gt;B33),INDEX('Facility Master'!K:K,MATCH(RBL_TL_SNo,'Facility Master'!A:A,0)),0),0)</f>
        <v>0</v>
      </c>
      <c r="V34" s="562">
        <f>IFERROR((S34+(T34-U34)/2)*INDEX('Facility Master'!R:R,MATCH(RBL_TL_SNo,'Facility Master'!A:A,0))*(B34-B33)/DaysInYear,0)</f>
        <v>0</v>
      </c>
      <c r="W34" s="562">
        <f t="shared" si="3"/>
        <v>0</v>
      </c>
      <c r="X34" s="561">
        <f t="shared" si="15"/>
        <v>511.875</v>
      </c>
      <c r="Y34" s="561">
        <f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561">
        <f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561">
        <f>IFERROR((X34+(Y34-Z34)/2)*INDEX('Facility Master'!R:R,MATCH(YBL_TL_SNo,'Facility Master'!A:A,0))*(B34-B33)/DaysInYear,0)</f>
        <v>12.145441438356164</v>
      </c>
      <c r="AB34" s="561">
        <f t="shared" si="4"/>
        <v>497.25</v>
      </c>
      <c r="AC34" s="561">
        <f t="shared" si="16"/>
        <v>417.375</v>
      </c>
      <c r="AD34" s="561">
        <f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561">
        <f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11.924999999999999</v>
      </c>
      <c r="AF34" s="561">
        <f>IFERROR((AC34+(AD34-AE34)/2)*INDEX('Facility Master'!R:R,MATCH(IDFC_TL_SNo,'Facility Master'!A:A,0))*(B34-B33)/DaysInYear,0)</f>
        <v>9.1254673972602731</v>
      </c>
      <c r="AG34" s="561">
        <f t="shared" si="5"/>
        <v>405.45</v>
      </c>
      <c r="AH34" s="563">
        <f t="shared" si="17"/>
        <v>661.5</v>
      </c>
      <c r="AI34" s="563">
        <f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563">
        <f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18.899999999999999</v>
      </c>
      <c r="AK34" s="563">
        <f>IFERROR((AH34+(AI34-AJ34)/2)*INDEX('Facility Master'!R:R,MATCH(ICICI_TL_SNo,'Facility Master'!A:A,0))*(B34-B33)/DaysInYear,0)</f>
        <v>14.298652602739727</v>
      </c>
      <c r="AL34" s="563">
        <f t="shared" si="6"/>
        <v>642.6</v>
      </c>
      <c r="AM34" s="561">
        <f t="shared" si="7"/>
        <v>81.359999999999985</v>
      </c>
      <c r="AN34" s="561">
        <f t="shared" si="8"/>
        <v>64.659084287671234</v>
      </c>
      <c r="AO34" s="561">
        <f t="shared" si="9"/>
        <v>146.01908428767121</v>
      </c>
      <c r="AP34" s="561">
        <f t="shared" si="10"/>
        <v>2760.9524999999999</v>
      </c>
    </row>
    <row r="35" spans="1:42" ht="15.75" customHeight="1" x14ac:dyDescent="0.3">
      <c r="A35" s="375">
        <v>31</v>
      </c>
      <c r="B35" s="556">
        <v>47848</v>
      </c>
      <c r="C35" s="375" t="s">
        <v>652</v>
      </c>
      <c r="D35" s="379">
        <f t="shared" si="11"/>
        <v>860.625</v>
      </c>
      <c r="E35" s="379">
        <f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379">
        <f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379">
        <f>IFERROR((D35+(E35-F35)/2)*INDEX('Facility Master'!R:R,MATCH(UBI_RTL1_SNo,'Facility Master'!A:A,0))*(B35-B34)/DaysInYear,0)</f>
        <v>20.091051369863013</v>
      </c>
      <c r="H35" s="379">
        <f t="shared" si="0"/>
        <v>835.3125</v>
      </c>
      <c r="I35" s="379">
        <f t="shared" si="12"/>
        <v>180.54</v>
      </c>
      <c r="J35" s="379">
        <f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379">
        <f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379">
        <f>IFERROR((I35+(J35-K35)/2)*INDEX('Facility Master'!R:R,MATCH(UBI_RTL2_SNo,'Facility Master'!A:A,0))*(B35-B34)/DaysInYear,0)</f>
        <v>4.0801458082191786</v>
      </c>
      <c r="M35" s="379">
        <f t="shared" si="1"/>
        <v>175.23</v>
      </c>
      <c r="N35" s="379">
        <f t="shared" si="13"/>
        <v>174.48750000000001</v>
      </c>
      <c r="O35" s="379">
        <f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379">
        <f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5.2874999999999996</v>
      </c>
      <c r="Q35" s="379">
        <f>IFERROR((N35+(O35-P35)/2)*INDEX('Facility Master'!R:R,MATCH(IB_TL_SNo,'Facility Master'!A:A,0))*(B35-B34)/DaysInYear,0)</f>
        <v>4.0715198630136982</v>
      </c>
      <c r="R35" s="379">
        <f t="shared" si="2"/>
        <v>169.2</v>
      </c>
      <c r="S35" s="557">
        <f t="shared" si="14"/>
        <v>0</v>
      </c>
      <c r="T35" s="557">
        <f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557">
        <f>IFERROR(IF(AND(RBL_TL_Maturity&lt;=B35,RBL_TL_Maturity&gt;B34),INDEX('Facility Master'!K:K,MATCH(RBL_TL_SNo,'Facility Master'!A:A,0)),0),0)</f>
        <v>0</v>
      </c>
      <c r="V35" s="557">
        <f>IFERROR((S35+(T35-U35)/2)*INDEX('Facility Master'!R:R,MATCH(RBL_TL_SNo,'Facility Master'!A:A,0))*(B35-B34)/DaysInYear,0)</f>
        <v>0</v>
      </c>
      <c r="W35" s="557">
        <f t="shared" si="3"/>
        <v>0</v>
      </c>
      <c r="X35" s="379">
        <f t="shared" si="15"/>
        <v>497.25</v>
      </c>
      <c r="Y35" s="379">
        <f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379">
        <f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379">
        <f>IFERROR((X35+(Y35-Z35)/2)*INDEX('Facility Master'!R:R,MATCH(YBL_TL_SNo,'Facility Master'!A:A,0))*(B35-B34)/DaysInYear,0)</f>
        <v>11.793399657534247</v>
      </c>
      <c r="AB35" s="379">
        <f t="shared" si="4"/>
        <v>482.625</v>
      </c>
      <c r="AC35" s="379">
        <f t="shared" si="16"/>
        <v>405.45</v>
      </c>
      <c r="AD35" s="379">
        <f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379">
        <f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11.924999999999999</v>
      </c>
      <c r="AF35" s="379">
        <f>IFERROR((AC35+(AD35-AE35)/2)*INDEX('Facility Master'!R:R,MATCH(IDFC_TL_SNo,'Facility Master'!A:A,0))*(B35-B34)/DaysInYear,0)</f>
        <v>8.8609610958904099</v>
      </c>
      <c r="AG35" s="379">
        <f t="shared" si="5"/>
        <v>393.52499999999998</v>
      </c>
      <c r="AH35" s="558">
        <f t="shared" si="17"/>
        <v>642.6</v>
      </c>
      <c r="AI35" s="558">
        <f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558">
        <f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18.899999999999999</v>
      </c>
      <c r="AK35" s="558">
        <f>IFERROR((AH35+(AI35-AJ35)/2)*INDEX('Facility Master'!R:R,MATCH(ICICI_TL_SNo,'Facility Master'!A:A,0))*(B35-B34)/DaysInYear,0)</f>
        <v>13.88419890410959</v>
      </c>
      <c r="AL35" s="558">
        <f t="shared" si="6"/>
        <v>623.70000000000005</v>
      </c>
      <c r="AM35" s="379">
        <f t="shared" si="7"/>
        <v>81.359999999999985</v>
      </c>
      <c r="AN35" s="379">
        <f t="shared" si="8"/>
        <v>62.781276698630137</v>
      </c>
      <c r="AO35" s="379">
        <f t="shared" si="9"/>
        <v>144.14127669863012</v>
      </c>
      <c r="AP35" s="379">
        <f t="shared" si="10"/>
        <v>2679.5924999999997</v>
      </c>
    </row>
    <row r="36" spans="1:42" ht="15.75" customHeight="1" x14ac:dyDescent="0.3">
      <c r="A36" s="559">
        <v>32</v>
      </c>
      <c r="B36" s="560">
        <v>47938</v>
      </c>
      <c r="C36" s="559" t="s">
        <v>653</v>
      </c>
      <c r="D36" s="561">
        <f t="shared" si="11"/>
        <v>835.3125</v>
      </c>
      <c r="E36" s="561">
        <f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561">
        <f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561">
        <f>IFERROR((D36+(E36-F36)/2)*INDEX('Facility Master'!R:R,MATCH(UBI_RTL1_SNo,'Facility Master'!A:A,0))*(B36-B35)/DaysInYear,0)</f>
        <v>19.067594178082196</v>
      </c>
      <c r="H36" s="561">
        <f t="shared" si="0"/>
        <v>810</v>
      </c>
      <c r="I36" s="561">
        <f t="shared" si="12"/>
        <v>175.23</v>
      </c>
      <c r="J36" s="561">
        <f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561">
        <f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561">
        <f>IFERROR((I36+(J36-K36)/2)*INDEX('Facility Master'!R:R,MATCH(UBI_RTL2_SNo,'Facility Master'!A:A,0))*(B36-B35)/DaysInYear,0)</f>
        <v>3.872299315068493</v>
      </c>
      <c r="M36" s="561">
        <f t="shared" si="1"/>
        <v>169.92</v>
      </c>
      <c r="N36" s="561">
        <f t="shared" si="13"/>
        <v>169.2</v>
      </c>
      <c r="O36" s="561">
        <f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561">
        <f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5.2874999999999996</v>
      </c>
      <c r="Q36" s="561">
        <f>IFERROR((N36+(O36-P36)/2)*INDEX('Facility Master'!R:R,MATCH(IB_TL_SNo,'Facility Master'!A:A,0))*(B36-B35)/DaysInYear,0)</f>
        <v>3.8604544520547939</v>
      </c>
      <c r="R36" s="561">
        <f t="shared" si="2"/>
        <v>163.91249999999999</v>
      </c>
      <c r="S36" s="562">
        <f t="shared" si="14"/>
        <v>0</v>
      </c>
      <c r="T36" s="562">
        <f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562">
        <f>IFERROR(IF(AND(RBL_TL_Maturity&lt;=B36,RBL_TL_Maturity&gt;B35),INDEX('Facility Master'!K:K,MATCH(RBL_TL_SNo,'Facility Master'!A:A,0)),0),0)</f>
        <v>0</v>
      </c>
      <c r="V36" s="562">
        <f>IFERROR((S36+(T36-U36)/2)*INDEX('Facility Master'!R:R,MATCH(RBL_TL_SNo,'Facility Master'!A:A,0))*(B36-B35)/DaysInYear,0)</f>
        <v>0</v>
      </c>
      <c r="W36" s="562">
        <f t="shared" si="3"/>
        <v>0</v>
      </c>
      <c r="X36" s="561">
        <f t="shared" si="15"/>
        <v>482.625</v>
      </c>
      <c r="Y36" s="561">
        <f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561">
        <f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561">
        <f>IFERROR((X36+(Y36-Z36)/2)*INDEX('Facility Master'!R:R,MATCH(YBL_TL_SNo,'Facility Master'!A:A,0))*(B36-B35)/DaysInYear,0)</f>
        <v>11.192632705479452</v>
      </c>
      <c r="AB36" s="561">
        <f t="shared" si="4"/>
        <v>468</v>
      </c>
      <c r="AC36" s="561">
        <f t="shared" si="16"/>
        <v>393.52499999999998</v>
      </c>
      <c r="AD36" s="561">
        <f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561">
        <f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11.924999999999999</v>
      </c>
      <c r="AF36" s="561">
        <f>IFERROR((AC36+(AD36-AE36)/2)*INDEX('Facility Master'!R:R,MATCH(IDFC_TL_SNo,'Facility Master'!A:A,0))*(B36-B35)/DaysInYear,0)</f>
        <v>8.4095753424657538</v>
      </c>
      <c r="AG36" s="561">
        <f t="shared" si="5"/>
        <v>381.6</v>
      </c>
      <c r="AH36" s="563">
        <f t="shared" si="17"/>
        <v>623.70000000000005</v>
      </c>
      <c r="AI36" s="563">
        <f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563">
        <f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18.899999999999999</v>
      </c>
      <c r="AK36" s="563">
        <f>IFERROR((AH36+(AI36-AJ36)/2)*INDEX('Facility Master'!R:R,MATCH(ICICI_TL_SNo,'Facility Master'!A:A,0))*(B36-B35)/DaysInYear,0)</f>
        <v>13.176924657534247</v>
      </c>
      <c r="AL36" s="563">
        <f t="shared" si="6"/>
        <v>604.79999999999995</v>
      </c>
      <c r="AM36" s="561">
        <f t="shared" si="7"/>
        <v>81.359999999999985</v>
      </c>
      <c r="AN36" s="561">
        <f t="shared" si="8"/>
        <v>59.579480650684928</v>
      </c>
      <c r="AO36" s="561">
        <f t="shared" si="9"/>
        <v>140.93948065068491</v>
      </c>
      <c r="AP36" s="561">
        <f t="shared" si="10"/>
        <v>2598.2325000000001</v>
      </c>
    </row>
    <row r="37" spans="1:42" ht="15.75" customHeight="1" x14ac:dyDescent="0.3">
      <c r="A37" s="375">
        <v>33</v>
      </c>
      <c r="B37" s="556">
        <v>48029</v>
      </c>
      <c r="C37" s="375" t="s">
        <v>654</v>
      </c>
      <c r="D37" s="379">
        <f t="shared" si="11"/>
        <v>810</v>
      </c>
      <c r="E37" s="379">
        <f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379">
        <f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379">
        <f>IFERROR((D37+(E37-F37)/2)*INDEX('Facility Master'!R:R,MATCH(UBI_RTL1_SNo,'Facility Master'!A:A,0))*(B37-B36)/DaysInYear,0)</f>
        <v>18.686242294520547</v>
      </c>
      <c r="H37" s="379">
        <f t="shared" ref="H37:H68" si="18">IFERROR(ROUND(MAX(D37+E37-F37,0),6),0)</f>
        <v>784.6875</v>
      </c>
      <c r="I37" s="379">
        <f t="shared" si="12"/>
        <v>169.92</v>
      </c>
      <c r="J37" s="379">
        <f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379">
        <f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379">
        <f>IFERROR((I37+(J37-K37)/2)*INDEX('Facility Master'!R:R,MATCH(UBI_RTL2_SNo,'Facility Master'!A:A,0))*(B37-B36)/DaysInYear,0)</f>
        <v>3.7948533287671227</v>
      </c>
      <c r="M37" s="379">
        <f t="shared" ref="M37:M68" si="19">IFERROR(ROUND(MAX(I37+J37-K37,0),6),0)</f>
        <v>164.61</v>
      </c>
      <c r="N37" s="379">
        <f t="shared" si="13"/>
        <v>163.91249999999999</v>
      </c>
      <c r="O37" s="379">
        <f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379">
        <f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5.2874999999999996</v>
      </c>
      <c r="Q37" s="379">
        <f>IFERROR((N37+(O37-P37)/2)*INDEX('Facility Master'!R:R,MATCH(IB_TL_SNo,'Facility Master'!A:A,0))*(B37-B36)/DaysInYear,0)</f>
        <v>3.7794325684931502</v>
      </c>
      <c r="R37" s="379">
        <f t="shared" ref="R37:R68" si="20">IFERROR(ROUND(MAX(N37+O37-P37,0),6),0)</f>
        <v>158.625</v>
      </c>
      <c r="S37" s="557">
        <f t="shared" si="14"/>
        <v>0</v>
      </c>
      <c r="T37" s="557">
        <f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557">
        <f>IFERROR(IF(AND(RBL_TL_Maturity&lt;=B37,RBL_TL_Maturity&gt;B36),INDEX('Facility Master'!K:K,MATCH(RBL_TL_SNo,'Facility Master'!A:A,0)),0),0)</f>
        <v>0</v>
      </c>
      <c r="V37" s="557">
        <f>IFERROR((S37+(T37-U37)/2)*INDEX('Facility Master'!R:R,MATCH(RBL_TL_SNo,'Facility Master'!A:A,0))*(B37-B36)/DaysInYear,0)</f>
        <v>0</v>
      </c>
      <c r="W37" s="557">
        <f t="shared" ref="W37:W68" si="21">IFERROR(ROUND(MAX(S37+T37-U37,0),6),0)</f>
        <v>0</v>
      </c>
      <c r="X37" s="379">
        <f t="shared" si="15"/>
        <v>468</v>
      </c>
      <c r="Y37" s="379">
        <f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379">
        <f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379">
        <f>IFERROR((X37+(Y37-Z37)/2)*INDEX('Facility Master'!R:R,MATCH(YBL_TL_SNo,'Facility Master'!A:A,0))*(B37-B36)/DaysInYear,0)</f>
        <v>10.968780051369864</v>
      </c>
      <c r="AB37" s="379">
        <f t="shared" ref="AB37:AB68" si="22">IFERROR(ROUND(MAX(X37+Y37-Z37,0),6),0)</f>
        <v>453.375</v>
      </c>
      <c r="AC37" s="379">
        <f t="shared" si="16"/>
        <v>381.6</v>
      </c>
      <c r="AD37" s="379">
        <f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379">
        <f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11.924999999999999</v>
      </c>
      <c r="AF37" s="379">
        <f>IFERROR((AC37+(AD37-AE37)/2)*INDEX('Facility Master'!R:R,MATCH(IDFC_TL_SNo,'Facility Master'!A:A,0))*(B37-B36)/DaysInYear,0)</f>
        <v>8.2413838356164391</v>
      </c>
      <c r="AG37" s="379">
        <f t="shared" ref="AG37:AG68" si="23">IFERROR(ROUND(MAX(AC37+AD37-AE37,0),6),0)</f>
        <v>369.67500000000001</v>
      </c>
      <c r="AH37" s="558">
        <f t="shared" si="17"/>
        <v>604.79999999999995</v>
      </c>
      <c r="AI37" s="558">
        <f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558">
        <f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18.899999999999999</v>
      </c>
      <c r="AK37" s="558">
        <f>IFERROR((AH37+(AI37-AJ37)/2)*INDEX('Facility Master'!R:R,MATCH(ICICI_TL_SNo,'Facility Master'!A:A,0))*(B37-B36)/DaysInYear,0)</f>
        <v>12.913386164383562</v>
      </c>
      <c r="AL37" s="558">
        <f t="shared" ref="AL37:AL68" si="24">IFERROR(ROUND(MAX(AH37+AI37-AJ37,0),6),0)</f>
        <v>585.9</v>
      </c>
      <c r="AM37" s="379">
        <f t="shared" ref="AM37:AM68" si="25">F37+K37+P37+Z37+AE37+AJ37</f>
        <v>81.359999999999985</v>
      </c>
      <c r="AN37" s="379">
        <f t="shared" ref="AN37:AN68" si="26">G37+L37+Q37+AA37+AF37+AK37</f>
        <v>58.384078243150682</v>
      </c>
      <c r="AO37" s="379">
        <f t="shared" ref="AO37:AO68" si="27">AM37+AN37</f>
        <v>139.74407824315068</v>
      </c>
      <c r="AP37" s="379">
        <f t="shared" ref="AP37:AP68" si="28">H37+M37+R37+AB37+AG37+AL37</f>
        <v>2516.8724999999999</v>
      </c>
    </row>
    <row r="38" spans="1:42" ht="15.75" customHeight="1" x14ac:dyDescent="0.3">
      <c r="A38" s="559">
        <v>34</v>
      </c>
      <c r="B38" s="560">
        <v>48121</v>
      </c>
      <c r="C38" s="559" t="s">
        <v>655</v>
      </c>
      <c r="D38" s="561">
        <f t="shared" ref="D38:D68" si="29">IFERROR(MAX(H37,0),0)</f>
        <v>784.6875</v>
      </c>
      <c r="E38" s="561">
        <f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561">
        <f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561">
        <f>IFERROR((D38+(E38-F38)/2)*INDEX('Facility Master'!R:R,MATCH(UBI_RTL1_SNo,'Facility Master'!A:A,0))*(B38-B37)/DaysInYear,0)</f>
        <v>18.291852739726028</v>
      </c>
      <c r="H38" s="561">
        <f t="shared" si="18"/>
        <v>759.375</v>
      </c>
      <c r="I38" s="561">
        <f t="shared" ref="I38:I68" si="30">IFERROR(MAX(M37,0),0)</f>
        <v>164.61</v>
      </c>
      <c r="J38" s="561">
        <f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561">
        <f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561">
        <f>IFERROR((I38+(J38-K38)/2)*INDEX('Facility Master'!R:R,MATCH(UBI_RTL2_SNo,'Facility Master'!A:A,0))*(B38-B37)/DaysInYear,0)</f>
        <v>3.7147596164383567</v>
      </c>
      <c r="M38" s="561">
        <f t="shared" si="19"/>
        <v>159.30000000000001</v>
      </c>
      <c r="N38" s="561">
        <f t="shared" ref="N38:N68" si="31">IFERROR(MAX(R37,0),0)</f>
        <v>158.625</v>
      </c>
      <c r="O38" s="561">
        <f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561">
        <f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5.2874999999999996</v>
      </c>
      <c r="Q38" s="561">
        <f>IFERROR((N38+(O38-P38)/2)*INDEX('Facility Master'!R:R,MATCH(IB_TL_SNo,'Facility Master'!A:A,0))*(B38-B37)/DaysInYear,0)</f>
        <v>3.695687260273973</v>
      </c>
      <c r="R38" s="561">
        <f t="shared" si="20"/>
        <v>153.33750000000001</v>
      </c>
      <c r="S38" s="562">
        <f t="shared" ref="S38:S68" si="32">IFERROR(MAX(W37,0),0)</f>
        <v>0</v>
      </c>
      <c r="T38" s="562">
        <f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562">
        <f>IFERROR(IF(AND(RBL_TL_Maturity&lt;=B38,RBL_TL_Maturity&gt;B37),INDEX('Facility Master'!K:K,MATCH(RBL_TL_SNo,'Facility Master'!A:A,0)),0),0)</f>
        <v>0</v>
      </c>
      <c r="V38" s="562">
        <f>IFERROR((S38+(T38-U38)/2)*INDEX('Facility Master'!R:R,MATCH(RBL_TL_SNo,'Facility Master'!A:A,0))*(B38-B37)/DaysInYear,0)</f>
        <v>0</v>
      </c>
      <c r="W38" s="562">
        <f t="shared" si="21"/>
        <v>0</v>
      </c>
      <c r="X38" s="561">
        <f t="shared" ref="X38:X68" si="33">IFERROR(MAX(AB37,0),0)</f>
        <v>453.375</v>
      </c>
      <c r="Y38" s="561">
        <f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561">
        <f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561">
        <f>IFERROR((X38+(Y38-Z38)/2)*INDEX('Facility Master'!R:R,MATCH(YBL_TL_SNo,'Facility Master'!A:A,0))*(B38-B37)/DaysInYear,0)</f>
        <v>10.737274315068492</v>
      </c>
      <c r="AB38" s="561">
        <f t="shared" si="22"/>
        <v>438.75</v>
      </c>
      <c r="AC38" s="561">
        <f t="shared" ref="AC38:AC68" si="34">IFERROR(MAX(AG37,0),0)</f>
        <v>369.67500000000001</v>
      </c>
      <c r="AD38" s="561">
        <f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561">
        <f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11.924999999999999</v>
      </c>
      <c r="AF38" s="561">
        <f>IFERROR((AC38+(AD38-AE38)/2)*INDEX('Facility Master'!R:R,MATCH(IDFC_TL_SNo,'Facility Master'!A:A,0))*(B38-B37)/DaysInYear,0)</f>
        <v>8.0674421917808221</v>
      </c>
      <c r="AG38" s="561">
        <f t="shared" si="23"/>
        <v>357.75</v>
      </c>
      <c r="AH38" s="563">
        <f t="shared" ref="AH38:AH68" si="35">IFERROR(MAX(AL37,0),0)</f>
        <v>585.9</v>
      </c>
      <c r="AI38" s="563">
        <f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563">
        <f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18.899999999999999</v>
      </c>
      <c r="AK38" s="563">
        <f>IFERROR((AH38+(AI38-AJ38)/2)*INDEX('Facility Master'!R:R,MATCH(ICICI_TL_SNo,'Facility Master'!A:A,0))*(B38-B37)/DaysInYear,0)</f>
        <v>12.64083780821918</v>
      </c>
      <c r="AL38" s="563">
        <f t="shared" si="24"/>
        <v>567</v>
      </c>
      <c r="AM38" s="561">
        <f t="shared" si="25"/>
        <v>81.359999999999985</v>
      </c>
      <c r="AN38" s="561">
        <f t="shared" si="26"/>
        <v>57.147853931506852</v>
      </c>
      <c r="AO38" s="561">
        <f t="shared" si="27"/>
        <v>138.50785393150684</v>
      </c>
      <c r="AP38" s="561">
        <f t="shared" si="28"/>
        <v>2435.5124999999998</v>
      </c>
    </row>
    <row r="39" spans="1:42" ht="15.75" customHeight="1" x14ac:dyDescent="0.3">
      <c r="A39" s="375">
        <v>35</v>
      </c>
      <c r="B39" s="556">
        <v>48213</v>
      </c>
      <c r="C39" s="375" t="s">
        <v>656</v>
      </c>
      <c r="D39" s="379">
        <f t="shared" si="29"/>
        <v>759.375</v>
      </c>
      <c r="E39" s="379">
        <f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379">
        <f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379">
        <f>IFERROR((D39+(E39-F39)/2)*INDEX('Facility Master'!R:R,MATCH(UBI_RTL1_SNo,'Facility Master'!A:A,0))*(B39-B38)/DaysInYear,0)</f>
        <v>17.692119863013701</v>
      </c>
      <c r="H39" s="379">
        <f t="shared" si="18"/>
        <v>734.0625</v>
      </c>
      <c r="I39" s="379">
        <f t="shared" si="30"/>
        <v>159.30000000000001</v>
      </c>
      <c r="J39" s="379">
        <f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379">
        <f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379">
        <f>IFERROR((I39+(J39-K39)/2)*INDEX('Facility Master'!R:R,MATCH(UBI_RTL2_SNo,'Facility Master'!A:A,0))*(B39-B38)/DaysInYear,0)</f>
        <v>3.5929642191780822</v>
      </c>
      <c r="M39" s="379">
        <f t="shared" si="19"/>
        <v>153.99</v>
      </c>
      <c r="N39" s="379">
        <f t="shared" si="31"/>
        <v>153.33750000000001</v>
      </c>
      <c r="O39" s="379">
        <f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379">
        <f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5.2874999999999996</v>
      </c>
      <c r="Q39" s="379">
        <f>IFERROR((N39+(O39-P39)/2)*INDEX('Facility Master'!R:R,MATCH(IB_TL_SNo,'Facility Master'!A:A,0))*(B39-B38)/DaysInYear,0)</f>
        <v>3.5704097260273966</v>
      </c>
      <c r="R39" s="379">
        <f t="shared" si="20"/>
        <v>148.05000000000001</v>
      </c>
      <c r="S39" s="557">
        <f t="shared" si="32"/>
        <v>0</v>
      </c>
      <c r="T39" s="557">
        <f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557">
        <f>IFERROR(IF(AND(RBL_TL_Maturity&lt;=B39,RBL_TL_Maturity&gt;B38),INDEX('Facility Master'!K:K,MATCH(RBL_TL_SNo,'Facility Master'!A:A,0)),0),0)</f>
        <v>0</v>
      </c>
      <c r="V39" s="557">
        <f>IFERROR((S39+(T39-U39)/2)*INDEX('Facility Master'!R:R,MATCH(RBL_TL_SNo,'Facility Master'!A:A,0))*(B39-B38)/DaysInYear,0)</f>
        <v>0</v>
      </c>
      <c r="W39" s="557">
        <f t="shared" si="21"/>
        <v>0</v>
      </c>
      <c r="X39" s="379">
        <f t="shared" si="33"/>
        <v>438.75</v>
      </c>
      <c r="Y39" s="379">
        <f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379">
        <f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379">
        <f>IFERROR((X39+(Y39-Z39)/2)*INDEX('Facility Master'!R:R,MATCH(YBL_TL_SNo,'Facility Master'!A:A,0))*(B39-B38)/DaysInYear,0)</f>
        <v>10.385232534246576</v>
      </c>
      <c r="AB39" s="379">
        <f t="shared" si="22"/>
        <v>424.125</v>
      </c>
      <c r="AC39" s="379">
        <f t="shared" si="34"/>
        <v>357.75</v>
      </c>
      <c r="AD39" s="379">
        <f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379">
        <f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11.924999999999999</v>
      </c>
      <c r="AF39" s="379">
        <f>IFERROR((AC39+(AD39-AE39)/2)*INDEX('Facility Master'!R:R,MATCH(IDFC_TL_SNo,'Facility Master'!A:A,0))*(B39-B38)/DaysInYear,0)</f>
        <v>7.8029358904109598</v>
      </c>
      <c r="AG39" s="379">
        <f t="shared" si="23"/>
        <v>345.82499999999999</v>
      </c>
      <c r="AH39" s="558">
        <f t="shared" si="35"/>
        <v>567</v>
      </c>
      <c r="AI39" s="558">
        <f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558">
        <f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18.899999999999999</v>
      </c>
      <c r="AK39" s="558">
        <f>IFERROR((AH39+(AI39-AJ39)/2)*INDEX('Facility Master'!R:R,MATCH(ICICI_TL_SNo,'Facility Master'!A:A,0))*(B39-B38)/DaysInYear,0)</f>
        <v>12.22638410958904</v>
      </c>
      <c r="AL39" s="558">
        <f t="shared" si="24"/>
        <v>548.1</v>
      </c>
      <c r="AM39" s="379">
        <f t="shared" si="25"/>
        <v>81.359999999999985</v>
      </c>
      <c r="AN39" s="379">
        <f t="shared" si="26"/>
        <v>55.270046342465754</v>
      </c>
      <c r="AO39" s="379">
        <f t="shared" si="27"/>
        <v>136.63004634246573</v>
      </c>
      <c r="AP39" s="379">
        <f t="shared" si="28"/>
        <v>2354.1525000000001</v>
      </c>
    </row>
    <row r="40" spans="1:42" ht="15.75" customHeight="1" x14ac:dyDescent="0.3">
      <c r="A40" s="559">
        <v>36</v>
      </c>
      <c r="B40" s="560">
        <v>48304</v>
      </c>
      <c r="C40" s="559" t="s">
        <v>657</v>
      </c>
      <c r="D40" s="561">
        <f t="shared" si="29"/>
        <v>734.0625</v>
      </c>
      <c r="E40" s="561">
        <f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561">
        <f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561">
        <f>IFERROR((D40+(E40-F40)/2)*INDEX('Facility Master'!R:R,MATCH(UBI_RTL1_SNo,'Facility Master'!A:A,0))*(B40-B39)/DaysInYear,0)</f>
        <v>16.906600171232874</v>
      </c>
      <c r="H40" s="561">
        <f t="shared" si="18"/>
        <v>708.75</v>
      </c>
      <c r="I40" s="561">
        <f t="shared" si="30"/>
        <v>153.99</v>
      </c>
      <c r="J40" s="561">
        <f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561">
        <f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561">
        <f>IFERROR((I40+(J40-K40)/2)*INDEX('Facility Master'!R:R,MATCH(UBI_RTL2_SNo,'Facility Master'!A:A,0))*(B40-B39)/DaysInYear,0)</f>
        <v>3.4334387260273971</v>
      </c>
      <c r="M40" s="561">
        <f t="shared" si="19"/>
        <v>148.68</v>
      </c>
      <c r="N40" s="561">
        <f t="shared" si="31"/>
        <v>148.05000000000001</v>
      </c>
      <c r="O40" s="561">
        <f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561">
        <f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5.2874999999999996</v>
      </c>
      <c r="Q40" s="561">
        <f>IFERROR((N40+(O40-P40)/2)*INDEX('Facility Master'!R:R,MATCH(IB_TL_SNo,'Facility Master'!A:A,0))*(B40-B39)/DaysInYear,0)</f>
        <v>3.4076851027397264</v>
      </c>
      <c r="R40" s="561">
        <f t="shared" si="20"/>
        <v>142.76249999999999</v>
      </c>
      <c r="S40" s="562">
        <f t="shared" si="32"/>
        <v>0</v>
      </c>
      <c r="T40" s="562">
        <f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562">
        <f>IFERROR(IF(AND(RBL_TL_Maturity&lt;=B40,RBL_TL_Maturity&gt;B39),INDEX('Facility Master'!K:K,MATCH(RBL_TL_SNo,'Facility Master'!A:A,0)),0),0)</f>
        <v>0</v>
      </c>
      <c r="V40" s="562">
        <f>IFERROR((S40+(T40-U40)/2)*INDEX('Facility Master'!R:R,MATCH(RBL_TL_SNo,'Facility Master'!A:A,0))*(B40-B39)/DaysInYear,0)</f>
        <v>0</v>
      </c>
      <c r="W40" s="562">
        <f t="shared" si="21"/>
        <v>0</v>
      </c>
      <c r="X40" s="561">
        <f t="shared" si="33"/>
        <v>424.125</v>
      </c>
      <c r="Y40" s="561">
        <f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561">
        <f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561">
        <f>IFERROR((X40+(Y40-Z40)/2)*INDEX('Facility Master'!R:R,MATCH(YBL_TL_SNo,'Facility Master'!A:A,0))*(B40-B39)/DaysInYear,0)</f>
        <v>9.9241343321917803</v>
      </c>
      <c r="AB40" s="561">
        <f t="shared" si="22"/>
        <v>409.5</v>
      </c>
      <c r="AC40" s="561">
        <f t="shared" si="34"/>
        <v>345.82499999999999</v>
      </c>
      <c r="AD40" s="561">
        <f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561">
        <f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11.924999999999999</v>
      </c>
      <c r="AF40" s="561">
        <f>IFERROR((AC40+(AD40-AE40)/2)*INDEX('Facility Master'!R:R,MATCH(IDFC_TL_SNo,'Facility Master'!A:A,0))*(B40-B39)/DaysInYear,0)</f>
        <v>7.456490136986301</v>
      </c>
      <c r="AG40" s="561">
        <f t="shared" si="23"/>
        <v>333.9</v>
      </c>
      <c r="AH40" s="563">
        <f t="shared" si="35"/>
        <v>548.1</v>
      </c>
      <c r="AI40" s="563">
        <f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563">
        <f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18.899999999999999</v>
      </c>
      <c r="AK40" s="563">
        <f>IFERROR((AH40+(AI40-AJ40)/2)*INDEX('Facility Master'!R:R,MATCH(ICICI_TL_SNo,'Facility Master'!A:A,0))*(B40-B39)/DaysInYear,0)</f>
        <v>11.683539863013698</v>
      </c>
      <c r="AL40" s="563">
        <f t="shared" si="24"/>
        <v>529.20000000000005</v>
      </c>
      <c r="AM40" s="561">
        <f t="shared" si="25"/>
        <v>81.359999999999985</v>
      </c>
      <c r="AN40" s="561">
        <f t="shared" si="26"/>
        <v>52.811888332191778</v>
      </c>
      <c r="AO40" s="561">
        <f t="shared" si="27"/>
        <v>134.17188833219177</v>
      </c>
      <c r="AP40" s="561">
        <f t="shared" si="28"/>
        <v>2272.7925000000005</v>
      </c>
    </row>
    <row r="41" spans="1:42" ht="15.75" customHeight="1" x14ac:dyDescent="0.3">
      <c r="A41" s="375">
        <v>37</v>
      </c>
      <c r="B41" s="556">
        <v>48395</v>
      </c>
      <c r="C41" s="375" t="s">
        <v>658</v>
      </c>
      <c r="D41" s="379">
        <f t="shared" si="29"/>
        <v>708.75</v>
      </c>
      <c r="E41" s="379">
        <f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379">
        <f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379">
        <f>IFERROR((D41+(E41-F41)/2)*INDEX('Facility Master'!R:R,MATCH(UBI_RTL1_SNo,'Facility Master'!A:A,0))*(B41-B40)/DaysInYear,0)</f>
        <v>16.313386130136987</v>
      </c>
      <c r="H41" s="379">
        <f t="shared" si="18"/>
        <v>683.4375</v>
      </c>
      <c r="I41" s="379">
        <f t="shared" si="30"/>
        <v>148.68</v>
      </c>
      <c r="J41" s="379">
        <f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379">
        <f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379">
        <f>IFERROR((I41+(J41-K41)/2)*INDEX('Facility Master'!R:R,MATCH(UBI_RTL2_SNo,'Facility Master'!A:A,0))*(B41-B40)/DaysInYear,0)</f>
        <v>3.3129671917808219</v>
      </c>
      <c r="M41" s="379">
        <f t="shared" si="19"/>
        <v>143.37</v>
      </c>
      <c r="N41" s="379">
        <f t="shared" si="31"/>
        <v>142.76249999999999</v>
      </c>
      <c r="O41" s="379">
        <f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379">
        <f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5.2874999999999996</v>
      </c>
      <c r="Q41" s="379">
        <f>IFERROR((N41+(O41-P41)/2)*INDEX('Facility Master'!R:R,MATCH(IB_TL_SNo,'Facility Master'!A:A,0))*(B41-B40)/DaysInYear,0)</f>
        <v>3.2837692808219172</v>
      </c>
      <c r="R41" s="379">
        <f t="shared" si="20"/>
        <v>137.47499999999999</v>
      </c>
      <c r="S41" s="557">
        <f t="shared" si="32"/>
        <v>0</v>
      </c>
      <c r="T41" s="557">
        <f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557">
        <f>IFERROR(IF(AND(RBL_TL_Maturity&lt;=B41,RBL_TL_Maturity&gt;B40),INDEX('Facility Master'!K:K,MATCH(RBL_TL_SNo,'Facility Master'!A:A,0)),0),0)</f>
        <v>0</v>
      </c>
      <c r="V41" s="557">
        <f>IFERROR((S41+(T41-U41)/2)*INDEX('Facility Master'!R:R,MATCH(RBL_TL_SNo,'Facility Master'!A:A,0))*(B41-B40)/DaysInYear,0)</f>
        <v>0</v>
      </c>
      <c r="W41" s="557">
        <f t="shared" si="21"/>
        <v>0</v>
      </c>
      <c r="X41" s="379">
        <f t="shared" si="33"/>
        <v>409.5</v>
      </c>
      <c r="Y41" s="379">
        <f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379">
        <f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379">
        <f>IFERROR((X41+(Y41-Z41)/2)*INDEX('Facility Master'!R:R,MATCH(YBL_TL_SNo,'Facility Master'!A:A,0))*(B41-B40)/DaysInYear,0)</f>
        <v>9.5759190924657531</v>
      </c>
      <c r="AB41" s="379">
        <f t="shared" si="22"/>
        <v>394.875</v>
      </c>
      <c r="AC41" s="379">
        <f t="shared" si="34"/>
        <v>333.9</v>
      </c>
      <c r="AD41" s="379">
        <f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379">
        <f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11.924999999999999</v>
      </c>
      <c r="AF41" s="379">
        <f>IFERROR((AC41+(AD41-AE41)/2)*INDEX('Facility Master'!R:R,MATCH(IDFC_TL_SNo,'Facility Master'!A:A,0))*(B41-B40)/DaysInYear,0)</f>
        <v>7.1948589041095898</v>
      </c>
      <c r="AG41" s="379">
        <f t="shared" si="23"/>
        <v>321.97500000000002</v>
      </c>
      <c r="AH41" s="558">
        <f t="shared" si="35"/>
        <v>529.20000000000005</v>
      </c>
      <c r="AI41" s="558">
        <f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558">
        <f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18.899999999999999</v>
      </c>
      <c r="AK41" s="558">
        <f>IFERROR((AH41+(AI41-AJ41)/2)*INDEX('Facility Master'!R:R,MATCH(ICICI_TL_SNo,'Facility Master'!A:A,0))*(B41-B40)/DaysInYear,0)</f>
        <v>11.273591095890414</v>
      </c>
      <c r="AL41" s="558">
        <f t="shared" si="24"/>
        <v>510.3</v>
      </c>
      <c r="AM41" s="379">
        <f t="shared" si="25"/>
        <v>81.359999999999985</v>
      </c>
      <c r="AN41" s="379">
        <f t="shared" si="26"/>
        <v>50.954491695205476</v>
      </c>
      <c r="AO41" s="379">
        <f t="shared" si="27"/>
        <v>132.31449169520545</v>
      </c>
      <c r="AP41" s="379">
        <f t="shared" si="28"/>
        <v>2191.4325000000003</v>
      </c>
    </row>
    <row r="42" spans="1:42" ht="15.75" customHeight="1" x14ac:dyDescent="0.3">
      <c r="A42" s="559">
        <v>38</v>
      </c>
      <c r="B42" s="560">
        <v>48487</v>
      </c>
      <c r="C42" s="559" t="s">
        <v>659</v>
      </c>
      <c r="D42" s="561">
        <f t="shared" si="29"/>
        <v>683.4375</v>
      </c>
      <c r="E42" s="561">
        <f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561">
        <f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561">
        <f>IFERROR((D42+(E42-F42)/2)*INDEX('Facility Master'!R:R,MATCH(UBI_RTL1_SNo,'Facility Master'!A:A,0))*(B42-B41)/DaysInYear,0)</f>
        <v>15.892921232876713</v>
      </c>
      <c r="H42" s="561">
        <f t="shared" si="18"/>
        <v>658.125</v>
      </c>
      <c r="I42" s="561">
        <f t="shared" si="30"/>
        <v>143.37</v>
      </c>
      <c r="J42" s="561">
        <f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561">
        <f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561">
        <f>IFERROR((I42+(J42-K42)/2)*INDEX('Facility Master'!R:R,MATCH(UBI_RTL2_SNo,'Facility Master'!A:A,0))*(B42-B41)/DaysInYear,0)</f>
        <v>3.2275780273972603</v>
      </c>
      <c r="M42" s="561">
        <f t="shared" si="19"/>
        <v>138.06</v>
      </c>
      <c r="N42" s="561">
        <f t="shared" si="31"/>
        <v>137.47499999999999</v>
      </c>
      <c r="O42" s="561">
        <f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561">
        <f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5.2874999999999996</v>
      </c>
      <c r="Q42" s="561">
        <f>IFERROR((N42+(O42-P42)/2)*INDEX('Facility Master'!R:R,MATCH(IB_TL_SNo,'Facility Master'!A:A,0))*(B42-B41)/DaysInYear,0)</f>
        <v>3.194577123287671</v>
      </c>
      <c r="R42" s="561">
        <f t="shared" si="20"/>
        <v>132.1875</v>
      </c>
      <c r="S42" s="562">
        <f t="shared" si="32"/>
        <v>0</v>
      </c>
      <c r="T42" s="562">
        <f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562">
        <f>IFERROR(IF(AND(RBL_TL_Maturity&lt;=B42,RBL_TL_Maturity&gt;B41),INDEX('Facility Master'!K:K,MATCH(RBL_TL_SNo,'Facility Master'!A:A,0)),0),0)</f>
        <v>0</v>
      </c>
      <c r="V42" s="562">
        <f>IFERROR((S42+(T42-U42)/2)*INDEX('Facility Master'!R:R,MATCH(RBL_TL_SNo,'Facility Master'!A:A,0))*(B42-B41)/DaysInYear,0)</f>
        <v>0</v>
      </c>
      <c r="W42" s="562">
        <f t="shared" si="21"/>
        <v>0</v>
      </c>
      <c r="X42" s="561">
        <f t="shared" si="33"/>
        <v>394.875</v>
      </c>
      <c r="Y42" s="561">
        <f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561">
        <f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561">
        <f>IFERROR((X42+(Y42-Z42)/2)*INDEX('Facility Master'!R:R,MATCH(YBL_TL_SNo,'Facility Master'!A:A,0))*(B42-B41)/DaysInYear,0)</f>
        <v>9.3291071917808228</v>
      </c>
      <c r="AB42" s="561">
        <f t="shared" si="22"/>
        <v>380.25</v>
      </c>
      <c r="AC42" s="561">
        <f t="shared" si="34"/>
        <v>321.97500000000002</v>
      </c>
      <c r="AD42" s="561">
        <f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561">
        <f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11.924999999999999</v>
      </c>
      <c r="AF42" s="561">
        <f>IFERROR((AC42+(AD42-AE42)/2)*INDEX('Facility Master'!R:R,MATCH(IDFC_TL_SNo,'Facility Master'!A:A,0))*(B42-B41)/DaysInYear,0)</f>
        <v>7.0094169863013711</v>
      </c>
      <c r="AG42" s="561">
        <f t="shared" si="23"/>
        <v>310.05</v>
      </c>
      <c r="AH42" s="563">
        <f t="shared" si="35"/>
        <v>510.3</v>
      </c>
      <c r="AI42" s="563">
        <f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563">
        <f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18.899999999999999</v>
      </c>
      <c r="AK42" s="563">
        <f>IFERROR((AH42+(AI42-AJ42)/2)*INDEX('Facility Master'!R:R,MATCH(ICICI_TL_SNo,'Facility Master'!A:A,0))*(B42-B41)/DaysInYear,0)</f>
        <v>10.983023013698631</v>
      </c>
      <c r="AL42" s="563">
        <f t="shared" si="24"/>
        <v>491.4</v>
      </c>
      <c r="AM42" s="561">
        <f t="shared" si="25"/>
        <v>81.359999999999985</v>
      </c>
      <c r="AN42" s="561">
        <f t="shared" si="26"/>
        <v>49.636623575342469</v>
      </c>
      <c r="AO42" s="561">
        <f t="shared" si="27"/>
        <v>130.99662357534245</v>
      </c>
      <c r="AP42" s="561">
        <f t="shared" si="28"/>
        <v>2110.0724999999998</v>
      </c>
    </row>
    <row r="43" spans="1:42" ht="15.75" customHeight="1" x14ac:dyDescent="0.3">
      <c r="A43" s="375">
        <v>39</v>
      </c>
      <c r="B43" s="556">
        <v>48579</v>
      </c>
      <c r="C43" s="375" t="s">
        <v>660</v>
      </c>
      <c r="D43" s="379">
        <f t="shared" si="29"/>
        <v>658.125</v>
      </c>
      <c r="E43" s="379">
        <f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379">
        <f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379">
        <f>IFERROR((D43+(E43-F43)/2)*INDEX('Facility Master'!R:R,MATCH(UBI_RTL1_SNo,'Facility Master'!A:A,0))*(B43-B42)/DaysInYear,0)</f>
        <v>15.293188356164384</v>
      </c>
      <c r="H43" s="379">
        <f t="shared" si="18"/>
        <v>632.8125</v>
      </c>
      <c r="I43" s="379">
        <f t="shared" si="30"/>
        <v>138.06</v>
      </c>
      <c r="J43" s="379">
        <f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379">
        <f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379">
        <f>IFERROR((I43+(J43-K43)/2)*INDEX('Facility Master'!R:R,MATCH(UBI_RTL2_SNo,'Facility Master'!A:A,0))*(B43-B42)/DaysInYear,0)</f>
        <v>3.1057826301369857</v>
      </c>
      <c r="M43" s="379">
        <f t="shared" si="19"/>
        <v>132.75</v>
      </c>
      <c r="N43" s="379">
        <f t="shared" si="31"/>
        <v>132.1875</v>
      </c>
      <c r="O43" s="379">
        <f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379">
        <f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5.2874999999999996</v>
      </c>
      <c r="Q43" s="379">
        <f>IFERROR((N43+(O43-P43)/2)*INDEX('Facility Master'!R:R,MATCH(IB_TL_SNo,'Facility Master'!A:A,0))*(B43-B42)/DaysInYear,0)</f>
        <v>3.0692995890410955</v>
      </c>
      <c r="R43" s="379">
        <f t="shared" si="20"/>
        <v>126.9</v>
      </c>
      <c r="S43" s="557">
        <f t="shared" si="32"/>
        <v>0</v>
      </c>
      <c r="T43" s="557">
        <f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557">
        <f>IFERROR(IF(AND(RBL_TL_Maturity&lt;=B43,RBL_TL_Maturity&gt;B42),INDEX('Facility Master'!K:K,MATCH(RBL_TL_SNo,'Facility Master'!A:A,0)),0),0)</f>
        <v>0</v>
      </c>
      <c r="V43" s="557">
        <f>IFERROR((S43+(T43-U43)/2)*INDEX('Facility Master'!R:R,MATCH(RBL_TL_SNo,'Facility Master'!A:A,0))*(B43-B42)/DaysInYear,0)</f>
        <v>0</v>
      </c>
      <c r="W43" s="557">
        <f t="shared" si="21"/>
        <v>0</v>
      </c>
      <c r="X43" s="379">
        <f t="shared" si="33"/>
        <v>380.25</v>
      </c>
      <c r="Y43" s="379">
        <f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379">
        <f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379">
        <f>IFERROR((X43+(Y43-Z43)/2)*INDEX('Facility Master'!R:R,MATCH(YBL_TL_SNo,'Facility Master'!A:A,0))*(B43-B42)/DaysInYear,0)</f>
        <v>8.9770654109589056</v>
      </c>
      <c r="AB43" s="379">
        <f t="shared" si="22"/>
        <v>365.625</v>
      </c>
      <c r="AC43" s="379">
        <f t="shared" si="34"/>
        <v>310.05</v>
      </c>
      <c r="AD43" s="379">
        <f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379">
        <f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11.924999999999999</v>
      </c>
      <c r="AF43" s="379">
        <f>IFERROR((AC43+(AD43-AE43)/2)*INDEX('Facility Master'!R:R,MATCH(IDFC_TL_SNo,'Facility Master'!A:A,0))*(B43-B42)/DaysInYear,0)</f>
        <v>6.744910684931507</v>
      </c>
      <c r="AG43" s="379">
        <f t="shared" si="23"/>
        <v>298.125</v>
      </c>
      <c r="AH43" s="558">
        <f t="shared" si="35"/>
        <v>491.4</v>
      </c>
      <c r="AI43" s="558">
        <f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558">
        <f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18.899999999999999</v>
      </c>
      <c r="AK43" s="558">
        <f>IFERROR((AH43+(AI43-AJ43)/2)*INDEX('Facility Master'!R:R,MATCH(ICICI_TL_SNo,'Facility Master'!A:A,0))*(B43-B42)/DaysInYear,0)</f>
        <v>10.568569315068494</v>
      </c>
      <c r="AL43" s="558">
        <f t="shared" si="24"/>
        <v>472.5</v>
      </c>
      <c r="AM43" s="379">
        <f t="shared" si="25"/>
        <v>81.359999999999985</v>
      </c>
      <c r="AN43" s="379">
        <f t="shared" si="26"/>
        <v>47.758815986301371</v>
      </c>
      <c r="AO43" s="379">
        <f t="shared" si="27"/>
        <v>129.11881598630134</v>
      </c>
      <c r="AP43" s="379">
        <f t="shared" si="28"/>
        <v>2028.7125000000001</v>
      </c>
    </row>
    <row r="44" spans="1:42" ht="15.75" customHeight="1" x14ac:dyDescent="0.3">
      <c r="A44" s="559">
        <v>40</v>
      </c>
      <c r="B44" s="560">
        <v>48669</v>
      </c>
      <c r="C44" s="559" t="s">
        <v>661</v>
      </c>
      <c r="D44" s="561">
        <f t="shared" si="29"/>
        <v>632.8125</v>
      </c>
      <c r="E44" s="561">
        <f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561">
        <f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561">
        <f>IFERROR((D44+(E44-F44)/2)*INDEX('Facility Master'!R:R,MATCH(UBI_RTL1_SNo,'Facility Master'!A:A,0))*(B44-B43)/DaysInYear,0)</f>
        <v>14.374032534246576</v>
      </c>
      <c r="H44" s="561">
        <f t="shared" si="18"/>
        <v>607.5</v>
      </c>
      <c r="I44" s="561">
        <f t="shared" si="30"/>
        <v>132.75</v>
      </c>
      <c r="J44" s="561">
        <f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561">
        <f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561">
        <f>IFERROR((I44+(J44-K44)/2)*INDEX('Facility Master'!R:R,MATCH(UBI_RTL2_SNo,'Facility Master'!A:A,0))*(B44-B43)/DaysInYear,0)</f>
        <v>2.9191179452054792</v>
      </c>
      <c r="M44" s="561">
        <f t="shared" si="19"/>
        <v>127.44</v>
      </c>
      <c r="N44" s="561">
        <f t="shared" si="31"/>
        <v>126.9</v>
      </c>
      <c r="O44" s="561">
        <f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561">
        <f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5.2874999999999996</v>
      </c>
      <c r="Q44" s="561">
        <f>IFERROR((N44+(O44-P44)/2)*INDEX('Facility Master'!R:R,MATCH(IB_TL_SNo,'Facility Master'!A:A,0))*(B44-B43)/DaysInYear,0)</f>
        <v>2.8800215753424658</v>
      </c>
      <c r="R44" s="561">
        <f t="shared" si="20"/>
        <v>121.6125</v>
      </c>
      <c r="S44" s="562">
        <f t="shared" si="32"/>
        <v>0</v>
      </c>
      <c r="T44" s="562">
        <f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562">
        <f>IFERROR(IF(AND(RBL_TL_Maturity&lt;=B44,RBL_TL_Maturity&gt;B43),INDEX('Facility Master'!K:K,MATCH(RBL_TL_SNo,'Facility Master'!A:A,0)),0),0)</f>
        <v>0</v>
      </c>
      <c r="V44" s="562">
        <f>IFERROR((S44+(T44-U44)/2)*INDEX('Facility Master'!R:R,MATCH(RBL_TL_SNo,'Facility Master'!A:A,0))*(B44-B43)/DaysInYear,0)</f>
        <v>0</v>
      </c>
      <c r="W44" s="562">
        <f t="shared" si="21"/>
        <v>0</v>
      </c>
      <c r="X44" s="561">
        <f t="shared" si="33"/>
        <v>365.625</v>
      </c>
      <c r="Y44" s="561">
        <f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561">
        <f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561">
        <f>IFERROR((X44+(Y44-Z44)/2)*INDEX('Facility Master'!R:R,MATCH(YBL_TL_SNo,'Facility Master'!A:A,0))*(B44-B43)/DaysInYear,0)</f>
        <v>8.4375231164383546</v>
      </c>
      <c r="AB44" s="561">
        <f t="shared" si="22"/>
        <v>351</v>
      </c>
      <c r="AC44" s="561">
        <f t="shared" si="34"/>
        <v>298.125</v>
      </c>
      <c r="AD44" s="561">
        <f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561">
        <f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11.924999999999999</v>
      </c>
      <c r="AF44" s="561">
        <f>IFERROR((AC44+(AD44-AE44)/2)*INDEX('Facility Master'!R:R,MATCH(IDFC_TL_SNo,'Facility Master'!A:A,0))*(B44-B43)/DaysInYear,0)</f>
        <v>6.3395260273972607</v>
      </c>
      <c r="AG44" s="561">
        <f t="shared" si="23"/>
        <v>286.2</v>
      </c>
      <c r="AH44" s="563">
        <f t="shared" si="35"/>
        <v>472.5</v>
      </c>
      <c r="AI44" s="563">
        <f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563">
        <f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18.899999999999999</v>
      </c>
      <c r="AK44" s="563">
        <f>IFERROR((AH44+(AI44-AJ44)/2)*INDEX('Facility Master'!R:R,MATCH(ICICI_TL_SNo,'Facility Master'!A:A,0))*(B44-B43)/DaysInYear,0)</f>
        <v>9.9333739726027392</v>
      </c>
      <c r="AL44" s="563">
        <f t="shared" si="24"/>
        <v>453.6</v>
      </c>
      <c r="AM44" s="561">
        <f t="shared" si="25"/>
        <v>81.359999999999985</v>
      </c>
      <c r="AN44" s="561">
        <f t="shared" si="26"/>
        <v>44.883595171232876</v>
      </c>
      <c r="AO44" s="561">
        <f t="shared" si="27"/>
        <v>126.24359517123287</v>
      </c>
      <c r="AP44" s="561">
        <f t="shared" si="28"/>
        <v>1947.3525</v>
      </c>
    </row>
    <row r="45" spans="1:42" ht="15.75" customHeight="1" x14ac:dyDescent="0.3">
      <c r="A45" s="375">
        <v>41</v>
      </c>
      <c r="B45" s="556">
        <v>48760</v>
      </c>
      <c r="C45" s="375" t="s">
        <v>662</v>
      </c>
      <c r="D45" s="379">
        <f t="shared" si="29"/>
        <v>607.5</v>
      </c>
      <c r="E45" s="379">
        <f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379">
        <f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379">
        <f>IFERROR((D45+(E45-F45)/2)*INDEX('Facility Master'!R:R,MATCH(UBI_RTL1_SNo,'Facility Master'!A:A,0))*(B45-B44)/DaysInYear,0)</f>
        <v>13.940529965753424</v>
      </c>
      <c r="H45" s="379">
        <f t="shared" si="18"/>
        <v>582.1875</v>
      </c>
      <c r="I45" s="379">
        <f t="shared" si="30"/>
        <v>127.44</v>
      </c>
      <c r="J45" s="379">
        <f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379">
        <f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379">
        <f>IFERROR((I45+(J45-K45)/2)*INDEX('Facility Master'!R:R,MATCH(UBI_RTL2_SNo,'Facility Master'!A:A,0))*(B45-B44)/DaysInYear,0)</f>
        <v>2.8310810547945207</v>
      </c>
      <c r="M45" s="379">
        <f t="shared" si="19"/>
        <v>122.13</v>
      </c>
      <c r="N45" s="379">
        <f t="shared" si="31"/>
        <v>121.6125</v>
      </c>
      <c r="O45" s="379">
        <f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379">
        <f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5.2874999999999996</v>
      </c>
      <c r="Q45" s="379">
        <f>IFERROR((N45+(O45-P45)/2)*INDEX('Facility Master'!R:R,MATCH(IB_TL_SNo,'Facility Master'!A:A,0))*(B45-B44)/DaysInYear,0)</f>
        <v>2.7881059931506851</v>
      </c>
      <c r="R45" s="379">
        <f t="shared" si="20"/>
        <v>116.325</v>
      </c>
      <c r="S45" s="557">
        <f t="shared" si="32"/>
        <v>0</v>
      </c>
      <c r="T45" s="557">
        <f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557">
        <f>IFERROR(IF(AND(RBL_TL_Maturity&lt;=B45,RBL_TL_Maturity&gt;B44),INDEX('Facility Master'!K:K,MATCH(RBL_TL_SNo,'Facility Master'!A:A,0)),0),0)</f>
        <v>0</v>
      </c>
      <c r="V45" s="557">
        <f>IFERROR((S45+(T45-U45)/2)*INDEX('Facility Master'!R:R,MATCH(RBL_TL_SNo,'Facility Master'!A:A,0))*(B45-B44)/DaysInYear,0)</f>
        <v>0</v>
      </c>
      <c r="W45" s="557">
        <f t="shared" si="21"/>
        <v>0</v>
      </c>
      <c r="X45" s="379">
        <f t="shared" si="33"/>
        <v>351</v>
      </c>
      <c r="Y45" s="379">
        <f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379">
        <f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379">
        <f>IFERROR((X45+(Y45-Z45)/2)*INDEX('Facility Master'!R:R,MATCH(YBL_TL_SNo,'Facility Master'!A:A,0))*(B45-B44)/DaysInYear,0)</f>
        <v>8.1830581335616426</v>
      </c>
      <c r="AB45" s="379">
        <f t="shared" si="22"/>
        <v>336.375</v>
      </c>
      <c r="AC45" s="379">
        <f t="shared" si="34"/>
        <v>286.2</v>
      </c>
      <c r="AD45" s="379">
        <f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379">
        <f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11.924999999999999</v>
      </c>
      <c r="AF45" s="379">
        <f>IFERROR((AC45+(AD45-AE45)/2)*INDEX('Facility Master'!R:R,MATCH(IDFC_TL_SNo,'Facility Master'!A:A,0))*(B45-B44)/DaysInYear,0)</f>
        <v>6.1483339726027388</v>
      </c>
      <c r="AG45" s="379">
        <f t="shared" si="23"/>
        <v>274.27499999999998</v>
      </c>
      <c r="AH45" s="558">
        <f t="shared" si="35"/>
        <v>453.6</v>
      </c>
      <c r="AI45" s="558">
        <f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558">
        <f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18.899999999999999</v>
      </c>
      <c r="AK45" s="558">
        <f>IFERROR((AH45+(AI45-AJ45)/2)*INDEX('Facility Master'!R:R,MATCH(ICICI_TL_SNo,'Facility Master'!A:A,0))*(B45-B44)/DaysInYear,0)</f>
        <v>9.6337960273972616</v>
      </c>
      <c r="AL45" s="558">
        <f t="shared" si="24"/>
        <v>434.7</v>
      </c>
      <c r="AM45" s="379">
        <f t="shared" si="25"/>
        <v>81.359999999999985</v>
      </c>
      <c r="AN45" s="379">
        <f t="shared" si="26"/>
        <v>43.524905147260277</v>
      </c>
      <c r="AO45" s="379">
        <f t="shared" si="27"/>
        <v>124.88490514726027</v>
      </c>
      <c r="AP45" s="379">
        <f t="shared" si="28"/>
        <v>1865.9925000000001</v>
      </c>
    </row>
    <row r="46" spans="1:42" ht="15.75" customHeight="1" x14ac:dyDescent="0.3">
      <c r="A46" s="559">
        <v>42</v>
      </c>
      <c r="B46" s="560">
        <v>48852</v>
      </c>
      <c r="C46" s="559" t="s">
        <v>663</v>
      </c>
      <c r="D46" s="561">
        <f t="shared" si="29"/>
        <v>582.1875</v>
      </c>
      <c r="E46" s="561">
        <f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561">
        <f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561">
        <f>IFERROR((D46+(E46-F46)/2)*INDEX('Facility Master'!R:R,MATCH(UBI_RTL1_SNo,'Facility Master'!A:A,0))*(B46-B45)/DaysInYear,0)</f>
        <v>13.493989726027399</v>
      </c>
      <c r="H46" s="561">
        <f t="shared" si="18"/>
        <v>556.875</v>
      </c>
      <c r="I46" s="561">
        <f t="shared" si="30"/>
        <v>122.13</v>
      </c>
      <c r="J46" s="561">
        <f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561">
        <f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561">
        <f>IFERROR((I46+(J46-K46)/2)*INDEX('Facility Master'!R:R,MATCH(UBI_RTL2_SNo,'Facility Master'!A:A,0))*(B46-B45)/DaysInYear,0)</f>
        <v>2.7403964383561639</v>
      </c>
      <c r="M46" s="561">
        <f t="shared" si="19"/>
        <v>116.82</v>
      </c>
      <c r="N46" s="561">
        <f t="shared" si="31"/>
        <v>116.325</v>
      </c>
      <c r="O46" s="561">
        <f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561">
        <f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5.2874999999999996</v>
      </c>
      <c r="Q46" s="561">
        <f>IFERROR((N46+(O46-P46)/2)*INDEX('Facility Master'!R:R,MATCH(IB_TL_SNo,'Facility Master'!A:A,0))*(B46-B45)/DaysInYear,0)</f>
        <v>2.6934669863013703</v>
      </c>
      <c r="R46" s="561">
        <f t="shared" si="20"/>
        <v>111.03749999999999</v>
      </c>
      <c r="S46" s="562">
        <f t="shared" si="32"/>
        <v>0</v>
      </c>
      <c r="T46" s="562">
        <f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562">
        <f>IFERROR(IF(AND(RBL_TL_Maturity&lt;=B46,RBL_TL_Maturity&gt;B45),INDEX('Facility Master'!K:K,MATCH(RBL_TL_SNo,'Facility Master'!A:A,0)),0),0)</f>
        <v>0</v>
      </c>
      <c r="V46" s="562">
        <f>IFERROR((S46+(T46-U46)/2)*INDEX('Facility Master'!R:R,MATCH(RBL_TL_SNo,'Facility Master'!A:A,0))*(B46-B45)/DaysInYear,0)</f>
        <v>0</v>
      </c>
      <c r="W46" s="562">
        <f t="shared" si="21"/>
        <v>0</v>
      </c>
      <c r="X46" s="561">
        <f t="shared" si="33"/>
        <v>336.375</v>
      </c>
      <c r="Y46" s="561">
        <f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561">
        <f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561">
        <f>IFERROR((X46+(Y46-Z46)/2)*INDEX('Facility Master'!R:R,MATCH(YBL_TL_SNo,'Facility Master'!A:A,0))*(B46-B45)/DaysInYear,0)</f>
        <v>7.9209400684931506</v>
      </c>
      <c r="AB46" s="561">
        <f t="shared" si="22"/>
        <v>321.75</v>
      </c>
      <c r="AC46" s="561">
        <f t="shared" si="34"/>
        <v>274.27499999999998</v>
      </c>
      <c r="AD46" s="561">
        <f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561">
        <f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11.924999999999999</v>
      </c>
      <c r="AF46" s="561">
        <f>IFERROR((AC46+(AD46-AE46)/2)*INDEX('Facility Master'!R:R,MATCH(IDFC_TL_SNo,'Facility Master'!A:A,0))*(B46-B45)/DaysInYear,0)</f>
        <v>5.9513917808219174</v>
      </c>
      <c r="AG46" s="561">
        <f t="shared" si="23"/>
        <v>262.35000000000002</v>
      </c>
      <c r="AH46" s="563">
        <f t="shared" si="35"/>
        <v>434.7</v>
      </c>
      <c r="AI46" s="563">
        <f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563">
        <f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18.899999999999999</v>
      </c>
      <c r="AK46" s="563">
        <f>IFERROR((AH46+(AI46-AJ46)/2)*INDEX('Facility Master'!R:R,MATCH(ICICI_TL_SNo,'Facility Master'!A:A,0))*(B46-B45)/DaysInYear,0)</f>
        <v>9.3252082191780836</v>
      </c>
      <c r="AL46" s="563">
        <f t="shared" si="24"/>
        <v>415.8</v>
      </c>
      <c r="AM46" s="561">
        <f t="shared" si="25"/>
        <v>81.359999999999985</v>
      </c>
      <c r="AN46" s="561">
        <f t="shared" si="26"/>
        <v>42.125393219178079</v>
      </c>
      <c r="AO46" s="561">
        <f t="shared" si="27"/>
        <v>123.48539321917806</v>
      </c>
      <c r="AP46" s="561">
        <f t="shared" si="28"/>
        <v>1784.6324999999999</v>
      </c>
    </row>
    <row r="47" spans="1:42" ht="15.75" customHeight="1" x14ac:dyDescent="0.3">
      <c r="A47" s="375">
        <v>43</v>
      </c>
      <c r="B47" s="556">
        <v>48944</v>
      </c>
      <c r="C47" s="375" t="s">
        <v>664</v>
      </c>
      <c r="D47" s="379">
        <f t="shared" si="29"/>
        <v>556.875</v>
      </c>
      <c r="E47" s="379">
        <f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379">
        <f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379">
        <f>IFERROR((D47+(E47-F47)/2)*INDEX('Facility Master'!R:R,MATCH(UBI_RTL1_SNo,'Facility Master'!A:A,0))*(B47-B46)/DaysInYear,0)</f>
        <v>12.89425684931507</v>
      </c>
      <c r="H47" s="379">
        <f t="shared" si="18"/>
        <v>531.5625</v>
      </c>
      <c r="I47" s="379">
        <f t="shared" si="30"/>
        <v>116.82</v>
      </c>
      <c r="J47" s="379">
        <f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379">
        <f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379">
        <f>IFERROR((I47+(J47-K47)/2)*INDEX('Facility Master'!R:R,MATCH(UBI_RTL2_SNo,'Facility Master'!A:A,0))*(B47-B46)/DaysInYear,0)</f>
        <v>2.6186010410958902</v>
      </c>
      <c r="M47" s="379">
        <f t="shared" si="19"/>
        <v>111.51</v>
      </c>
      <c r="N47" s="379">
        <f t="shared" si="31"/>
        <v>111.03749999999999</v>
      </c>
      <c r="O47" s="379">
        <f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379">
        <f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5.2874999999999996</v>
      </c>
      <c r="Q47" s="379">
        <f>IFERROR((N47+(O47-P47)/2)*INDEX('Facility Master'!R:R,MATCH(IB_TL_SNo,'Facility Master'!A:A,0))*(B47-B46)/DaysInYear,0)</f>
        <v>2.5681894520547948</v>
      </c>
      <c r="R47" s="379">
        <f t="shared" si="20"/>
        <v>105.75</v>
      </c>
      <c r="S47" s="557">
        <f t="shared" si="32"/>
        <v>0</v>
      </c>
      <c r="T47" s="557">
        <f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557">
        <f>IFERROR(IF(AND(RBL_TL_Maturity&lt;=B47,RBL_TL_Maturity&gt;B46),INDEX('Facility Master'!K:K,MATCH(RBL_TL_SNo,'Facility Master'!A:A,0)),0),0)</f>
        <v>0</v>
      </c>
      <c r="V47" s="557">
        <f>IFERROR((S47+(T47-U47)/2)*INDEX('Facility Master'!R:R,MATCH(RBL_TL_SNo,'Facility Master'!A:A,0))*(B47-B46)/DaysInYear,0)</f>
        <v>0</v>
      </c>
      <c r="W47" s="557">
        <f t="shared" si="21"/>
        <v>0</v>
      </c>
      <c r="X47" s="379">
        <f t="shared" si="33"/>
        <v>321.75</v>
      </c>
      <c r="Y47" s="379">
        <f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379">
        <f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379">
        <f>IFERROR((X47+(Y47-Z47)/2)*INDEX('Facility Master'!R:R,MATCH(YBL_TL_SNo,'Facility Master'!A:A,0))*(B47-B46)/DaysInYear,0)</f>
        <v>7.5688982876712334</v>
      </c>
      <c r="AB47" s="379">
        <f t="shared" si="22"/>
        <v>307.125</v>
      </c>
      <c r="AC47" s="379">
        <f t="shared" si="34"/>
        <v>262.35000000000002</v>
      </c>
      <c r="AD47" s="379">
        <f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379">
        <f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11.924999999999999</v>
      </c>
      <c r="AF47" s="379">
        <f>IFERROR((AC47+(AD47-AE47)/2)*INDEX('Facility Master'!R:R,MATCH(IDFC_TL_SNo,'Facility Master'!A:A,0))*(B47-B46)/DaysInYear,0)</f>
        <v>5.6868854794520551</v>
      </c>
      <c r="AG47" s="379">
        <f t="shared" si="23"/>
        <v>250.42500000000001</v>
      </c>
      <c r="AH47" s="558">
        <f t="shared" si="35"/>
        <v>415.8</v>
      </c>
      <c r="AI47" s="558">
        <f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558">
        <f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18.899999999999999</v>
      </c>
      <c r="AK47" s="558">
        <f>IFERROR((AH47+(AI47-AJ47)/2)*INDEX('Facility Master'!R:R,MATCH(ICICI_TL_SNo,'Facility Master'!A:A,0))*(B47-B46)/DaysInYear,0)</f>
        <v>8.9107545205479468</v>
      </c>
      <c r="AL47" s="558">
        <f t="shared" si="24"/>
        <v>396.9</v>
      </c>
      <c r="AM47" s="379">
        <f t="shared" si="25"/>
        <v>81.359999999999985</v>
      </c>
      <c r="AN47" s="379">
        <f t="shared" si="26"/>
        <v>40.247585630136996</v>
      </c>
      <c r="AO47" s="379">
        <f t="shared" si="27"/>
        <v>121.60758563013698</v>
      </c>
      <c r="AP47" s="379">
        <f t="shared" si="28"/>
        <v>1703.2725</v>
      </c>
    </row>
    <row r="48" spans="1:42" ht="15.75" customHeight="1" x14ac:dyDescent="0.3">
      <c r="A48" s="559">
        <v>44</v>
      </c>
      <c r="B48" s="560">
        <v>49034</v>
      </c>
      <c r="C48" s="559" t="s">
        <v>665</v>
      </c>
      <c r="D48" s="561">
        <f t="shared" si="29"/>
        <v>531.5625</v>
      </c>
      <c r="E48" s="561">
        <f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561">
        <f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561">
        <f>IFERROR((D48+(E48-F48)/2)*INDEX('Facility Master'!R:R,MATCH(UBI_RTL1_SNo,'Facility Master'!A:A,0))*(B48-B47)/DaysInYear,0)</f>
        <v>12.027251712328766</v>
      </c>
      <c r="H48" s="561">
        <f t="shared" si="18"/>
        <v>506.25</v>
      </c>
      <c r="I48" s="561">
        <f t="shared" si="30"/>
        <v>111.51</v>
      </c>
      <c r="J48" s="561">
        <f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561">
        <f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561">
        <f>IFERROR((I48+(J48-K48)/2)*INDEX('Facility Master'!R:R,MATCH(UBI_RTL2_SNo,'Facility Master'!A:A,0))*(B48-B47)/DaysInYear,0)</f>
        <v>2.4425272602739727</v>
      </c>
      <c r="M48" s="561">
        <f t="shared" si="19"/>
        <v>106.2</v>
      </c>
      <c r="N48" s="561">
        <f t="shared" si="31"/>
        <v>105.75</v>
      </c>
      <c r="O48" s="561">
        <f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561">
        <f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5.2874999999999996</v>
      </c>
      <c r="Q48" s="561">
        <f>IFERROR((N48+(O48-P48)/2)*INDEX('Facility Master'!R:R,MATCH(IB_TL_SNo,'Facility Master'!A:A,0))*(B48-B47)/DaysInYear,0)</f>
        <v>2.3898051369863014</v>
      </c>
      <c r="R48" s="561">
        <f t="shared" si="20"/>
        <v>100.46250000000001</v>
      </c>
      <c r="S48" s="562">
        <f t="shared" si="32"/>
        <v>0</v>
      </c>
      <c r="T48" s="562">
        <f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562">
        <f>IFERROR(IF(AND(RBL_TL_Maturity&lt;=B48,RBL_TL_Maturity&gt;B47),INDEX('Facility Master'!K:K,MATCH(RBL_TL_SNo,'Facility Master'!A:A,0)),0),0)</f>
        <v>0</v>
      </c>
      <c r="V48" s="562">
        <f>IFERROR((S48+(T48-U48)/2)*INDEX('Facility Master'!R:R,MATCH(RBL_TL_SNo,'Facility Master'!A:A,0))*(B48-B47)/DaysInYear,0)</f>
        <v>0</v>
      </c>
      <c r="W48" s="562">
        <f t="shared" si="21"/>
        <v>0</v>
      </c>
      <c r="X48" s="561">
        <f t="shared" si="33"/>
        <v>307.125</v>
      </c>
      <c r="Y48" s="561">
        <f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561">
        <f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561">
        <f>IFERROR((X48+(Y48-Z48)/2)*INDEX('Facility Master'!R:R,MATCH(YBL_TL_SNo,'Facility Master'!A:A,0))*(B48-B47)/DaysInYear,0)</f>
        <v>7.0599683219178075</v>
      </c>
      <c r="AB48" s="561">
        <f t="shared" si="22"/>
        <v>292.5</v>
      </c>
      <c r="AC48" s="561">
        <f t="shared" si="34"/>
        <v>250.42500000000001</v>
      </c>
      <c r="AD48" s="561">
        <f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561">
        <f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11.924999999999999</v>
      </c>
      <c r="AF48" s="561">
        <f>IFERROR((AC48+(AD48-AE48)/2)*INDEX('Facility Master'!R:R,MATCH(IDFC_TL_SNo,'Facility Master'!A:A,0))*(B48-B47)/DaysInYear,0)</f>
        <v>5.3045013698630132</v>
      </c>
      <c r="AG48" s="561">
        <f t="shared" si="23"/>
        <v>238.5</v>
      </c>
      <c r="AH48" s="563">
        <f t="shared" si="35"/>
        <v>396.9</v>
      </c>
      <c r="AI48" s="563">
        <f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563">
        <f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18.899999999999999</v>
      </c>
      <c r="AK48" s="563">
        <f>IFERROR((AH48+(AI48-AJ48)/2)*INDEX('Facility Master'!R:R,MATCH(ICICI_TL_SNo,'Facility Master'!A:A,0))*(B48-B47)/DaysInYear,0)</f>
        <v>8.3115986301369862</v>
      </c>
      <c r="AL48" s="563">
        <f t="shared" si="24"/>
        <v>378</v>
      </c>
      <c r="AM48" s="561">
        <f t="shared" si="25"/>
        <v>81.359999999999985</v>
      </c>
      <c r="AN48" s="561">
        <f t="shared" si="26"/>
        <v>37.535652431506847</v>
      </c>
      <c r="AO48" s="561">
        <f t="shared" si="27"/>
        <v>118.89565243150683</v>
      </c>
      <c r="AP48" s="561">
        <f t="shared" si="28"/>
        <v>1621.9124999999999</v>
      </c>
    </row>
    <row r="49" spans="1:42" ht="15.75" customHeight="1" x14ac:dyDescent="0.3">
      <c r="A49" s="375">
        <v>45</v>
      </c>
      <c r="B49" s="556">
        <v>49125</v>
      </c>
      <c r="C49" s="375" t="s">
        <v>666</v>
      </c>
      <c r="D49" s="379">
        <f t="shared" si="29"/>
        <v>506.25</v>
      </c>
      <c r="E49" s="379">
        <f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379">
        <f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379">
        <f>IFERROR((D49+(E49-F49)/2)*INDEX('Facility Master'!R:R,MATCH(UBI_RTL1_SNo,'Facility Master'!A:A,0))*(B49-B48)/DaysInYear,0)</f>
        <v>11.567673801369862</v>
      </c>
      <c r="H49" s="379">
        <f t="shared" si="18"/>
        <v>480.9375</v>
      </c>
      <c r="I49" s="379">
        <f t="shared" si="30"/>
        <v>106.2</v>
      </c>
      <c r="J49" s="379">
        <f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379">
        <f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379">
        <f>IFERROR((I49+(J49-K49)/2)*INDEX('Facility Master'!R:R,MATCH(UBI_RTL2_SNo,'Facility Master'!A:A,0))*(B49-B48)/DaysInYear,0)</f>
        <v>2.349194917808219</v>
      </c>
      <c r="M49" s="379">
        <f t="shared" si="19"/>
        <v>100.89</v>
      </c>
      <c r="N49" s="379">
        <f t="shared" si="31"/>
        <v>100.46250000000001</v>
      </c>
      <c r="O49" s="379">
        <f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379">
        <f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5.2874999999999996</v>
      </c>
      <c r="Q49" s="379">
        <f>IFERROR((N49+(O49-P49)/2)*INDEX('Facility Master'!R:R,MATCH(IB_TL_SNo,'Facility Master'!A:A,0))*(B49-B48)/DaysInYear,0)</f>
        <v>2.2924427054794521</v>
      </c>
      <c r="R49" s="379">
        <f t="shared" si="20"/>
        <v>95.174999999999997</v>
      </c>
      <c r="S49" s="557">
        <f t="shared" si="32"/>
        <v>0</v>
      </c>
      <c r="T49" s="557">
        <f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557">
        <f>IFERROR(IF(AND(RBL_TL_Maturity&lt;=B49,RBL_TL_Maturity&gt;B48),INDEX('Facility Master'!K:K,MATCH(RBL_TL_SNo,'Facility Master'!A:A,0)),0),0)</f>
        <v>0</v>
      </c>
      <c r="V49" s="557">
        <f>IFERROR((S49+(T49-U49)/2)*INDEX('Facility Master'!R:R,MATCH(RBL_TL_SNo,'Facility Master'!A:A,0))*(B49-B48)/DaysInYear,0)</f>
        <v>0</v>
      </c>
      <c r="W49" s="557">
        <f t="shared" si="21"/>
        <v>0</v>
      </c>
      <c r="X49" s="379">
        <f t="shared" si="33"/>
        <v>292.5</v>
      </c>
      <c r="Y49" s="379">
        <f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379">
        <f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379">
        <f>IFERROR((X49+(Y49-Z49)/2)*INDEX('Facility Master'!R:R,MATCH(YBL_TL_SNo,'Facility Master'!A:A,0))*(B49-B48)/DaysInYear,0)</f>
        <v>6.7901971746575338</v>
      </c>
      <c r="AB49" s="379">
        <f t="shared" si="22"/>
        <v>277.875</v>
      </c>
      <c r="AC49" s="379">
        <f t="shared" si="34"/>
        <v>238.5</v>
      </c>
      <c r="AD49" s="379">
        <f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379">
        <f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11.924999999999999</v>
      </c>
      <c r="AF49" s="379">
        <f>IFERROR((AC49+(AD49-AE49)/2)*INDEX('Facility Master'!R:R,MATCH(IDFC_TL_SNo,'Facility Master'!A:A,0))*(B49-B48)/DaysInYear,0)</f>
        <v>5.1018090410958896</v>
      </c>
      <c r="AG49" s="379">
        <f t="shared" si="23"/>
        <v>226.57499999999999</v>
      </c>
      <c r="AH49" s="558">
        <f t="shared" si="35"/>
        <v>378</v>
      </c>
      <c r="AI49" s="558">
        <f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558">
        <f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18.899999999999999</v>
      </c>
      <c r="AK49" s="558">
        <f>IFERROR((AH49+(AI49-AJ49)/2)*INDEX('Facility Master'!R:R,MATCH(ICICI_TL_SNo,'Facility Master'!A:A,0))*(B49-B48)/DaysInYear,0)</f>
        <v>7.9940009589041106</v>
      </c>
      <c r="AL49" s="558">
        <f t="shared" si="24"/>
        <v>359.1</v>
      </c>
      <c r="AM49" s="379">
        <f t="shared" si="25"/>
        <v>81.359999999999985</v>
      </c>
      <c r="AN49" s="379">
        <f t="shared" si="26"/>
        <v>36.095318599315071</v>
      </c>
      <c r="AO49" s="379">
        <f t="shared" si="27"/>
        <v>117.45531859931506</v>
      </c>
      <c r="AP49" s="379">
        <f t="shared" si="28"/>
        <v>1540.5524999999998</v>
      </c>
    </row>
    <row r="50" spans="1:42" ht="15.75" customHeight="1" x14ac:dyDescent="0.3">
      <c r="A50" s="559">
        <v>46</v>
      </c>
      <c r="B50" s="560">
        <v>49217</v>
      </c>
      <c r="C50" s="559" t="s">
        <v>667</v>
      </c>
      <c r="D50" s="561">
        <f t="shared" si="29"/>
        <v>480.9375</v>
      </c>
      <c r="E50" s="561">
        <f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561">
        <f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561">
        <f>IFERROR((D50+(E50-F50)/2)*INDEX('Facility Master'!R:R,MATCH(UBI_RTL1_SNo,'Facility Master'!A:A,0))*(B50-B49)/DaysInYear,0)</f>
        <v>11.095058219178082</v>
      </c>
      <c r="H50" s="561">
        <f t="shared" si="18"/>
        <v>455.625</v>
      </c>
      <c r="I50" s="561">
        <f t="shared" si="30"/>
        <v>100.89</v>
      </c>
      <c r="J50" s="561">
        <f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561">
        <f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561">
        <f>IFERROR((I50+(J50-K50)/2)*INDEX('Facility Master'!R:R,MATCH(UBI_RTL2_SNo,'Facility Master'!A:A,0))*(B50-B49)/DaysInYear,0)</f>
        <v>2.2532148493150683</v>
      </c>
      <c r="M50" s="561">
        <f t="shared" si="19"/>
        <v>95.58</v>
      </c>
      <c r="N50" s="561">
        <f t="shared" si="31"/>
        <v>95.174999999999997</v>
      </c>
      <c r="O50" s="561">
        <f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561">
        <f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5.2874999999999996</v>
      </c>
      <c r="Q50" s="561">
        <f>IFERROR((N50+(O50-P50)/2)*INDEX('Facility Master'!R:R,MATCH(IB_TL_SNo,'Facility Master'!A:A,0))*(B50-B49)/DaysInYear,0)</f>
        <v>2.1923568493150682</v>
      </c>
      <c r="R50" s="561">
        <f t="shared" si="20"/>
        <v>89.887500000000003</v>
      </c>
      <c r="S50" s="562">
        <f t="shared" si="32"/>
        <v>0</v>
      </c>
      <c r="T50" s="562">
        <f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562">
        <f>IFERROR(IF(AND(RBL_TL_Maturity&lt;=B50,RBL_TL_Maturity&gt;B49),INDEX('Facility Master'!K:K,MATCH(RBL_TL_SNo,'Facility Master'!A:A,0)),0),0)</f>
        <v>0</v>
      </c>
      <c r="V50" s="562">
        <f>IFERROR((S50+(T50-U50)/2)*INDEX('Facility Master'!R:R,MATCH(RBL_TL_SNo,'Facility Master'!A:A,0))*(B50-B49)/DaysInYear,0)</f>
        <v>0</v>
      </c>
      <c r="W50" s="562">
        <f t="shared" si="21"/>
        <v>0</v>
      </c>
      <c r="X50" s="561">
        <f t="shared" si="33"/>
        <v>277.875</v>
      </c>
      <c r="Y50" s="561">
        <f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561">
        <f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561">
        <f>IFERROR((X50+(Y50-Z50)/2)*INDEX('Facility Master'!R:R,MATCH(YBL_TL_SNo,'Facility Master'!A:A,0))*(B50-B49)/DaysInYear,0)</f>
        <v>6.5127729452054801</v>
      </c>
      <c r="AB50" s="561">
        <f t="shared" si="22"/>
        <v>263.25</v>
      </c>
      <c r="AC50" s="561">
        <f t="shared" si="34"/>
        <v>226.57499999999999</v>
      </c>
      <c r="AD50" s="561">
        <f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561">
        <f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11.924999999999999</v>
      </c>
      <c r="AF50" s="561">
        <f>IFERROR((AC50+(AD50-AE50)/2)*INDEX('Facility Master'!R:R,MATCH(IDFC_TL_SNo,'Facility Master'!A:A,0))*(B50-B49)/DaysInYear,0)</f>
        <v>4.8933665753424656</v>
      </c>
      <c r="AG50" s="561">
        <f t="shared" si="23"/>
        <v>214.65</v>
      </c>
      <c r="AH50" s="563">
        <f t="shared" si="35"/>
        <v>359.1</v>
      </c>
      <c r="AI50" s="563">
        <f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563">
        <f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18.899999999999999</v>
      </c>
      <c r="AK50" s="563">
        <f>IFERROR((AH50+(AI50-AJ50)/2)*INDEX('Facility Master'!R:R,MATCH(ICICI_TL_SNo,'Facility Master'!A:A,0))*(B50-B49)/DaysInYear,0)</f>
        <v>7.6673934246575346</v>
      </c>
      <c r="AL50" s="563">
        <f t="shared" si="24"/>
        <v>340.2</v>
      </c>
      <c r="AM50" s="561">
        <f t="shared" si="25"/>
        <v>81.359999999999985</v>
      </c>
      <c r="AN50" s="561">
        <f t="shared" si="26"/>
        <v>34.614162863013696</v>
      </c>
      <c r="AO50" s="561">
        <f t="shared" si="27"/>
        <v>115.97416286301367</v>
      </c>
      <c r="AP50" s="561">
        <f t="shared" si="28"/>
        <v>1459.1925000000001</v>
      </c>
    </row>
    <row r="51" spans="1:42" ht="15.75" customHeight="1" x14ac:dyDescent="0.3">
      <c r="A51" s="375">
        <v>47</v>
      </c>
      <c r="B51" s="556">
        <v>49309</v>
      </c>
      <c r="C51" s="375" t="s">
        <v>668</v>
      </c>
      <c r="D51" s="379">
        <f t="shared" si="29"/>
        <v>455.625</v>
      </c>
      <c r="E51" s="379">
        <f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379">
        <f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379">
        <f>IFERROR((D51+(E51-F51)/2)*INDEX('Facility Master'!R:R,MATCH(UBI_RTL1_SNo,'Facility Master'!A:A,0))*(B51-B50)/DaysInYear,0)</f>
        <v>10.495325342465755</v>
      </c>
      <c r="H51" s="379">
        <f t="shared" si="18"/>
        <v>430.3125</v>
      </c>
      <c r="I51" s="379">
        <f t="shared" si="30"/>
        <v>95.58</v>
      </c>
      <c r="J51" s="379">
        <f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379">
        <f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379">
        <f>IFERROR((I51+(J51-K51)/2)*INDEX('Facility Master'!R:R,MATCH(UBI_RTL2_SNo,'Facility Master'!A:A,0))*(B51-B50)/DaysInYear,0)</f>
        <v>2.1314194520547947</v>
      </c>
      <c r="M51" s="379">
        <f t="shared" si="19"/>
        <v>90.27</v>
      </c>
      <c r="N51" s="379">
        <f t="shared" si="31"/>
        <v>89.887500000000003</v>
      </c>
      <c r="O51" s="379">
        <f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379">
        <f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5.2874999999999996</v>
      </c>
      <c r="Q51" s="379">
        <f>IFERROR((N51+(O51-P51)/2)*INDEX('Facility Master'!R:R,MATCH(IB_TL_SNo,'Facility Master'!A:A,0))*(B51-B50)/DaysInYear,0)</f>
        <v>2.0670793150684932</v>
      </c>
      <c r="R51" s="379">
        <f t="shared" si="20"/>
        <v>84.6</v>
      </c>
      <c r="S51" s="557">
        <f t="shared" si="32"/>
        <v>0</v>
      </c>
      <c r="T51" s="557">
        <f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557">
        <f>IFERROR(IF(AND(RBL_TL_Maturity&lt;=B51,RBL_TL_Maturity&gt;B50),INDEX('Facility Master'!K:K,MATCH(RBL_TL_SNo,'Facility Master'!A:A,0)),0),0)</f>
        <v>0</v>
      </c>
      <c r="V51" s="557">
        <f>IFERROR((S51+(T51-U51)/2)*INDEX('Facility Master'!R:R,MATCH(RBL_TL_SNo,'Facility Master'!A:A,0))*(B51-B50)/DaysInYear,0)</f>
        <v>0</v>
      </c>
      <c r="W51" s="557">
        <f t="shared" si="21"/>
        <v>0</v>
      </c>
      <c r="X51" s="379">
        <f t="shared" si="33"/>
        <v>263.25</v>
      </c>
      <c r="Y51" s="379">
        <f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379">
        <f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379">
        <f>IFERROR((X51+(Y51-Z51)/2)*INDEX('Facility Master'!R:R,MATCH(YBL_TL_SNo,'Facility Master'!A:A,0))*(B51-B50)/DaysInYear,0)</f>
        <v>6.1607311643835612</v>
      </c>
      <c r="AB51" s="379">
        <f t="shared" si="22"/>
        <v>248.625</v>
      </c>
      <c r="AC51" s="379">
        <f t="shared" si="34"/>
        <v>214.65</v>
      </c>
      <c r="AD51" s="379">
        <f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379">
        <f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11.924999999999999</v>
      </c>
      <c r="AF51" s="379">
        <f>IFERROR((AC51+(AD51-AE51)/2)*INDEX('Facility Master'!R:R,MATCH(IDFC_TL_SNo,'Facility Master'!A:A,0))*(B51-B50)/DaysInYear,0)</f>
        <v>4.6288602739726024</v>
      </c>
      <c r="AG51" s="379">
        <f t="shared" si="23"/>
        <v>202.72499999999999</v>
      </c>
      <c r="AH51" s="558">
        <f t="shared" si="35"/>
        <v>340.2</v>
      </c>
      <c r="AI51" s="558">
        <f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558">
        <f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18.899999999999999</v>
      </c>
      <c r="AK51" s="558">
        <f>IFERROR((AH51+(AI51-AJ51)/2)*INDEX('Facility Master'!R:R,MATCH(ICICI_TL_SNo,'Facility Master'!A:A,0))*(B51-B50)/DaysInYear,0)</f>
        <v>7.2529397260273978</v>
      </c>
      <c r="AL51" s="558">
        <f t="shared" si="24"/>
        <v>321.3</v>
      </c>
      <c r="AM51" s="379">
        <f t="shared" si="25"/>
        <v>81.359999999999985</v>
      </c>
      <c r="AN51" s="379">
        <f t="shared" si="26"/>
        <v>32.736355273972606</v>
      </c>
      <c r="AO51" s="379">
        <f t="shared" si="27"/>
        <v>114.09635527397259</v>
      </c>
      <c r="AP51" s="379">
        <f t="shared" si="28"/>
        <v>1377.8325</v>
      </c>
    </row>
    <row r="52" spans="1:42" ht="15.75" customHeight="1" x14ac:dyDescent="0.3">
      <c r="A52" s="559">
        <v>48</v>
      </c>
      <c r="B52" s="560">
        <v>49399</v>
      </c>
      <c r="C52" s="559" t="s">
        <v>669</v>
      </c>
      <c r="D52" s="561">
        <f t="shared" si="29"/>
        <v>430.3125</v>
      </c>
      <c r="E52" s="561">
        <f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561">
        <f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561">
        <f>IFERROR((D52+(E52-F52)/2)*INDEX('Facility Master'!R:R,MATCH(UBI_RTL1_SNo,'Facility Master'!A:A,0))*(B52-B51)/DaysInYear,0)</f>
        <v>9.6804708904109589</v>
      </c>
      <c r="H52" s="561">
        <f t="shared" si="18"/>
        <v>405</v>
      </c>
      <c r="I52" s="561">
        <f t="shared" si="30"/>
        <v>90.27</v>
      </c>
      <c r="J52" s="561">
        <f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561">
        <f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561">
        <f>IFERROR((I52+(J52-K52)/2)*INDEX('Facility Master'!R:R,MATCH(UBI_RTL2_SNo,'Facility Master'!A:A,0))*(B52-B51)/DaysInYear,0)</f>
        <v>1.9659365753424656</v>
      </c>
      <c r="M52" s="561">
        <f t="shared" si="19"/>
        <v>84.96</v>
      </c>
      <c r="N52" s="561">
        <f t="shared" si="31"/>
        <v>84.6</v>
      </c>
      <c r="O52" s="561">
        <f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561">
        <f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5.2874999999999996</v>
      </c>
      <c r="Q52" s="561">
        <f>IFERROR((N52+(O52-P52)/2)*INDEX('Facility Master'!R:R,MATCH(IB_TL_SNo,'Facility Master'!A:A,0))*(B52-B51)/DaysInYear,0)</f>
        <v>1.8995886986301369</v>
      </c>
      <c r="R52" s="561">
        <f t="shared" si="20"/>
        <v>79.3125</v>
      </c>
      <c r="S52" s="562">
        <f t="shared" si="32"/>
        <v>0</v>
      </c>
      <c r="T52" s="562">
        <f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562">
        <f>IFERROR(IF(AND(RBL_TL_Maturity&lt;=B52,RBL_TL_Maturity&gt;B51),INDEX('Facility Master'!K:K,MATCH(RBL_TL_SNo,'Facility Master'!A:A,0)),0),0)</f>
        <v>0</v>
      </c>
      <c r="V52" s="562">
        <f>IFERROR((S52+(T52-U52)/2)*INDEX('Facility Master'!R:R,MATCH(RBL_TL_SNo,'Facility Master'!A:A,0))*(B52-B51)/DaysInYear,0)</f>
        <v>0</v>
      </c>
      <c r="W52" s="562">
        <f t="shared" si="21"/>
        <v>0</v>
      </c>
      <c r="X52" s="561">
        <f t="shared" si="33"/>
        <v>248.625</v>
      </c>
      <c r="Y52" s="561">
        <f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561">
        <f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561">
        <f>IFERROR((X52+(Y52-Z52)/2)*INDEX('Facility Master'!R:R,MATCH(YBL_TL_SNo,'Facility Master'!A:A,0))*(B52-B51)/DaysInYear,0)</f>
        <v>5.6824135273972596</v>
      </c>
      <c r="AB52" s="561">
        <f t="shared" si="22"/>
        <v>234</v>
      </c>
      <c r="AC52" s="561">
        <f t="shared" si="34"/>
        <v>202.72499999999999</v>
      </c>
      <c r="AD52" s="561">
        <f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561">
        <f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11.924999999999999</v>
      </c>
      <c r="AF52" s="561">
        <f>IFERROR((AC52+(AD52-AE52)/2)*INDEX('Facility Master'!R:R,MATCH(IDFC_TL_SNo,'Facility Master'!A:A,0))*(B52-B51)/DaysInYear,0)</f>
        <v>4.2694767123287667</v>
      </c>
      <c r="AG52" s="561">
        <f t="shared" si="23"/>
        <v>190.8</v>
      </c>
      <c r="AH52" s="563">
        <f t="shared" si="35"/>
        <v>321.3</v>
      </c>
      <c r="AI52" s="563">
        <f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563">
        <f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18.899999999999999</v>
      </c>
      <c r="AK52" s="563">
        <f>IFERROR((AH52+(AI52-AJ52)/2)*INDEX('Facility Master'!R:R,MATCH(ICICI_TL_SNo,'Facility Master'!A:A,0))*(B52-B51)/DaysInYear,0)</f>
        <v>6.689823287671234</v>
      </c>
      <c r="AL52" s="563">
        <f t="shared" si="24"/>
        <v>302.39999999999998</v>
      </c>
      <c r="AM52" s="561">
        <f t="shared" si="25"/>
        <v>81.359999999999985</v>
      </c>
      <c r="AN52" s="561">
        <f t="shared" si="26"/>
        <v>30.187709691780825</v>
      </c>
      <c r="AO52" s="561">
        <f t="shared" si="27"/>
        <v>111.54770969178081</v>
      </c>
      <c r="AP52" s="561">
        <f t="shared" si="28"/>
        <v>1296.4724999999999</v>
      </c>
    </row>
    <row r="53" spans="1:42" ht="15.75" customHeight="1" x14ac:dyDescent="0.3">
      <c r="A53" s="375">
        <v>49</v>
      </c>
      <c r="B53" s="556">
        <v>49490</v>
      </c>
      <c r="C53" s="375" t="s">
        <v>670</v>
      </c>
      <c r="D53" s="379">
        <f t="shared" si="29"/>
        <v>405</v>
      </c>
      <c r="E53" s="379">
        <f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379">
        <f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379">
        <f>IFERROR((D53+(E53-F53)/2)*INDEX('Facility Master'!R:R,MATCH(UBI_RTL1_SNo,'Facility Master'!A:A,0))*(B53-B52)/DaysInYear,0)</f>
        <v>9.1948176369863006</v>
      </c>
      <c r="H53" s="379">
        <f t="shared" si="18"/>
        <v>379.6875</v>
      </c>
      <c r="I53" s="379">
        <f t="shared" si="30"/>
        <v>84.96</v>
      </c>
      <c r="J53" s="379">
        <f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379">
        <f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379">
        <f>IFERROR((I53+(J53-K53)/2)*INDEX('Facility Master'!R:R,MATCH(UBI_RTL2_SNo,'Facility Master'!A:A,0))*(B53-B52)/DaysInYear,0)</f>
        <v>1.8673087808219175</v>
      </c>
      <c r="M53" s="379">
        <f t="shared" si="19"/>
        <v>79.650000000000006</v>
      </c>
      <c r="N53" s="379">
        <f t="shared" si="31"/>
        <v>79.3125</v>
      </c>
      <c r="O53" s="379">
        <f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379">
        <f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5.2874999999999996</v>
      </c>
      <c r="Q53" s="379">
        <f>IFERROR((N53+(O53-P53)/2)*INDEX('Facility Master'!R:R,MATCH(IB_TL_SNo,'Facility Master'!A:A,0))*(B53-B52)/DaysInYear,0)</f>
        <v>1.7967794178082193</v>
      </c>
      <c r="R53" s="379">
        <f t="shared" si="20"/>
        <v>74.025000000000006</v>
      </c>
      <c r="S53" s="557">
        <f t="shared" si="32"/>
        <v>0</v>
      </c>
      <c r="T53" s="557">
        <f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557">
        <f>IFERROR(IF(AND(RBL_TL_Maturity&lt;=B53,RBL_TL_Maturity&gt;B52),INDEX('Facility Master'!K:K,MATCH(RBL_TL_SNo,'Facility Master'!A:A,0)),0),0)</f>
        <v>0</v>
      </c>
      <c r="V53" s="557">
        <f>IFERROR((S53+(T53-U53)/2)*INDEX('Facility Master'!R:R,MATCH(RBL_TL_SNo,'Facility Master'!A:A,0))*(B53-B52)/DaysInYear,0)</f>
        <v>0</v>
      </c>
      <c r="W53" s="557">
        <f t="shared" si="21"/>
        <v>0</v>
      </c>
      <c r="X53" s="379">
        <f t="shared" si="33"/>
        <v>234</v>
      </c>
      <c r="Y53" s="379">
        <f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379">
        <f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379">
        <f>IFERROR((X53+(Y53-Z53)/2)*INDEX('Facility Master'!R:R,MATCH(YBL_TL_SNo,'Facility Master'!A:A,0))*(B53-B52)/DaysInYear,0)</f>
        <v>5.397336215753425</v>
      </c>
      <c r="AB53" s="379">
        <f t="shared" si="22"/>
        <v>219.375</v>
      </c>
      <c r="AC53" s="379">
        <f t="shared" si="34"/>
        <v>190.8</v>
      </c>
      <c r="AD53" s="379">
        <f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379">
        <f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11.924999999999999</v>
      </c>
      <c r="AF53" s="379">
        <f>IFERROR((AC53+(AD53-AE53)/2)*INDEX('Facility Master'!R:R,MATCH(IDFC_TL_SNo,'Facility Master'!A:A,0))*(B53-B52)/DaysInYear,0)</f>
        <v>4.0552841095890413</v>
      </c>
      <c r="AG53" s="379">
        <f t="shared" si="23"/>
        <v>178.875</v>
      </c>
      <c r="AH53" s="558">
        <f t="shared" si="35"/>
        <v>302.39999999999998</v>
      </c>
      <c r="AI53" s="558">
        <f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558">
        <f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18.899999999999999</v>
      </c>
      <c r="AK53" s="558">
        <f>IFERROR((AH53+(AI53-AJ53)/2)*INDEX('Facility Master'!R:R,MATCH(ICICI_TL_SNo,'Facility Master'!A:A,0))*(B53-B52)/DaysInYear,0)</f>
        <v>6.3542058904109595</v>
      </c>
      <c r="AL53" s="558">
        <f t="shared" si="24"/>
        <v>283.5</v>
      </c>
      <c r="AM53" s="379">
        <f t="shared" si="25"/>
        <v>81.359999999999985</v>
      </c>
      <c r="AN53" s="379">
        <f t="shared" si="26"/>
        <v>28.665732051369861</v>
      </c>
      <c r="AO53" s="379">
        <f t="shared" si="27"/>
        <v>110.02573205136984</v>
      </c>
      <c r="AP53" s="379">
        <f t="shared" si="28"/>
        <v>1215.1125</v>
      </c>
    </row>
    <row r="54" spans="1:42" ht="15.75" customHeight="1" x14ac:dyDescent="0.3">
      <c r="A54" s="559">
        <v>50</v>
      </c>
      <c r="B54" s="560">
        <v>49582</v>
      </c>
      <c r="C54" s="559" t="s">
        <v>671</v>
      </c>
      <c r="D54" s="561">
        <f t="shared" si="29"/>
        <v>379.6875</v>
      </c>
      <c r="E54" s="561">
        <f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561">
        <f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561">
        <f>IFERROR((D54+(E54-F54)/2)*INDEX('Facility Master'!R:R,MATCH(UBI_RTL1_SNo,'Facility Master'!A:A,0))*(B54-B53)/DaysInYear,0)</f>
        <v>8.6961267123287662</v>
      </c>
      <c r="H54" s="561">
        <f t="shared" si="18"/>
        <v>354.375</v>
      </c>
      <c r="I54" s="561">
        <f t="shared" si="30"/>
        <v>79.650000000000006</v>
      </c>
      <c r="J54" s="561">
        <f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561">
        <f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561">
        <f>IFERROR((I54+(J54-K54)/2)*INDEX('Facility Master'!R:R,MATCH(UBI_RTL2_SNo,'Facility Master'!A:A,0))*(B54-B53)/DaysInYear,0)</f>
        <v>1.7660332602739726</v>
      </c>
      <c r="M54" s="561">
        <f t="shared" si="19"/>
        <v>74.34</v>
      </c>
      <c r="N54" s="561">
        <f t="shared" si="31"/>
        <v>74.025000000000006</v>
      </c>
      <c r="O54" s="561">
        <f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561">
        <f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5.2874999999999996</v>
      </c>
      <c r="Q54" s="561">
        <f>IFERROR((N54+(O54-P54)/2)*INDEX('Facility Master'!R:R,MATCH(IB_TL_SNo,'Facility Master'!A:A,0))*(B54-B53)/DaysInYear,0)</f>
        <v>1.6912467123287673</v>
      </c>
      <c r="R54" s="561">
        <f t="shared" si="20"/>
        <v>68.737499999999997</v>
      </c>
      <c r="S54" s="562">
        <f t="shared" si="32"/>
        <v>0</v>
      </c>
      <c r="T54" s="562">
        <f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562">
        <f>IFERROR(IF(AND(RBL_TL_Maturity&lt;=B54,RBL_TL_Maturity&gt;B53),INDEX('Facility Master'!K:K,MATCH(RBL_TL_SNo,'Facility Master'!A:A,0)),0),0)</f>
        <v>0</v>
      </c>
      <c r="V54" s="562">
        <f>IFERROR((S54+(T54-U54)/2)*INDEX('Facility Master'!R:R,MATCH(RBL_TL_SNo,'Facility Master'!A:A,0))*(B54-B53)/DaysInYear,0)</f>
        <v>0</v>
      </c>
      <c r="W54" s="562">
        <f t="shared" si="21"/>
        <v>0</v>
      </c>
      <c r="X54" s="561">
        <f t="shared" si="33"/>
        <v>219.375</v>
      </c>
      <c r="Y54" s="561">
        <f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561">
        <f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561">
        <f>IFERROR((X54+(Y54-Z54)/2)*INDEX('Facility Master'!R:R,MATCH(YBL_TL_SNo,'Facility Master'!A:A,0))*(B54-B53)/DaysInYear,0)</f>
        <v>5.1046058219178088</v>
      </c>
      <c r="AB54" s="561">
        <f t="shared" si="22"/>
        <v>204.75</v>
      </c>
      <c r="AC54" s="561">
        <f t="shared" si="34"/>
        <v>178.875</v>
      </c>
      <c r="AD54" s="561">
        <f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561">
        <f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11.924999999999999</v>
      </c>
      <c r="AF54" s="561">
        <f>IFERROR((AC54+(AD54-AE54)/2)*INDEX('Facility Master'!R:R,MATCH(IDFC_TL_SNo,'Facility Master'!A:A,0))*(B54-B53)/DaysInYear,0)</f>
        <v>3.8353413698630137</v>
      </c>
      <c r="AG54" s="561">
        <f t="shared" si="23"/>
        <v>166.95</v>
      </c>
      <c r="AH54" s="563">
        <f t="shared" si="35"/>
        <v>283.5</v>
      </c>
      <c r="AI54" s="563">
        <f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563">
        <f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18.899999999999999</v>
      </c>
      <c r="AK54" s="563">
        <f>IFERROR((AH54+(AI54-AJ54)/2)*INDEX('Facility Master'!R:R,MATCH(ICICI_TL_SNo,'Facility Master'!A:A,0))*(B54-B53)/DaysInYear,0)</f>
        <v>6.0095786301369873</v>
      </c>
      <c r="AL54" s="563">
        <f t="shared" si="24"/>
        <v>264.60000000000002</v>
      </c>
      <c r="AM54" s="561">
        <f t="shared" si="25"/>
        <v>81.359999999999985</v>
      </c>
      <c r="AN54" s="561">
        <f t="shared" si="26"/>
        <v>27.102932506849314</v>
      </c>
      <c r="AO54" s="561">
        <f t="shared" si="27"/>
        <v>108.4629325068493</v>
      </c>
      <c r="AP54" s="561">
        <f t="shared" si="28"/>
        <v>1133.7525000000001</v>
      </c>
    </row>
    <row r="55" spans="1:42" ht="15.75" customHeight="1" x14ac:dyDescent="0.3">
      <c r="A55" s="375">
        <v>51</v>
      </c>
      <c r="B55" s="556">
        <v>49674</v>
      </c>
      <c r="C55" s="375" t="s">
        <v>672</v>
      </c>
      <c r="D55" s="379">
        <f t="shared" si="29"/>
        <v>354.375</v>
      </c>
      <c r="E55" s="379">
        <f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379">
        <f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379">
        <f>IFERROR((D55+(E55-F55)/2)*INDEX('Facility Master'!R:R,MATCH(UBI_RTL1_SNo,'Facility Master'!A:A,0))*(B55-B54)/DaysInYear,0)</f>
        <v>8.0963938356164391</v>
      </c>
      <c r="H55" s="379">
        <f t="shared" si="18"/>
        <v>329.0625</v>
      </c>
      <c r="I55" s="379">
        <f t="shared" si="30"/>
        <v>74.34</v>
      </c>
      <c r="J55" s="379">
        <f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379">
        <f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379">
        <f>IFERROR((I55+(J55-K55)/2)*INDEX('Facility Master'!R:R,MATCH(UBI_RTL2_SNo,'Facility Master'!A:A,0))*(B55-B54)/DaysInYear,0)</f>
        <v>1.6442378630136987</v>
      </c>
      <c r="M55" s="379">
        <f t="shared" si="19"/>
        <v>69.03</v>
      </c>
      <c r="N55" s="379">
        <f t="shared" si="31"/>
        <v>68.737499999999997</v>
      </c>
      <c r="O55" s="379">
        <f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379">
        <f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5.2874999999999996</v>
      </c>
      <c r="Q55" s="379">
        <f>IFERROR((N55+(O55-P55)/2)*INDEX('Facility Master'!R:R,MATCH(IB_TL_SNo,'Facility Master'!A:A,0))*(B55-B54)/DaysInYear,0)</f>
        <v>1.5659691780821918</v>
      </c>
      <c r="R55" s="379">
        <f t="shared" si="20"/>
        <v>63.45</v>
      </c>
      <c r="S55" s="557">
        <f t="shared" si="32"/>
        <v>0</v>
      </c>
      <c r="T55" s="557">
        <f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557">
        <f>IFERROR(IF(AND(RBL_TL_Maturity&lt;=B55,RBL_TL_Maturity&gt;B54),INDEX('Facility Master'!K:K,MATCH(RBL_TL_SNo,'Facility Master'!A:A,0)),0),0)</f>
        <v>0</v>
      </c>
      <c r="V55" s="557">
        <f>IFERROR((S55+(T55-U55)/2)*INDEX('Facility Master'!R:R,MATCH(RBL_TL_SNo,'Facility Master'!A:A,0))*(B55-B54)/DaysInYear,0)</f>
        <v>0</v>
      </c>
      <c r="W55" s="557">
        <f t="shared" si="21"/>
        <v>0</v>
      </c>
      <c r="X55" s="379">
        <f t="shared" si="33"/>
        <v>204.75</v>
      </c>
      <c r="Y55" s="379">
        <f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379">
        <f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379">
        <f>IFERROR((X55+(Y55-Z55)/2)*INDEX('Facility Master'!R:R,MATCH(YBL_TL_SNo,'Facility Master'!A:A,0))*(B55-B54)/DaysInYear,0)</f>
        <v>4.7525640410958907</v>
      </c>
      <c r="AB55" s="379">
        <f t="shared" si="22"/>
        <v>190.125</v>
      </c>
      <c r="AC55" s="379">
        <f t="shared" si="34"/>
        <v>166.95</v>
      </c>
      <c r="AD55" s="379">
        <f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379">
        <f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11.924999999999999</v>
      </c>
      <c r="AF55" s="379">
        <f>IFERROR((AC55+(AD55-AE55)/2)*INDEX('Facility Master'!R:R,MATCH(IDFC_TL_SNo,'Facility Master'!A:A,0))*(B55-B54)/DaysInYear,0)</f>
        <v>3.5708350684931505</v>
      </c>
      <c r="AG55" s="379">
        <f t="shared" si="23"/>
        <v>155.02500000000001</v>
      </c>
      <c r="AH55" s="558">
        <f t="shared" si="35"/>
        <v>264.60000000000002</v>
      </c>
      <c r="AI55" s="558">
        <f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558">
        <f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18.899999999999999</v>
      </c>
      <c r="AK55" s="558">
        <f>IFERROR((AH55+(AI55-AJ55)/2)*INDEX('Facility Master'!R:R,MATCH(ICICI_TL_SNo,'Facility Master'!A:A,0))*(B55-B54)/DaysInYear,0)</f>
        <v>5.5951249315068505</v>
      </c>
      <c r="AL55" s="558">
        <f t="shared" si="24"/>
        <v>245.7</v>
      </c>
      <c r="AM55" s="379">
        <f t="shared" si="25"/>
        <v>81.359999999999985</v>
      </c>
      <c r="AN55" s="379">
        <f t="shared" si="26"/>
        <v>25.225124917808216</v>
      </c>
      <c r="AO55" s="379">
        <f t="shared" si="27"/>
        <v>106.5851249178082</v>
      </c>
      <c r="AP55" s="379">
        <f t="shared" si="28"/>
        <v>1052.3924999999999</v>
      </c>
    </row>
    <row r="56" spans="1:42" ht="15.75" customHeight="1" x14ac:dyDescent="0.3">
      <c r="A56" s="559">
        <v>52</v>
      </c>
      <c r="B56" s="560">
        <v>49765</v>
      </c>
      <c r="C56" s="559" t="s">
        <v>673</v>
      </c>
      <c r="D56" s="561">
        <f t="shared" si="29"/>
        <v>329.0625</v>
      </c>
      <c r="E56" s="561">
        <f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561">
        <f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561">
        <f>IFERROR((D56+(E56-F56)/2)*INDEX('Facility Master'!R:R,MATCH(UBI_RTL1_SNo,'Facility Master'!A:A,0))*(B56-B55)/DaysInYear,0)</f>
        <v>7.4151755136986299</v>
      </c>
      <c r="H56" s="561">
        <f t="shared" si="18"/>
        <v>303.75</v>
      </c>
      <c r="I56" s="561">
        <f t="shared" si="30"/>
        <v>69.03</v>
      </c>
      <c r="J56" s="561">
        <f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561">
        <f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561">
        <f>IFERROR((I56+(J56-K56)/2)*INDEX('Facility Master'!R:R,MATCH(UBI_RTL2_SNo,'Facility Master'!A:A,0))*(B56-B55)/DaysInYear,0)</f>
        <v>1.5058941780821919</v>
      </c>
      <c r="M56" s="561">
        <f t="shared" si="19"/>
        <v>63.72</v>
      </c>
      <c r="N56" s="561">
        <f t="shared" si="31"/>
        <v>63.45</v>
      </c>
      <c r="O56" s="561">
        <f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561">
        <f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5.2874999999999996</v>
      </c>
      <c r="Q56" s="561">
        <f>IFERROR((N56+(O56-P56)/2)*INDEX('Facility Master'!R:R,MATCH(IB_TL_SNo,'Facility Master'!A:A,0))*(B56-B55)/DaysInYear,0)</f>
        <v>1.4250319520547947</v>
      </c>
      <c r="R56" s="561">
        <f t="shared" si="20"/>
        <v>58.162500000000001</v>
      </c>
      <c r="S56" s="562">
        <f t="shared" si="32"/>
        <v>0</v>
      </c>
      <c r="T56" s="562">
        <f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562">
        <f>IFERROR(IF(AND(RBL_TL_Maturity&lt;=B56,RBL_TL_Maturity&gt;B55),INDEX('Facility Master'!K:K,MATCH(RBL_TL_SNo,'Facility Master'!A:A,0)),0),0)</f>
        <v>0</v>
      </c>
      <c r="V56" s="562">
        <f>IFERROR((S56+(T56-U56)/2)*INDEX('Facility Master'!R:R,MATCH(RBL_TL_SNo,'Facility Master'!A:A,0))*(B56-B55)/DaysInYear,0)</f>
        <v>0</v>
      </c>
      <c r="W56" s="562">
        <f t="shared" si="21"/>
        <v>0</v>
      </c>
      <c r="X56" s="561">
        <f t="shared" si="33"/>
        <v>190.125</v>
      </c>
      <c r="Y56" s="561">
        <f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561">
        <f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561">
        <f>IFERROR((X56+(Y56-Z56)/2)*INDEX('Facility Master'!R:R,MATCH(YBL_TL_SNo,'Facility Master'!A:A,0))*(B56-B55)/DaysInYear,0)</f>
        <v>4.3526904965753417</v>
      </c>
      <c r="AB56" s="561">
        <f t="shared" si="22"/>
        <v>175.5</v>
      </c>
      <c r="AC56" s="561">
        <f t="shared" si="34"/>
        <v>155.02500000000001</v>
      </c>
      <c r="AD56" s="561">
        <f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561">
        <f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11.924999999999999</v>
      </c>
      <c r="AF56" s="561">
        <f>IFERROR((AC56+(AD56-AE56)/2)*INDEX('Facility Master'!R:R,MATCH(IDFC_TL_SNo,'Facility Master'!A:A,0))*(B56-B55)/DaysInYear,0)</f>
        <v>3.2703904109589037</v>
      </c>
      <c r="AG56" s="561">
        <f t="shared" si="23"/>
        <v>143.1</v>
      </c>
      <c r="AH56" s="563">
        <f t="shared" si="35"/>
        <v>245.7</v>
      </c>
      <c r="AI56" s="563">
        <f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563">
        <f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18.899999999999999</v>
      </c>
      <c r="AK56" s="563">
        <f>IFERROR((AH56+(AI56-AJ56)/2)*INDEX('Facility Master'!R:R,MATCH(ICICI_TL_SNo,'Facility Master'!A:A,0))*(B56-B55)/DaysInYear,0)</f>
        <v>5.124359589041096</v>
      </c>
      <c r="AL56" s="563">
        <f t="shared" si="24"/>
        <v>226.8</v>
      </c>
      <c r="AM56" s="561">
        <f t="shared" si="25"/>
        <v>81.359999999999985</v>
      </c>
      <c r="AN56" s="561">
        <f t="shared" si="26"/>
        <v>23.093542140410957</v>
      </c>
      <c r="AO56" s="561">
        <f t="shared" si="27"/>
        <v>104.45354214041095</v>
      </c>
      <c r="AP56" s="561">
        <f t="shared" si="28"/>
        <v>971.03250000000003</v>
      </c>
    </row>
    <row r="57" spans="1:42" ht="15.75" customHeight="1" x14ac:dyDescent="0.3">
      <c r="A57" s="375">
        <v>53</v>
      </c>
      <c r="B57" s="556">
        <v>49856</v>
      </c>
      <c r="C57" s="375" t="s">
        <v>674</v>
      </c>
      <c r="D57" s="379">
        <f t="shared" si="29"/>
        <v>303.75</v>
      </c>
      <c r="E57" s="379">
        <f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379">
        <f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379">
        <f>IFERROR((D57+(E57-F57)/2)*INDEX('Facility Master'!R:R,MATCH(UBI_RTL1_SNo,'Facility Master'!A:A,0))*(B57-B56)/DaysInYear,0)</f>
        <v>6.8219614726027391</v>
      </c>
      <c r="H57" s="379">
        <f t="shared" si="18"/>
        <v>278.4375</v>
      </c>
      <c r="I57" s="379">
        <f t="shared" si="30"/>
        <v>63.72</v>
      </c>
      <c r="J57" s="379">
        <f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379">
        <f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379">
        <f>IFERROR((I57+(J57-K57)/2)*INDEX('Facility Master'!R:R,MATCH(UBI_RTL2_SNo,'Facility Master'!A:A,0))*(B57-B56)/DaysInYear,0)</f>
        <v>1.3854226438356163</v>
      </c>
      <c r="M57" s="379">
        <f t="shared" si="19"/>
        <v>58.41</v>
      </c>
      <c r="N57" s="379">
        <f t="shared" si="31"/>
        <v>58.162500000000001</v>
      </c>
      <c r="O57" s="379">
        <f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379">
        <f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5.2874999999999996</v>
      </c>
      <c r="Q57" s="379">
        <f>IFERROR((N57+(O57-P57)/2)*INDEX('Facility Master'!R:R,MATCH(IB_TL_SNo,'Facility Master'!A:A,0))*(B57-B56)/DaysInYear,0)</f>
        <v>1.3011161301369865</v>
      </c>
      <c r="R57" s="379">
        <f t="shared" si="20"/>
        <v>52.875</v>
      </c>
      <c r="S57" s="557">
        <f t="shared" si="32"/>
        <v>0</v>
      </c>
      <c r="T57" s="557">
        <f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557">
        <f>IFERROR(IF(AND(RBL_TL_Maturity&lt;=B57,RBL_TL_Maturity&gt;B56),INDEX('Facility Master'!K:K,MATCH(RBL_TL_SNo,'Facility Master'!A:A,0)),0),0)</f>
        <v>0</v>
      </c>
      <c r="V57" s="557">
        <f>IFERROR((S57+(T57-U57)/2)*INDEX('Facility Master'!R:R,MATCH(RBL_TL_SNo,'Facility Master'!A:A,0))*(B57-B56)/DaysInYear,0)</f>
        <v>0</v>
      </c>
      <c r="W57" s="557">
        <f t="shared" si="21"/>
        <v>0</v>
      </c>
      <c r="X57" s="379">
        <f t="shared" si="33"/>
        <v>175.5</v>
      </c>
      <c r="Y57" s="379">
        <f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379">
        <f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379">
        <f>IFERROR((X57+(Y57-Z57)/2)*INDEX('Facility Master'!R:R,MATCH(YBL_TL_SNo,'Facility Master'!A:A,0))*(B57-B56)/DaysInYear,0)</f>
        <v>4.0044752568493154</v>
      </c>
      <c r="AB57" s="379">
        <f t="shared" si="22"/>
        <v>160.875</v>
      </c>
      <c r="AC57" s="379">
        <f t="shared" si="34"/>
        <v>143.1</v>
      </c>
      <c r="AD57" s="379">
        <f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379">
        <f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11.924999999999999</v>
      </c>
      <c r="AF57" s="379">
        <f>IFERROR((AC57+(AD57-AE57)/2)*INDEX('Facility Master'!R:R,MATCH(IDFC_TL_SNo,'Facility Master'!A:A,0))*(B57-B56)/DaysInYear,0)</f>
        <v>3.0087591780821916</v>
      </c>
      <c r="AG57" s="379">
        <f t="shared" si="23"/>
        <v>131.17500000000001</v>
      </c>
      <c r="AH57" s="558">
        <f t="shared" si="35"/>
        <v>226.8</v>
      </c>
      <c r="AI57" s="558">
        <f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558">
        <f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18.899999999999999</v>
      </c>
      <c r="AK57" s="558">
        <f>IFERROR((AH57+(AI57-AJ57)/2)*INDEX('Facility Master'!R:R,MATCH(ICICI_TL_SNo,'Facility Master'!A:A,0))*(B57-B56)/DaysInYear,0)</f>
        <v>4.7144108219178094</v>
      </c>
      <c r="AL57" s="558">
        <f t="shared" si="24"/>
        <v>207.9</v>
      </c>
      <c r="AM57" s="379">
        <f t="shared" si="25"/>
        <v>81.359999999999985</v>
      </c>
      <c r="AN57" s="379">
        <f t="shared" si="26"/>
        <v>21.236145503424655</v>
      </c>
      <c r="AO57" s="379">
        <f t="shared" si="27"/>
        <v>102.59614550342464</v>
      </c>
      <c r="AP57" s="379">
        <f t="shared" si="28"/>
        <v>889.67250000000001</v>
      </c>
    </row>
    <row r="58" spans="1:42" ht="15.75" customHeight="1" x14ac:dyDescent="0.3">
      <c r="A58" s="559">
        <v>54</v>
      </c>
      <c r="B58" s="560">
        <v>49948</v>
      </c>
      <c r="C58" s="559" t="s">
        <v>675</v>
      </c>
      <c r="D58" s="561">
        <f t="shared" si="29"/>
        <v>278.4375</v>
      </c>
      <c r="E58" s="561">
        <f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561">
        <f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561">
        <f>IFERROR((D58+(E58-F58)/2)*INDEX('Facility Master'!R:R,MATCH(UBI_RTL1_SNo,'Facility Master'!A:A,0))*(B58-B57)/DaysInYear,0)</f>
        <v>6.2971952054794524</v>
      </c>
      <c r="H58" s="561">
        <f t="shared" si="18"/>
        <v>253.125</v>
      </c>
      <c r="I58" s="561">
        <f t="shared" si="30"/>
        <v>58.41</v>
      </c>
      <c r="J58" s="561">
        <f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561">
        <f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561">
        <f>IFERROR((I58+(J58-K58)/2)*INDEX('Facility Master'!R:R,MATCH(UBI_RTL2_SNo,'Facility Master'!A:A,0))*(B58-B57)/DaysInYear,0)</f>
        <v>1.2788516712328766</v>
      </c>
      <c r="M58" s="561">
        <f t="shared" si="19"/>
        <v>53.1</v>
      </c>
      <c r="N58" s="561">
        <f t="shared" si="31"/>
        <v>52.875</v>
      </c>
      <c r="O58" s="561">
        <f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561">
        <f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5.2874999999999996</v>
      </c>
      <c r="Q58" s="561">
        <f>IFERROR((N58+(O58-P58)/2)*INDEX('Facility Master'!R:R,MATCH(IB_TL_SNo,'Facility Master'!A:A,0))*(B58-B57)/DaysInYear,0)</f>
        <v>1.190136575342466</v>
      </c>
      <c r="R58" s="561">
        <f t="shared" si="20"/>
        <v>47.587499999999999</v>
      </c>
      <c r="S58" s="562">
        <f t="shared" si="32"/>
        <v>0</v>
      </c>
      <c r="T58" s="562">
        <f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562">
        <f>IFERROR(IF(AND(RBL_TL_Maturity&lt;=B58,RBL_TL_Maturity&gt;B57),INDEX('Facility Master'!K:K,MATCH(RBL_TL_SNo,'Facility Master'!A:A,0)),0),0)</f>
        <v>0</v>
      </c>
      <c r="V58" s="562">
        <f>IFERROR((S58+(T58-U58)/2)*INDEX('Facility Master'!R:R,MATCH(RBL_TL_SNo,'Facility Master'!A:A,0))*(B58-B57)/DaysInYear,0)</f>
        <v>0</v>
      </c>
      <c r="W58" s="562">
        <f t="shared" si="21"/>
        <v>0</v>
      </c>
      <c r="X58" s="561">
        <f t="shared" si="33"/>
        <v>160.875</v>
      </c>
      <c r="Y58" s="561">
        <f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561">
        <f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561">
        <f>IFERROR((X58+(Y58-Z58)/2)*INDEX('Facility Master'!R:R,MATCH(YBL_TL_SNo,'Facility Master'!A:A,0))*(B58-B57)/DaysInYear,0)</f>
        <v>3.696438698630137</v>
      </c>
      <c r="AB58" s="561">
        <f t="shared" si="22"/>
        <v>146.25</v>
      </c>
      <c r="AC58" s="561">
        <f t="shared" si="34"/>
        <v>131.17500000000001</v>
      </c>
      <c r="AD58" s="561">
        <f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561">
        <f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11.924999999999999</v>
      </c>
      <c r="AF58" s="561">
        <f>IFERROR((AC58+(AD58-AE58)/2)*INDEX('Facility Master'!R:R,MATCH(IDFC_TL_SNo,'Facility Master'!A:A,0))*(B58-B57)/DaysInYear,0)</f>
        <v>2.7773161643835613</v>
      </c>
      <c r="AG58" s="561">
        <f t="shared" si="23"/>
        <v>119.25</v>
      </c>
      <c r="AH58" s="563">
        <f t="shared" si="35"/>
        <v>207.9</v>
      </c>
      <c r="AI58" s="563">
        <f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563">
        <f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18.899999999999999</v>
      </c>
      <c r="AK58" s="563">
        <f>IFERROR((AH58+(AI58-AJ58)/2)*INDEX('Facility Master'!R:R,MATCH(ICICI_TL_SNo,'Facility Master'!A:A,0))*(B58-B57)/DaysInYear,0)</f>
        <v>4.3517638356164392</v>
      </c>
      <c r="AL58" s="563">
        <f t="shared" si="24"/>
        <v>189</v>
      </c>
      <c r="AM58" s="561">
        <f t="shared" si="25"/>
        <v>81.359999999999985</v>
      </c>
      <c r="AN58" s="561">
        <f t="shared" si="26"/>
        <v>19.591702150684934</v>
      </c>
      <c r="AO58" s="561">
        <f t="shared" si="27"/>
        <v>100.95170215068492</v>
      </c>
      <c r="AP58" s="561">
        <f t="shared" si="28"/>
        <v>808.3125</v>
      </c>
    </row>
    <row r="59" spans="1:42" ht="15.75" customHeight="1" x14ac:dyDescent="0.3">
      <c r="A59" s="375">
        <v>55</v>
      </c>
      <c r="B59" s="556">
        <v>50040</v>
      </c>
      <c r="C59" s="375" t="s">
        <v>676</v>
      </c>
      <c r="D59" s="379">
        <f t="shared" si="29"/>
        <v>253.125</v>
      </c>
      <c r="E59" s="379">
        <f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379">
        <f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379">
        <f>IFERROR((D59+(E59-F59)/2)*INDEX('Facility Master'!R:R,MATCH(UBI_RTL1_SNo,'Facility Master'!A:A,0))*(B59-B58)/DaysInYear,0)</f>
        <v>5.6974623287671236</v>
      </c>
      <c r="H59" s="379">
        <f t="shared" si="18"/>
        <v>227.8125</v>
      </c>
      <c r="I59" s="379">
        <f t="shared" si="30"/>
        <v>53.1</v>
      </c>
      <c r="J59" s="379">
        <f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379">
        <f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379">
        <f>IFERROR((I59+(J59-K59)/2)*INDEX('Facility Master'!R:R,MATCH(UBI_RTL2_SNo,'Facility Master'!A:A,0))*(B59-B58)/DaysInYear,0)</f>
        <v>1.1570562739726027</v>
      </c>
      <c r="M59" s="379">
        <f t="shared" si="19"/>
        <v>47.79</v>
      </c>
      <c r="N59" s="379">
        <f t="shared" si="31"/>
        <v>47.587499999999999</v>
      </c>
      <c r="O59" s="379">
        <f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379">
        <f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5.2874999999999996</v>
      </c>
      <c r="Q59" s="379">
        <f>IFERROR((N59+(O59-P59)/2)*INDEX('Facility Master'!R:R,MATCH(IB_TL_SNo,'Facility Master'!A:A,0))*(B59-B58)/DaysInYear,0)</f>
        <v>1.0648590410958902</v>
      </c>
      <c r="R59" s="379">
        <f t="shared" si="20"/>
        <v>42.3</v>
      </c>
      <c r="S59" s="557">
        <f t="shared" si="32"/>
        <v>0</v>
      </c>
      <c r="T59" s="557">
        <f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557">
        <f>IFERROR(IF(AND(RBL_TL_Maturity&lt;=B59,RBL_TL_Maturity&gt;B58),INDEX('Facility Master'!K:K,MATCH(RBL_TL_SNo,'Facility Master'!A:A,0)),0),0)</f>
        <v>0</v>
      </c>
      <c r="V59" s="557">
        <f>IFERROR((S59+(T59-U59)/2)*INDEX('Facility Master'!R:R,MATCH(RBL_TL_SNo,'Facility Master'!A:A,0))*(B59-B58)/DaysInYear,0)</f>
        <v>0</v>
      </c>
      <c r="W59" s="557">
        <f t="shared" si="21"/>
        <v>0</v>
      </c>
      <c r="X59" s="379">
        <f t="shared" si="33"/>
        <v>146.25</v>
      </c>
      <c r="Y59" s="379">
        <f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379">
        <f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379">
        <f>IFERROR((X59+(Y59-Z59)/2)*INDEX('Facility Master'!R:R,MATCH(YBL_TL_SNo,'Facility Master'!A:A,0))*(B59-B58)/DaysInYear,0)</f>
        <v>3.3443969178082193</v>
      </c>
      <c r="AB59" s="379">
        <f t="shared" si="22"/>
        <v>131.625</v>
      </c>
      <c r="AC59" s="379">
        <f t="shared" si="34"/>
        <v>119.25</v>
      </c>
      <c r="AD59" s="379">
        <f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379">
        <f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11.924999999999999</v>
      </c>
      <c r="AF59" s="379">
        <f>IFERROR((AC59+(AD59-AE59)/2)*INDEX('Facility Master'!R:R,MATCH(IDFC_TL_SNo,'Facility Master'!A:A,0))*(B59-B58)/DaysInYear,0)</f>
        <v>2.5128098630136986</v>
      </c>
      <c r="AG59" s="379">
        <f t="shared" si="23"/>
        <v>107.325</v>
      </c>
      <c r="AH59" s="558">
        <f t="shared" si="35"/>
        <v>189</v>
      </c>
      <c r="AI59" s="558">
        <f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558">
        <f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18.899999999999999</v>
      </c>
      <c r="AK59" s="558">
        <f>IFERROR((AH59+(AI59-AJ59)/2)*INDEX('Facility Master'!R:R,MATCH(ICICI_TL_SNo,'Facility Master'!A:A,0))*(B59-B58)/DaysInYear,0)</f>
        <v>3.9373101369863024</v>
      </c>
      <c r="AL59" s="558">
        <f t="shared" si="24"/>
        <v>170.1</v>
      </c>
      <c r="AM59" s="379">
        <f t="shared" si="25"/>
        <v>81.359999999999985</v>
      </c>
      <c r="AN59" s="379">
        <f t="shared" si="26"/>
        <v>17.713894561643837</v>
      </c>
      <c r="AO59" s="379">
        <f t="shared" si="27"/>
        <v>99.073894561643826</v>
      </c>
      <c r="AP59" s="379">
        <f t="shared" si="28"/>
        <v>726.9525000000001</v>
      </c>
    </row>
    <row r="60" spans="1:42" ht="15.75" customHeight="1" x14ac:dyDescent="0.3">
      <c r="A60" s="559">
        <v>56</v>
      </c>
      <c r="B60" s="560">
        <v>50130</v>
      </c>
      <c r="C60" s="559" t="s">
        <v>677</v>
      </c>
      <c r="D60" s="561">
        <f t="shared" si="29"/>
        <v>227.8125</v>
      </c>
      <c r="E60" s="561">
        <f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561">
        <f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561">
        <f>IFERROR((D60+(E60-F60)/2)*INDEX('Facility Master'!R:R,MATCH(UBI_RTL1_SNo,'Facility Master'!A:A,0))*(B60-B59)/DaysInYear,0)</f>
        <v>4.9869092465753431</v>
      </c>
      <c r="H60" s="561">
        <f t="shared" si="18"/>
        <v>202.5</v>
      </c>
      <c r="I60" s="561">
        <f t="shared" si="30"/>
        <v>47.79</v>
      </c>
      <c r="J60" s="561">
        <f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561">
        <f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561">
        <f>IFERROR((I60+(J60-K60)/2)*INDEX('Facility Master'!R:R,MATCH(UBI_RTL2_SNo,'Facility Master'!A:A,0))*(B60-B59)/DaysInYear,0)</f>
        <v>1.012755205479452</v>
      </c>
      <c r="M60" s="561">
        <f t="shared" si="19"/>
        <v>42.48</v>
      </c>
      <c r="N60" s="561">
        <f t="shared" si="31"/>
        <v>42.3</v>
      </c>
      <c r="O60" s="561">
        <f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561">
        <f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5.2874999999999996</v>
      </c>
      <c r="Q60" s="561">
        <f>IFERROR((N60+(O60-P60)/2)*INDEX('Facility Master'!R:R,MATCH(IB_TL_SNo,'Facility Master'!A:A,0))*(B60-B59)/DaysInYear,0)</f>
        <v>0.9191558219178082</v>
      </c>
      <c r="R60" s="561">
        <f t="shared" si="20"/>
        <v>37.012500000000003</v>
      </c>
      <c r="S60" s="562">
        <f t="shared" si="32"/>
        <v>0</v>
      </c>
      <c r="T60" s="562">
        <f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562">
        <f>IFERROR(IF(AND(RBL_TL_Maturity&lt;=B60,RBL_TL_Maturity&gt;B59),INDEX('Facility Master'!K:K,MATCH(RBL_TL_SNo,'Facility Master'!A:A,0)),0),0)</f>
        <v>0</v>
      </c>
      <c r="V60" s="562">
        <f>IFERROR((S60+(T60-U60)/2)*INDEX('Facility Master'!R:R,MATCH(RBL_TL_SNo,'Facility Master'!A:A,0))*(B60-B59)/DaysInYear,0)</f>
        <v>0</v>
      </c>
      <c r="W60" s="562">
        <f t="shared" si="21"/>
        <v>0</v>
      </c>
      <c r="X60" s="561">
        <f t="shared" si="33"/>
        <v>131.625</v>
      </c>
      <c r="Y60" s="561">
        <f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561">
        <f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561">
        <f>IFERROR((X60+(Y60-Z60)/2)*INDEX('Facility Master'!R:R,MATCH(YBL_TL_SNo,'Facility Master'!A:A,0))*(B60-B59)/DaysInYear,0)</f>
        <v>2.9273039383561645</v>
      </c>
      <c r="AB60" s="561">
        <f t="shared" si="22"/>
        <v>117</v>
      </c>
      <c r="AC60" s="561">
        <f t="shared" si="34"/>
        <v>107.325</v>
      </c>
      <c r="AD60" s="561">
        <f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561">
        <f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11.924999999999999</v>
      </c>
      <c r="AF60" s="561">
        <f>IFERROR((AC60+(AD60-AE60)/2)*INDEX('Facility Master'!R:R,MATCH(IDFC_TL_SNo,'Facility Master'!A:A,0))*(B60-B59)/DaysInYear,0)</f>
        <v>2.1994273972602736</v>
      </c>
      <c r="AG60" s="561">
        <f t="shared" si="23"/>
        <v>95.4</v>
      </c>
      <c r="AH60" s="563">
        <f t="shared" si="35"/>
        <v>170.1</v>
      </c>
      <c r="AI60" s="563">
        <f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563">
        <f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18.899999999999999</v>
      </c>
      <c r="AK60" s="563">
        <f>IFERROR((AH60+(AI60-AJ60)/2)*INDEX('Facility Master'!R:R,MATCH(ICICI_TL_SNo,'Facility Master'!A:A,0))*(B60-B59)/DaysInYear,0)</f>
        <v>3.4462726027397266</v>
      </c>
      <c r="AL60" s="563">
        <f t="shared" si="24"/>
        <v>151.19999999999999</v>
      </c>
      <c r="AM60" s="561">
        <f t="shared" si="25"/>
        <v>81.359999999999985</v>
      </c>
      <c r="AN60" s="561">
        <f t="shared" si="26"/>
        <v>15.491824212328767</v>
      </c>
      <c r="AO60" s="561">
        <f t="shared" si="27"/>
        <v>96.851824212328751</v>
      </c>
      <c r="AP60" s="561">
        <f t="shared" si="28"/>
        <v>645.59249999999997</v>
      </c>
    </row>
    <row r="61" spans="1:42" ht="15.75" customHeight="1" x14ac:dyDescent="0.3">
      <c r="A61" s="375">
        <v>57</v>
      </c>
      <c r="B61" s="556">
        <v>50221</v>
      </c>
      <c r="C61" s="375" t="s">
        <v>678</v>
      </c>
      <c r="D61" s="379">
        <f t="shared" si="29"/>
        <v>202.5</v>
      </c>
      <c r="E61" s="379">
        <f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379">
        <f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379">
        <f>IFERROR((D61+(E61-F61)/2)*INDEX('Facility Master'!R:R,MATCH(UBI_RTL1_SNo,'Facility Master'!A:A,0))*(B61-B60)/DaysInYear,0)</f>
        <v>4.4491053082191776</v>
      </c>
      <c r="H61" s="379">
        <f t="shared" si="18"/>
        <v>177.1875</v>
      </c>
      <c r="I61" s="379">
        <f t="shared" si="30"/>
        <v>42.48</v>
      </c>
      <c r="J61" s="379">
        <f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379">
        <f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379">
        <f>IFERROR((I61+(J61-K61)/2)*INDEX('Facility Master'!R:R,MATCH(UBI_RTL2_SNo,'Facility Master'!A:A,0))*(B61-B60)/DaysInYear,0)</f>
        <v>0.90353650684931486</v>
      </c>
      <c r="M61" s="379">
        <f t="shared" si="19"/>
        <v>37.17</v>
      </c>
      <c r="N61" s="379">
        <f t="shared" si="31"/>
        <v>37.012500000000003</v>
      </c>
      <c r="O61" s="379">
        <f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379">
        <f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5.2874999999999996</v>
      </c>
      <c r="Q61" s="379">
        <f>IFERROR((N61+(O61-P61)/2)*INDEX('Facility Master'!R:R,MATCH(IB_TL_SNo,'Facility Master'!A:A,0))*(B61-B60)/DaysInYear,0)</f>
        <v>0.80545284246575366</v>
      </c>
      <c r="R61" s="379">
        <f t="shared" si="20"/>
        <v>31.725000000000001</v>
      </c>
      <c r="S61" s="557">
        <f t="shared" si="32"/>
        <v>0</v>
      </c>
      <c r="T61" s="557">
        <f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557">
        <f>IFERROR(IF(AND(RBL_TL_Maturity&lt;=B61,RBL_TL_Maturity&gt;B60),INDEX('Facility Master'!K:K,MATCH(RBL_TL_SNo,'Facility Master'!A:A,0)),0),0)</f>
        <v>0</v>
      </c>
      <c r="V61" s="557">
        <f>IFERROR((S61+(T61-U61)/2)*INDEX('Facility Master'!R:R,MATCH(RBL_TL_SNo,'Facility Master'!A:A,0))*(B61-B60)/DaysInYear,0)</f>
        <v>0</v>
      </c>
      <c r="W61" s="557">
        <f t="shared" si="21"/>
        <v>0</v>
      </c>
      <c r="X61" s="379">
        <f t="shared" si="33"/>
        <v>117</v>
      </c>
      <c r="Y61" s="379">
        <f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379">
        <f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379">
        <f>IFERROR((X61+(Y61-Z61)/2)*INDEX('Facility Master'!R:R,MATCH(YBL_TL_SNo,'Facility Master'!A:A,0))*(B61-B60)/DaysInYear,0)</f>
        <v>2.6116142979452053</v>
      </c>
      <c r="AB61" s="379">
        <f t="shared" si="22"/>
        <v>102.375</v>
      </c>
      <c r="AC61" s="379">
        <f t="shared" si="34"/>
        <v>95.4</v>
      </c>
      <c r="AD61" s="379">
        <f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379">
        <f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11.924999999999999</v>
      </c>
      <c r="AF61" s="379">
        <f>IFERROR((AC61+(AD61-AE61)/2)*INDEX('Facility Master'!R:R,MATCH(IDFC_TL_SNo,'Facility Master'!A:A,0))*(B61-B60)/DaysInYear,0)</f>
        <v>1.9622342465753426</v>
      </c>
      <c r="AG61" s="379">
        <f t="shared" si="23"/>
        <v>83.474999999999994</v>
      </c>
      <c r="AH61" s="558">
        <f t="shared" si="35"/>
        <v>151.19999999999999</v>
      </c>
      <c r="AI61" s="558">
        <f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558">
        <f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18.899999999999999</v>
      </c>
      <c r="AK61" s="558">
        <f>IFERROR((AH61+(AI61-AJ61)/2)*INDEX('Facility Master'!R:R,MATCH(ICICI_TL_SNo,'Facility Master'!A:A,0))*(B61-B60)/DaysInYear,0)</f>
        <v>3.0746157534246579</v>
      </c>
      <c r="AL61" s="558">
        <f t="shared" si="24"/>
        <v>132.30000000000001</v>
      </c>
      <c r="AM61" s="379">
        <f t="shared" si="25"/>
        <v>81.359999999999985</v>
      </c>
      <c r="AN61" s="379">
        <f t="shared" si="26"/>
        <v>13.806558955479451</v>
      </c>
      <c r="AO61" s="379">
        <f t="shared" si="27"/>
        <v>95.166558955479431</v>
      </c>
      <c r="AP61" s="379">
        <f t="shared" si="28"/>
        <v>564.23250000000007</v>
      </c>
    </row>
    <row r="62" spans="1:42" ht="15.75" customHeight="1" x14ac:dyDescent="0.3">
      <c r="A62" s="559">
        <v>58</v>
      </c>
      <c r="B62" s="560">
        <v>50313</v>
      </c>
      <c r="C62" s="559" t="s">
        <v>679</v>
      </c>
      <c r="D62" s="561">
        <f t="shared" si="29"/>
        <v>177.1875</v>
      </c>
      <c r="E62" s="561">
        <f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561">
        <f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561">
        <f>IFERROR((D62+(E62-F62)/2)*INDEX('Facility Master'!R:R,MATCH(UBI_RTL1_SNo,'Facility Master'!A:A,0))*(B62-B61)/DaysInYear,0)</f>
        <v>3.8982636986301369</v>
      </c>
      <c r="H62" s="561">
        <f t="shared" si="18"/>
        <v>151.875</v>
      </c>
      <c r="I62" s="561">
        <f t="shared" si="30"/>
        <v>37.17</v>
      </c>
      <c r="J62" s="561">
        <f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561">
        <f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561">
        <f>IFERROR((I62+(J62-K62)/2)*INDEX('Facility Master'!R:R,MATCH(UBI_RTL2_SNo,'Facility Master'!A:A,0))*(B62-B61)/DaysInYear,0)</f>
        <v>0.7916700821917807</v>
      </c>
      <c r="M62" s="561">
        <f t="shared" si="19"/>
        <v>31.86</v>
      </c>
      <c r="N62" s="561">
        <f t="shared" si="31"/>
        <v>31.725000000000001</v>
      </c>
      <c r="O62" s="561">
        <f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561">
        <f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5.2874999999999996</v>
      </c>
      <c r="Q62" s="561">
        <f>IFERROR((N62+(O62-P62)/2)*INDEX('Facility Master'!R:R,MATCH(IB_TL_SNo,'Facility Master'!A:A,0))*(B62-B61)/DaysInYear,0)</f>
        <v>0.68902643835616439</v>
      </c>
      <c r="R62" s="561">
        <f t="shared" si="20"/>
        <v>26.4375</v>
      </c>
      <c r="S62" s="562">
        <f t="shared" si="32"/>
        <v>0</v>
      </c>
      <c r="T62" s="562">
        <f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562">
        <f>IFERROR(IF(AND(RBL_TL_Maturity&lt;=B62,RBL_TL_Maturity&gt;B61),INDEX('Facility Master'!K:K,MATCH(RBL_TL_SNo,'Facility Master'!A:A,0)),0),0)</f>
        <v>0</v>
      </c>
      <c r="V62" s="562">
        <f>IFERROR((S62+(T62-U62)/2)*INDEX('Facility Master'!R:R,MATCH(RBL_TL_SNo,'Facility Master'!A:A,0))*(B62-B61)/DaysInYear,0)</f>
        <v>0</v>
      </c>
      <c r="W62" s="562">
        <f t="shared" si="21"/>
        <v>0</v>
      </c>
      <c r="X62" s="561">
        <f t="shared" si="33"/>
        <v>102.375</v>
      </c>
      <c r="Y62" s="561">
        <f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561">
        <f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561">
        <f>IFERROR((X62+(Y62-Z62)/2)*INDEX('Facility Master'!R:R,MATCH(YBL_TL_SNo,'Facility Master'!A:A,0))*(B62-B61)/DaysInYear,0)</f>
        <v>2.2882715753424661</v>
      </c>
      <c r="AB62" s="561">
        <f t="shared" si="22"/>
        <v>87.75</v>
      </c>
      <c r="AC62" s="561">
        <f t="shared" si="34"/>
        <v>83.474999999999994</v>
      </c>
      <c r="AD62" s="561">
        <f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561">
        <f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11.924999999999999</v>
      </c>
      <c r="AF62" s="561">
        <f>IFERROR((AC62+(AD62-AE62)/2)*INDEX('Facility Master'!R:R,MATCH(IDFC_TL_SNo,'Facility Master'!A:A,0))*(B62-B61)/DaysInYear,0)</f>
        <v>1.7192909589041092</v>
      </c>
      <c r="AG62" s="561">
        <f t="shared" si="23"/>
        <v>71.55</v>
      </c>
      <c r="AH62" s="563">
        <f t="shared" si="35"/>
        <v>132.30000000000001</v>
      </c>
      <c r="AI62" s="563">
        <f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563">
        <f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18.899999999999999</v>
      </c>
      <c r="AK62" s="563">
        <f>IFERROR((AH62+(AI62-AJ62)/2)*INDEX('Facility Master'!R:R,MATCH(ICICI_TL_SNo,'Facility Master'!A:A,0))*(B62-B61)/DaysInYear,0)</f>
        <v>2.6939490410958911</v>
      </c>
      <c r="AL62" s="563">
        <f t="shared" si="24"/>
        <v>113.4</v>
      </c>
      <c r="AM62" s="561">
        <f t="shared" si="25"/>
        <v>81.359999999999985</v>
      </c>
      <c r="AN62" s="561">
        <f t="shared" si="26"/>
        <v>12.080471794520548</v>
      </c>
      <c r="AO62" s="561">
        <f t="shared" si="27"/>
        <v>93.440471794520533</v>
      </c>
      <c r="AP62" s="561">
        <f t="shared" si="28"/>
        <v>482.87250000000006</v>
      </c>
    </row>
    <row r="63" spans="1:42" ht="15.75" customHeight="1" x14ac:dyDescent="0.3">
      <c r="A63" s="375">
        <v>59</v>
      </c>
      <c r="B63" s="556">
        <v>50405</v>
      </c>
      <c r="C63" s="375" t="s">
        <v>680</v>
      </c>
      <c r="D63" s="379">
        <f t="shared" si="29"/>
        <v>151.875</v>
      </c>
      <c r="E63" s="379">
        <f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379">
        <f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379">
        <f>IFERROR((D63+(E63-F63)/2)*INDEX('Facility Master'!R:R,MATCH(UBI_RTL1_SNo,'Facility Master'!A:A,0))*(B63-B62)/DaysInYear,0)</f>
        <v>3.298530821917808</v>
      </c>
      <c r="H63" s="379">
        <f t="shared" si="18"/>
        <v>126.5625</v>
      </c>
      <c r="I63" s="379">
        <f t="shared" si="30"/>
        <v>31.86</v>
      </c>
      <c r="J63" s="379">
        <f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379">
        <f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379">
        <f>IFERROR((I63+(J63-K63)/2)*INDEX('Facility Master'!R:R,MATCH(UBI_RTL2_SNo,'Facility Master'!A:A,0))*(B63-B62)/DaysInYear,0)</f>
        <v>0.6698746849315067</v>
      </c>
      <c r="M63" s="379">
        <f t="shared" si="19"/>
        <v>26.55</v>
      </c>
      <c r="N63" s="379">
        <f t="shared" si="31"/>
        <v>26.4375</v>
      </c>
      <c r="O63" s="379">
        <f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379">
        <f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5.2874999999999996</v>
      </c>
      <c r="Q63" s="379">
        <f>IFERROR((N63+(O63-P63)/2)*INDEX('Facility Master'!R:R,MATCH(IB_TL_SNo,'Facility Master'!A:A,0))*(B63-B62)/DaysInYear,0)</f>
        <v>0.563748904109589</v>
      </c>
      <c r="R63" s="379">
        <f t="shared" si="20"/>
        <v>21.15</v>
      </c>
      <c r="S63" s="557">
        <f t="shared" si="32"/>
        <v>0</v>
      </c>
      <c r="T63" s="557">
        <f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557">
        <f>IFERROR(IF(AND(RBL_TL_Maturity&lt;=B63,RBL_TL_Maturity&gt;B62),INDEX('Facility Master'!K:K,MATCH(RBL_TL_SNo,'Facility Master'!A:A,0)),0),0)</f>
        <v>0</v>
      </c>
      <c r="V63" s="557">
        <f>IFERROR((S63+(T63-U63)/2)*INDEX('Facility Master'!R:R,MATCH(RBL_TL_SNo,'Facility Master'!A:A,0))*(B63-B62)/DaysInYear,0)</f>
        <v>0</v>
      </c>
      <c r="W63" s="557">
        <f t="shared" si="21"/>
        <v>0</v>
      </c>
      <c r="X63" s="379">
        <f t="shared" si="33"/>
        <v>87.75</v>
      </c>
      <c r="Y63" s="379">
        <f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379">
        <f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379">
        <f>IFERROR((X63+(Y63-Z63)/2)*INDEX('Facility Master'!R:R,MATCH(YBL_TL_SNo,'Facility Master'!A:A,0))*(B63-B62)/DaysInYear,0)</f>
        <v>1.936229794520548</v>
      </c>
      <c r="AB63" s="379">
        <f t="shared" si="22"/>
        <v>73.125</v>
      </c>
      <c r="AC63" s="379">
        <f t="shared" si="34"/>
        <v>71.55</v>
      </c>
      <c r="AD63" s="379">
        <f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379">
        <f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11.924999999999999</v>
      </c>
      <c r="AF63" s="379">
        <f>IFERROR((AC63+(AD63-AE63)/2)*INDEX('Facility Master'!R:R,MATCH(IDFC_TL_SNo,'Facility Master'!A:A,0))*(B63-B62)/DaysInYear,0)</f>
        <v>1.4547846575342462</v>
      </c>
      <c r="AG63" s="379">
        <f t="shared" si="23"/>
        <v>59.625</v>
      </c>
      <c r="AH63" s="558">
        <f t="shared" si="35"/>
        <v>113.4</v>
      </c>
      <c r="AI63" s="558">
        <f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558">
        <f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18.899999999999999</v>
      </c>
      <c r="AK63" s="558">
        <f>IFERROR((AH63+(AI63-AJ63)/2)*INDEX('Facility Master'!R:R,MATCH(ICICI_TL_SNo,'Facility Master'!A:A,0))*(B63-B62)/DaysInYear,0)</f>
        <v>2.2794953424657538</v>
      </c>
      <c r="AL63" s="558">
        <f t="shared" si="24"/>
        <v>94.5</v>
      </c>
      <c r="AM63" s="379">
        <f t="shared" si="25"/>
        <v>81.359999999999985</v>
      </c>
      <c r="AN63" s="379">
        <f t="shared" si="26"/>
        <v>10.202664205479453</v>
      </c>
      <c r="AO63" s="379">
        <f t="shared" si="27"/>
        <v>91.562664205479436</v>
      </c>
      <c r="AP63" s="379">
        <f t="shared" si="28"/>
        <v>401.51250000000005</v>
      </c>
    </row>
    <row r="64" spans="1:42" ht="15.75" customHeight="1" x14ac:dyDescent="0.3">
      <c r="A64" s="559">
        <v>60</v>
      </c>
      <c r="B64" s="560">
        <v>50495</v>
      </c>
      <c r="C64" s="559" t="s">
        <v>681</v>
      </c>
      <c r="D64" s="561">
        <f t="shared" si="29"/>
        <v>126.5625</v>
      </c>
      <c r="E64" s="561">
        <f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561">
        <f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561">
        <f>IFERROR((D64+(E64-F64)/2)*INDEX('Facility Master'!R:R,MATCH(UBI_RTL1_SNo,'Facility Master'!A:A,0))*(B64-B63)/DaysInYear,0)</f>
        <v>2.6401284246575343</v>
      </c>
      <c r="H64" s="561">
        <f t="shared" si="18"/>
        <v>101.25</v>
      </c>
      <c r="I64" s="561">
        <f t="shared" si="30"/>
        <v>26.55</v>
      </c>
      <c r="J64" s="561">
        <f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561">
        <f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561">
        <f>IFERROR((I64+(J64-K64)/2)*INDEX('Facility Master'!R:R,MATCH(UBI_RTL2_SNo,'Facility Master'!A:A,0))*(B64-B63)/DaysInYear,0)</f>
        <v>0.53616452054794517</v>
      </c>
      <c r="M64" s="561">
        <f t="shared" si="19"/>
        <v>21.24</v>
      </c>
      <c r="N64" s="561">
        <f t="shared" si="31"/>
        <v>21.15</v>
      </c>
      <c r="O64" s="561">
        <f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561">
        <f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5.2874999999999996</v>
      </c>
      <c r="Q64" s="561">
        <f>IFERROR((N64+(O64-P64)/2)*INDEX('Facility Master'!R:R,MATCH(IB_TL_SNo,'Facility Master'!A:A,0))*(B64-B63)/DaysInYear,0)</f>
        <v>0.42893938356164379</v>
      </c>
      <c r="R64" s="561">
        <f t="shared" si="20"/>
        <v>15.862500000000001</v>
      </c>
      <c r="S64" s="562">
        <f t="shared" si="32"/>
        <v>0</v>
      </c>
      <c r="T64" s="562">
        <f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562">
        <f>IFERROR(IF(AND(RBL_TL_Maturity&lt;=B64,RBL_TL_Maturity&gt;B63),INDEX('Facility Master'!K:K,MATCH(RBL_TL_SNo,'Facility Master'!A:A,0)),0),0)</f>
        <v>0</v>
      </c>
      <c r="V64" s="562">
        <f>IFERROR((S64+(T64-U64)/2)*INDEX('Facility Master'!R:R,MATCH(RBL_TL_SNo,'Facility Master'!A:A,0))*(B64-B63)/DaysInYear,0)</f>
        <v>0</v>
      </c>
      <c r="W64" s="562">
        <f t="shared" si="21"/>
        <v>0</v>
      </c>
      <c r="X64" s="561">
        <f t="shared" si="33"/>
        <v>73.125</v>
      </c>
      <c r="Y64" s="561">
        <f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561">
        <f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561">
        <f>IFERROR((X64+(Y64-Z64)/2)*INDEX('Facility Master'!R:R,MATCH(YBL_TL_SNo,'Facility Master'!A:A,0))*(B64-B63)/DaysInYear,0)</f>
        <v>1.5497491438356163</v>
      </c>
      <c r="AB64" s="561">
        <f t="shared" si="22"/>
        <v>58.5</v>
      </c>
      <c r="AC64" s="561">
        <f t="shared" si="34"/>
        <v>59.625</v>
      </c>
      <c r="AD64" s="561">
        <f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561">
        <f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11.924999999999999</v>
      </c>
      <c r="AF64" s="561">
        <f>IFERROR((AC64+(AD64-AE64)/2)*INDEX('Facility Master'!R:R,MATCH(IDFC_TL_SNo,'Facility Master'!A:A,0))*(B64-B63)/DaysInYear,0)</f>
        <v>1.1644027397260273</v>
      </c>
      <c r="AG64" s="561">
        <f t="shared" si="23"/>
        <v>47.7</v>
      </c>
      <c r="AH64" s="563">
        <f t="shared" si="35"/>
        <v>94.5</v>
      </c>
      <c r="AI64" s="563">
        <f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563">
        <f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18.899999999999999</v>
      </c>
      <c r="AK64" s="563">
        <f>IFERROR((AH64+(AI64-AJ64)/2)*INDEX('Facility Master'!R:R,MATCH(ICICI_TL_SNo,'Facility Master'!A:A,0))*(B64-B63)/DaysInYear,0)</f>
        <v>1.8244972602739726</v>
      </c>
      <c r="AL64" s="563">
        <f t="shared" si="24"/>
        <v>75.599999999999994</v>
      </c>
      <c r="AM64" s="561">
        <f t="shared" si="25"/>
        <v>81.359999999999985</v>
      </c>
      <c r="AN64" s="561">
        <f t="shared" si="26"/>
        <v>8.1438814726027395</v>
      </c>
      <c r="AO64" s="561">
        <f t="shared" si="27"/>
        <v>89.503881472602728</v>
      </c>
      <c r="AP64" s="561">
        <f t="shared" si="28"/>
        <v>320.15250000000003</v>
      </c>
    </row>
    <row r="65" spans="1:42" ht="15.75" customHeight="1" x14ac:dyDescent="0.3">
      <c r="A65" s="375">
        <v>61</v>
      </c>
      <c r="B65" s="556">
        <v>50586</v>
      </c>
      <c r="C65" s="375" t="s">
        <v>682</v>
      </c>
      <c r="D65" s="379">
        <f t="shared" si="29"/>
        <v>101.25</v>
      </c>
      <c r="E65" s="379">
        <f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379">
        <f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379">
        <f>IFERROR((D65+(E65-F65)/2)*INDEX('Facility Master'!R:R,MATCH(UBI_RTL1_SNo,'Facility Master'!A:A,0))*(B65-B64)/DaysInYear,0)</f>
        <v>2.0762491438356165</v>
      </c>
      <c r="H65" s="379">
        <f t="shared" si="18"/>
        <v>75.9375</v>
      </c>
      <c r="I65" s="379">
        <f t="shared" si="30"/>
        <v>21.24</v>
      </c>
      <c r="J65" s="379">
        <f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379">
        <f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379">
        <f>IFERROR((I65+(J65-K65)/2)*INDEX('Facility Master'!R:R,MATCH(UBI_RTL2_SNo,'Facility Master'!A:A,0))*(B65-B64)/DaysInYear,0)</f>
        <v>0.42165036986301357</v>
      </c>
      <c r="M65" s="379">
        <f t="shared" si="19"/>
        <v>15.93</v>
      </c>
      <c r="N65" s="379">
        <f t="shared" si="31"/>
        <v>15.862500000000001</v>
      </c>
      <c r="O65" s="379">
        <f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379">
        <f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5.2874999999999996</v>
      </c>
      <c r="Q65" s="379">
        <f>IFERROR((N65+(O65-P65)/2)*INDEX('Facility Master'!R:R,MATCH(IB_TL_SNo,'Facility Master'!A:A,0))*(B65-B64)/DaysInYear,0)</f>
        <v>0.30978955479452058</v>
      </c>
      <c r="R65" s="379">
        <f t="shared" si="20"/>
        <v>10.574999999999999</v>
      </c>
      <c r="S65" s="557">
        <f t="shared" si="32"/>
        <v>0</v>
      </c>
      <c r="T65" s="557">
        <f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557">
        <f>IFERROR(IF(AND(RBL_TL_Maturity&lt;=B65,RBL_TL_Maturity&gt;B64),INDEX('Facility Master'!K:K,MATCH(RBL_TL_SNo,'Facility Master'!A:A,0)),0),0)</f>
        <v>0</v>
      </c>
      <c r="V65" s="557">
        <f>IFERROR((S65+(T65-U65)/2)*INDEX('Facility Master'!R:R,MATCH(RBL_TL_SNo,'Facility Master'!A:A,0))*(B65-B64)/DaysInYear,0)</f>
        <v>0</v>
      </c>
      <c r="W65" s="557">
        <f t="shared" si="21"/>
        <v>0</v>
      </c>
      <c r="X65" s="379">
        <f t="shared" si="33"/>
        <v>58.5</v>
      </c>
      <c r="Y65" s="379">
        <f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379">
        <f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379">
        <f>IFERROR((X65+(Y65-Z65)/2)*INDEX('Facility Master'!R:R,MATCH(YBL_TL_SNo,'Facility Master'!A:A,0))*(B65-B64)/DaysInYear,0)</f>
        <v>1.2187533390410958</v>
      </c>
      <c r="AB65" s="379">
        <f t="shared" si="22"/>
        <v>43.875</v>
      </c>
      <c r="AC65" s="379">
        <f t="shared" si="34"/>
        <v>47.7</v>
      </c>
      <c r="AD65" s="379">
        <f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379">
        <f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11.924999999999999</v>
      </c>
      <c r="AF65" s="379">
        <f>IFERROR((AC65+(AD65-AE65)/2)*INDEX('Facility Master'!R:R,MATCH(IDFC_TL_SNo,'Facility Master'!A:A,0))*(B65-B64)/DaysInYear,0)</f>
        <v>0.91570931506849318</v>
      </c>
      <c r="AG65" s="379">
        <f t="shared" si="23"/>
        <v>35.774999999999999</v>
      </c>
      <c r="AH65" s="558">
        <f t="shared" si="35"/>
        <v>75.599999999999994</v>
      </c>
      <c r="AI65" s="558">
        <f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558">
        <f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18.899999999999999</v>
      </c>
      <c r="AK65" s="558">
        <f>IFERROR((AH65+(AI65-AJ65)/2)*INDEX('Facility Master'!R:R,MATCH(ICICI_TL_SNo,'Facility Master'!A:A,0))*(B65-B64)/DaysInYear,0)</f>
        <v>1.4348206849315071</v>
      </c>
      <c r="AL65" s="558">
        <f t="shared" si="24"/>
        <v>56.7</v>
      </c>
      <c r="AM65" s="379">
        <f t="shared" si="25"/>
        <v>81.359999999999985</v>
      </c>
      <c r="AN65" s="379">
        <f t="shared" si="26"/>
        <v>6.3769724075342467</v>
      </c>
      <c r="AO65" s="379">
        <f t="shared" si="27"/>
        <v>87.736972407534239</v>
      </c>
      <c r="AP65" s="379">
        <f t="shared" si="28"/>
        <v>238.79250000000002</v>
      </c>
    </row>
    <row r="66" spans="1:42" ht="15.75" customHeight="1" x14ac:dyDescent="0.3">
      <c r="A66" s="559">
        <v>62</v>
      </c>
      <c r="B66" s="560">
        <v>50678</v>
      </c>
      <c r="C66" s="559" t="s">
        <v>683</v>
      </c>
      <c r="D66" s="561">
        <f t="shared" si="29"/>
        <v>75.9375</v>
      </c>
      <c r="E66" s="561">
        <f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561">
        <f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561">
        <f>IFERROR((D66+(E66-F66)/2)*INDEX('Facility Master'!R:R,MATCH(UBI_RTL1_SNo,'Facility Master'!A:A,0))*(B66-B65)/DaysInYear,0)</f>
        <v>1.499332191780822</v>
      </c>
      <c r="H66" s="561">
        <f t="shared" si="18"/>
        <v>50.625</v>
      </c>
      <c r="I66" s="561">
        <f t="shared" si="30"/>
        <v>15.93</v>
      </c>
      <c r="J66" s="561">
        <f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561">
        <f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561">
        <f>IFERROR((I66+(J66-K66)/2)*INDEX('Facility Master'!R:R,MATCH(UBI_RTL2_SNo,'Facility Master'!A:A,0))*(B66-B65)/DaysInYear,0)</f>
        <v>0.30448849315068488</v>
      </c>
      <c r="M66" s="561">
        <f t="shared" si="19"/>
        <v>10.62</v>
      </c>
      <c r="N66" s="561">
        <f t="shared" si="31"/>
        <v>10.574999999999999</v>
      </c>
      <c r="O66" s="561">
        <f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561">
        <f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5.2874999999999996</v>
      </c>
      <c r="Q66" s="561">
        <f>IFERROR((N66+(O66-P66)/2)*INDEX('Facility Master'!R:R,MATCH(IB_TL_SNo,'Facility Master'!A:A,0))*(B66-B65)/DaysInYear,0)</f>
        <v>0.18791630136986301</v>
      </c>
      <c r="R66" s="561">
        <f t="shared" si="20"/>
        <v>5.2874999999999996</v>
      </c>
      <c r="S66" s="562">
        <f t="shared" si="32"/>
        <v>0</v>
      </c>
      <c r="T66" s="562">
        <f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562">
        <f>IFERROR(IF(AND(RBL_TL_Maturity&lt;=B66,RBL_TL_Maturity&gt;B65),INDEX('Facility Master'!K:K,MATCH(RBL_TL_SNo,'Facility Master'!A:A,0)),0),0)</f>
        <v>0</v>
      </c>
      <c r="V66" s="562">
        <f>IFERROR((S66+(T66-U66)/2)*INDEX('Facility Master'!R:R,MATCH(RBL_TL_SNo,'Facility Master'!A:A,0))*(B66-B65)/DaysInYear,0)</f>
        <v>0</v>
      </c>
      <c r="W66" s="562">
        <f t="shared" si="21"/>
        <v>0</v>
      </c>
      <c r="X66" s="561">
        <f t="shared" si="33"/>
        <v>43.875</v>
      </c>
      <c r="Y66" s="561">
        <f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561">
        <f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561">
        <f>IFERROR((X66+(Y66-Z66)/2)*INDEX('Facility Master'!R:R,MATCH(YBL_TL_SNo,'Facility Master'!A:A,0))*(B66-B65)/DaysInYear,0)</f>
        <v>0.88010445205479459</v>
      </c>
      <c r="AB66" s="561">
        <f t="shared" si="22"/>
        <v>29.25</v>
      </c>
      <c r="AC66" s="561">
        <f t="shared" si="34"/>
        <v>35.774999999999999</v>
      </c>
      <c r="AD66" s="561">
        <f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561">
        <f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11.924999999999999</v>
      </c>
      <c r="AF66" s="561">
        <f>IFERROR((AC66+(AD66-AE66)/2)*INDEX('Facility Master'!R:R,MATCH(IDFC_TL_SNo,'Facility Master'!A:A,0))*(B66-B65)/DaysInYear,0)</f>
        <v>0.66126575342465754</v>
      </c>
      <c r="AG66" s="561">
        <f t="shared" si="23"/>
        <v>23.85</v>
      </c>
      <c r="AH66" s="563">
        <f t="shared" si="35"/>
        <v>56.7</v>
      </c>
      <c r="AI66" s="563">
        <f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563">
        <f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18.899999999999999</v>
      </c>
      <c r="AK66" s="563">
        <f>IFERROR((AH66+(AI66-AJ66)/2)*INDEX('Facility Master'!R:R,MATCH(ICICI_TL_SNo,'Facility Master'!A:A,0))*(B66-B65)/DaysInYear,0)</f>
        <v>1.0361342465753425</v>
      </c>
      <c r="AL66" s="563">
        <f t="shared" si="24"/>
        <v>37.799999999999997</v>
      </c>
      <c r="AM66" s="561">
        <f t="shared" si="25"/>
        <v>81.359999999999985</v>
      </c>
      <c r="AN66" s="561">
        <f t="shared" si="26"/>
        <v>4.5692414383561646</v>
      </c>
      <c r="AO66" s="561">
        <f t="shared" si="27"/>
        <v>85.929241438356144</v>
      </c>
      <c r="AP66" s="561">
        <f t="shared" si="28"/>
        <v>157.4325</v>
      </c>
    </row>
    <row r="67" spans="1:42" ht="15.75" customHeight="1" x14ac:dyDescent="0.3">
      <c r="A67" s="375">
        <v>63</v>
      </c>
      <c r="B67" s="556">
        <v>50770</v>
      </c>
      <c r="C67" s="375" t="s">
        <v>684</v>
      </c>
      <c r="D67" s="379">
        <f t="shared" si="29"/>
        <v>50.625</v>
      </c>
      <c r="E67" s="379">
        <f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379">
        <f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379">
        <f>IFERROR((D67+(E67-F67)/2)*INDEX('Facility Master'!R:R,MATCH(UBI_RTL1_SNo,'Facility Master'!A:A,0))*(B67-B66)/DaysInYear,0)</f>
        <v>0.89959931506849311</v>
      </c>
      <c r="H67" s="379">
        <f t="shared" si="18"/>
        <v>25.3125</v>
      </c>
      <c r="I67" s="379">
        <f t="shared" si="30"/>
        <v>10.62</v>
      </c>
      <c r="J67" s="379">
        <f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379">
        <f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379">
        <f>IFERROR((I67+(J67-K67)/2)*INDEX('Facility Master'!R:R,MATCH(UBI_RTL2_SNo,'Facility Master'!A:A,0))*(B67-B66)/DaysInYear,0)</f>
        <v>0.18269309589041097</v>
      </c>
      <c r="M67" s="379">
        <f t="shared" si="19"/>
        <v>5.31</v>
      </c>
      <c r="N67" s="379">
        <f t="shared" si="31"/>
        <v>5.2874999999999996</v>
      </c>
      <c r="O67" s="379">
        <f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379">
        <f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5.2874999999999996</v>
      </c>
      <c r="Q67" s="379">
        <f>IFERROR((N67+(O67-P67)/2)*INDEX('Facility Master'!R:R,MATCH(IB_TL_SNo,'Facility Master'!A:A,0))*(B67-B66)/DaysInYear,0)</f>
        <v>6.263876712328767E-2</v>
      </c>
      <c r="R67" s="379">
        <f t="shared" si="20"/>
        <v>0</v>
      </c>
      <c r="S67" s="557">
        <f t="shared" si="32"/>
        <v>0</v>
      </c>
      <c r="T67" s="557">
        <f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557">
        <f>IFERROR(IF(AND(RBL_TL_Maturity&lt;=B67,RBL_TL_Maturity&gt;B66),INDEX('Facility Master'!K:K,MATCH(RBL_TL_SNo,'Facility Master'!A:A,0)),0),0)</f>
        <v>0</v>
      </c>
      <c r="V67" s="557">
        <f>IFERROR((S67+(T67-U67)/2)*INDEX('Facility Master'!R:R,MATCH(RBL_TL_SNo,'Facility Master'!A:A,0))*(B67-B66)/DaysInYear,0)</f>
        <v>0</v>
      </c>
      <c r="W67" s="557">
        <f t="shared" si="21"/>
        <v>0</v>
      </c>
      <c r="X67" s="379">
        <f t="shared" si="33"/>
        <v>29.25</v>
      </c>
      <c r="Y67" s="379">
        <f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379">
        <f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379">
        <f>IFERROR((X67+(Y67-Z67)/2)*INDEX('Facility Master'!R:R,MATCH(YBL_TL_SNo,'Facility Master'!A:A,0))*(B67-B66)/DaysInYear,0)</f>
        <v>0.52806267123287676</v>
      </c>
      <c r="AB67" s="379">
        <f t="shared" si="22"/>
        <v>14.625</v>
      </c>
      <c r="AC67" s="379">
        <f t="shared" si="34"/>
        <v>23.85</v>
      </c>
      <c r="AD67" s="379">
        <f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379">
        <f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11.924999999999999</v>
      </c>
      <c r="AF67" s="379">
        <f>IFERROR((AC67+(AD67-AE67)/2)*INDEX('Facility Master'!R:R,MATCH(IDFC_TL_SNo,'Facility Master'!A:A,0))*(B67-B66)/DaysInYear,0)</f>
        <v>0.39675945205479457</v>
      </c>
      <c r="AG67" s="379">
        <f t="shared" si="23"/>
        <v>11.925000000000001</v>
      </c>
      <c r="AH67" s="558">
        <f t="shared" si="35"/>
        <v>37.799999999999997</v>
      </c>
      <c r="AI67" s="558">
        <f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558">
        <f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18.899999999999999</v>
      </c>
      <c r="AK67" s="558">
        <f>IFERROR((AH67+(AI67-AJ67)/2)*INDEX('Facility Master'!R:R,MATCH(ICICI_TL_SNo,'Facility Master'!A:A,0))*(B67-B66)/DaysInYear,0)</f>
        <v>0.62168054794520544</v>
      </c>
      <c r="AL67" s="558">
        <f t="shared" si="24"/>
        <v>18.899999999999999</v>
      </c>
      <c r="AM67" s="379">
        <f t="shared" si="25"/>
        <v>81.359999999999985</v>
      </c>
      <c r="AN67" s="379">
        <f t="shared" si="26"/>
        <v>2.691433849315068</v>
      </c>
      <c r="AO67" s="379">
        <f t="shared" si="27"/>
        <v>84.05143384931506</v>
      </c>
      <c r="AP67" s="379">
        <f t="shared" si="28"/>
        <v>76.072499999999991</v>
      </c>
    </row>
    <row r="68" spans="1:42" ht="15.75" customHeight="1" x14ac:dyDescent="0.3">
      <c r="A68" s="559">
        <v>64</v>
      </c>
      <c r="B68" s="560">
        <v>50860</v>
      </c>
      <c r="C68" s="559" t="s">
        <v>685</v>
      </c>
      <c r="D68" s="561">
        <f t="shared" si="29"/>
        <v>25.3125</v>
      </c>
      <c r="E68" s="561">
        <f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561">
        <f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561">
        <f>IFERROR((D68+(E68-F68)/2)*INDEX('Facility Master'!R:R,MATCH(UBI_RTL1_SNo,'Facility Master'!A:A,0))*(B68-B67)/DaysInYear,0)</f>
        <v>0.29334760273972604</v>
      </c>
      <c r="H68" s="561">
        <f t="shared" si="18"/>
        <v>0</v>
      </c>
      <c r="I68" s="561">
        <f t="shared" si="30"/>
        <v>5.31</v>
      </c>
      <c r="J68" s="561">
        <f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561">
        <f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561">
        <f>IFERROR((I68+(J68-K68)/2)*INDEX('Facility Master'!R:R,MATCH(UBI_RTL2_SNo,'Facility Master'!A:A,0))*(B68-B67)/DaysInYear,0)</f>
        <v>5.9573835616438357E-2</v>
      </c>
      <c r="M68" s="561">
        <f t="shared" si="19"/>
        <v>0</v>
      </c>
      <c r="N68" s="561">
        <f t="shared" si="31"/>
        <v>0</v>
      </c>
      <c r="O68" s="561">
        <f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561">
        <f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561">
        <f>IFERROR((N68+(O68-P68)/2)*INDEX('Facility Master'!R:R,MATCH(IB_TL_SNo,'Facility Master'!A:A,0))*(B68-B67)/DaysInYear,0)</f>
        <v>0</v>
      </c>
      <c r="R68" s="561">
        <f t="shared" si="20"/>
        <v>0</v>
      </c>
      <c r="S68" s="562">
        <f t="shared" si="32"/>
        <v>0</v>
      </c>
      <c r="T68" s="562">
        <f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562">
        <f>IFERROR(IF(AND(RBL_TL_Maturity&lt;=B68,RBL_TL_Maturity&gt;B67),INDEX('Facility Master'!K:K,MATCH(RBL_TL_SNo,'Facility Master'!A:A,0)),0),0)</f>
        <v>0</v>
      </c>
      <c r="V68" s="562">
        <f>IFERROR((S68+(T68-U68)/2)*INDEX('Facility Master'!R:R,MATCH(RBL_TL_SNo,'Facility Master'!A:A,0))*(B68-B67)/DaysInYear,0)</f>
        <v>0</v>
      </c>
      <c r="W68" s="562">
        <f t="shared" si="21"/>
        <v>0</v>
      </c>
      <c r="X68" s="561">
        <f t="shared" si="33"/>
        <v>14.625</v>
      </c>
      <c r="Y68" s="561">
        <f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561">
        <f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561">
        <f>IFERROR((X68+(Y68-Z68)/2)*INDEX('Facility Master'!R:R,MATCH(YBL_TL_SNo,'Facility Master'!A:A,0))*(B68-B67)/DaysInYear,0)</f>
        <v>0.1721943493150685</v>
      </c>
      <c r="AB68" s="561">
        <f t="shared" si="22"/>
        <v>0</v>
      </c>
      <c r="AC68" s="561">
        <f t="shared" si="34"/>
        <v>11.925000000000001</v>
      </c>
      <c r="AD68" s="561">
        <f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561">
        <f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11.924999999999999</v>
      </c>
      <c r="AF68" s="561">
        <f>IFERROR((AC68+(AD68-AE68)/2)*INDEX('Facility Master'!R:R,MATCH(IDFC_TL_SNo,'Facility Master'!A:A,0))*(B68-B67)/DaysInYear,0)</f>
        <v>0.12937808219178085</v>
      </c>
      <c r="AG68" s="561">
        <f t="shared" si="23"/>
        <v>0</v>
      </c>
      <c r="AH68" s="563">
        <f t="shared" si="35"/>
        <v>18.899999999999999</v>
      </c>
      <c r="AI68" s="563">
        <f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563">
        <f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18.899999999999999</v>
      </c>
      <c r="AK68" s="563">
        <f>IFERROR((AH68+(AI68-AJ68)/2)*INDEX('Facility Master'!R:R,MATCH(ICICI_TL_SNo,'Facility Master'!A:A,0))*(B68-B67)/DaysInYear,0)</f>
        <v>0.20272191780821916</v>
      </c>
      <c r="AL68" s="563">
        <f t="shared" si="24"/>
        <v>0</v>
      </c>
      <c r="AM68" s="561">
        <f t="shared" si="25"/>
        <v>76.072499999999991</v>
      </c>
      <c r="AN68" s="561">
        <f t="shared" si="26"/>
        <v>0.85721578767123285</v>
      </c>
      <c r="AO68" s="561">
        <f t="shared" si="27"/>
        <v>76.929715787671228</v>
      </c>
      <c r="AP68" s="561">
        <f t="shared" si="28"/>
        <v>0</v>
      </c>
    </row>
    <row r="69" spans="1:42" ht="19.5" customHeight="1" x14ac:dyDescent="0.3">
      <c r="A69" s="908" t="s">
        <v>186</v>
      </c>
      <c r="B69" s="908"/>
      <c r="C69" s="908"/>
      <c r="D69" s="572"/>
      <c r="E69" s="573">
        <f>SUM(E5:E68)</f>
        <v>1125</v>
      </c>
      <c r="F69" s="573">
        <f>SUM(F5:F68)</f>
        <v>1125</v>
      </c>
      <c r="G69" s="573">
        <f>SUM(G5:G68)</f>
        <v>1087.560161815069</v>
      </c>
      <c r="H69" s="572"/>
      <c r="I69" s="572"/>
      <c r="J69" s="573">
        <f>SUM(J5:J68)</f>
        <v>236</v>
      </c>
      <c r="K69" s="573">
        <f>SUM(K5:K68)</f>
        <v>236.00000000000009</v>
      </c>
      <c r="L69" s="573">
        <f>SUM(L5:L68)</f>
        <v>172.47015215068492</v>
      </c>
      <c r="M69" s="572"/>
      <c r="N69" s="572"/>
      <c r="O69" s="573">
        <f>SUM(O5:O68)</f>
        <v>235</v>
      </c>
      <c r="P69" s="573">
        <f>SUM(P5:P68)</f>
        <v>234.99999999999983</v>
      </c>
      <c r="Q69" s="573">
        <f>SUM(Q5:Q68)</f>
        <v>221.65325386986294</v>
      </c>
      <c r="R69" s="572"/>
      <c r="S69" s="572"/>
      <c r="T69" s="573">
        <f>SUM(T5:T68)</f>
        <v>200</v>
      </c>
      <c r="U69" s="573">
        <f>SUM(U5:U68)</f>
        <v>200</v>
      </c>
      <c r="V69" s="573">
        <f>SUM(V5:V68)</f>
        <v>19</v>
      </c>
      <c r="W69" s="572"/>
      <c r="X69" s="572"/>
      <c r="Y69" s="573">
        <f>SUM(Y5:Y68)</f>
        <v>650</v>
      </c>
      <c r="Z69" s="573">
        <f>SUM(Z5:Z68)</f>
        <v>650</v>
      </c>
      <c r="AA69" s="573">
        <f>SUM(AA5:AA68)</f>
        <v>482.86760693493159</v>
      </c>
      <c r="AB69" s="572"/>
      <c r="AC69" s="572"/>
      <c r="AD69" s="573">
        <f>SUM(AD5:AD68)</f>
        <v>530</v>
      </c>
      <c r="AE69" s="573">
        <f>SUM(AE5:AE68)</f>
        <v>530.00000000000023</v>
      </c>
      <c r="AF69" s="573">
        <f>SUM(AF5:AF68)</f>
        <v>351.17412301369836</v>
      </c>
      <c r="AG69" s="572"/>
      <c r="AH69" s="572"/>
      <c r="AI69" s="573">
        <f>SUM(AI5:AI68)</f>
        <v>840</v>
      </c>
      <c r="AJ69" s="573">
        <f>SUM(AJ5:AJ68)</f>
        <v>839.99999999999943</v>
      </c>
      <c r="AK69" s="573">
        <f>SUM(AK5:AK68)</f>
        <v>550.25310698630165</v>
      </c>
      <c r="AL69" s="572"/>
      <c r="AM69" s="573">
        <f>SUM(AM5:AM68)</f>
        <v>3616.0000000000009</v>
      </c>
      <c r="AN69" s="573">
        <f>SUM(AN5:AN68)</f>
        <v>2865.9784047705475</v>
      </c>
      <c r="AO69" s="573">
        <f>SUM(AO5:AO68)</f>
        <v>6481.978404770548</v>
      </c>
      <c r="AP69" s="573">
        <f>AP68</f>
        <v>0</v>
      </c>
    </row>
    <row r="70" spans="1:42" ht="7.5" customHeight="1" x14ac:dyDescent="0.3">
      <c r="A70" s="319"/>
      <c r="B70" s="319"/>
      <c r="C70" s="319"/>
      <c r="D70" s="319"/>
      <c r="E70" s="319"/>
      <c r="F70" s="319"/>
      <c r="G70" s="319"/>
      <c r="H70" s="319"/>
      <c r="I70" s="319"/>
      <c r="J70" s="319"/>
      <c r="K70" s="319"/>
      <c r="L70" s="319"/>
      <c r="M70" s="319"/>
      <c r="N70" s="319"/>
      <c r="O70" s="319"/>
      <c r="P70" s="319"/>
      <c r="Q70" s="319"/>
      <c r="R70" s="319"/>
      <c r="S70" s="319"/>
      <c r="T70" s="319"/>
      <c r="U70" s="319"/>
      <c r="V70" s="319"/>
      <c r="W70" s="319"/>
      <c r="X70" s="319"/>
      <c r="Y70" s="319"/>
      <c r="Z70" s="319"/>
      <c r="AA70" s="319"/>
      <c r="AB70" s="319"/>
      <c r="AC70" s="319"/>
      <c r="AD70" s="319"/>
      <c r="AE70" s="319"/>
      <c r="AF70" s="319"/>
      <c r="AG70" s="319"/>
      <c r="AH70" s="319"/>
      <c r="AI70" s="319"/>
      <c r="AJ70" s="319"/>
      <c r="AK70" s="319"/>
      <c r="AL70" s="319"/>
      <c r="AM70" s="319"/>
      <c r="AN70" s="319"/>
      <c r="AO70" s="319"/>
      <c r="AP70" s="319"/>
    </row>
    <row r="71" spans="1:42" ht="21.75" customHeight="1" x14ac:dyDescent="0.3">
      <c r="A71" s="909" t="s">
        <v>686</v>
      </c>
      <c r="B71" s="909"/>
      <c r="C71" s="909"/>
      <c r="D71" s="909"/>
      <c r="E71" s="909"/>
      <c r="F71" s="909"/>
      <c r="G71" s="909"/>
      <c r="H71" s="909"/>
      <c r="I71" s="909"/>
      <c r="J71" s="909"/>
      <c r="K71" s="909"/>
      <c r="L71" s="909"/>
      <c r="M71" s="909"/>
      <c r="N71" s="909"/>
      <c r="O71" s="909"/>
      <c r="P71" s="909"/>
      <c r="Q71" s="909"/>
      <c r="R71" s="909"/>
      <c r="S71" s="909"/>
      <c r="T71" s="909"/>
      <c r="U71" s="909"/>
      <c r="V71" s="909"/>
      <c r="W71" s="909"/>
      <c r="X71" s="909"/>
      <c r="Y71" s="909"/>
      <c r="Z71" s="909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</row>
    <row r="72" spans="1:42" ht="21.75" customHeight="1" x14ac:dyDescent="0.3">
      <c r="A72" s="574" t="s">
        <v>687</v>
      </c>
      <c r="B72" s="574" t="s">
        <v>333</v>
      </c>
      <c r="C72" s="574" t="s">
        <v>590</v>
      </c>
      <c r="D72" s="910" t="s">
        <v>688</v>
      </c>
      <c r="E72" s="910"/>
      <c r="F72" s="910"/>
      <c r="G72" s="910" t="s">
        <v>126</v>
      </c>
      <c r="H72" s="910"/>
      <c r="I72" s="910"/>
      <c r="J72" s="910"/>
      <c r="K72" s="575"/>
      <c r="L72" s="575"/>
      <c r="M72" s="575"/>
      <c r="N72" s="575"/>
      <c r="O72" s="575"/>
      <c r="P72" s="575"/>
      <c r="Q72" s="575"/>
      <c r="R72" s="575"/>
      <c r="S72" s="575"/>
      <c r="T72" s="575"/>
      <c r="U72" s="575"/>
      <c r="V72" s="575"/>
      <c r="W72" s="575"/>
      <c r="X72" s="575"/>
      <c r="Y72" s="575"/>
      <c r="Z72" s="575"/>
      <c r="AA72" s="575"/>
      <c r="AB72" s="575"/>
      <c r="AC72" s="575"/>
      <c r="AD72" s="575"/>
      <c r="AE72" s="575"/>
      <c r="AF72" s="575"/>
      <c r="AG72" s="575"/>
      <c r="AH72" s="575"/>
      <c r="AI72" s="575"/>
      <c r="AJ72" s="575"/>
      <c r="AK72" s="575"/>
      <c r="AL72" s="575"/>
      <c r="AM72" s="575"/>
      <c r="AN72" s="575"/>
      <c r="AO72" s="575"/>
      <c r="AP72" s="575"/>
    </row>
    <row r="73" spans="1:42" ht="18" customHeight="1" x14ac:dyDescent="0.3">
      <c r="A73" s="576" t="s">
        <v>550</v>
      </c>
      <c r="B73" s="577">
        <f>UBI_RTL1_SNo</f>
        <v>1</v>
      </c>
      <c r="C73" s="578">
        <f>INDEX('Facility Master'!K:K,MATCH(UBI_RTL1_SNo,'Facility Master'!A:A,0))</f>
        <v>1125</v>
      </c>
      <c r="D73" s="911">
        <f>IFERROR(INDEX(H5:H68,MATCH(AsOfDate,B5:B68,1)+1),INDEX('Facility Master'!K:K,MATCH(UBI_RTL1_SNo,'Facility Master'!A:A,0)))</f>
        <v>1125</v>
      </c>
      <c r="E73" s="911"/>
      <c r="F73" s="911"/>
      <c r="G73" s="912" t="str">
        <f t="shared" ref="G73:G79" si="36">IF(D73&gt;=C73,"Moratorium (full sanctioned)",IF(D73&gt;0,"Amortising","Repaid/Not Drawn"))</f>
        <v>Moratorium (full sanctioned)</v>
      </c>
      <c r="H73" s="912"/>
      <c r="I73" s="912"/>
      <c r="J73" s="912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  <c r="Y73" s="189"/>
      <c r="Z73" s="189"/>
      <c r="AA73" s="189"/>
      <c r="AB73" s="189"/>
      <c r="AC73" s="189"/>
      <c r="AD73" s="189"/>
      <c r="AE73" s="189"/>
      <c r="AF73" s="189"/>
      <c r="AG73" s="189"/>
      <c r="AH73" s="189"/>
      <c r="AI73" s="189"/>
      <c r="AJ73" s="189"/>
      <c r="AK73" s="189"/>
      <c r="AL73" s="189"/>
      <c r="AM73" s="189"/>
      <c r="AN73" s="189"/>
      <c r="AO73" s="189"/>
      <c r="AP73" s="189"/>
    </row>
    <row r="74" spans="1:42" ht="18" customHeight="1" x14ac:dyDescent="0.3">
      <c r="A74" s="579" t="s">
        <v>551</v>
      </c>
      <c r="B74" s="580">
        <f>UBI_RTL2_SNo</f>
        <v>2</v>
      </c>
      <c r="C74" s="581">
        <f>INDEX('Facility Master'!K:K,MATCH(UBI_RTL2_SNo,'Facility Master'!A:A,0))</f>
        <v>236</v>
      </c>
      <c r="D74" s="913">
        <f>IFERROR(INDEX(M5:M68,MATCH(AsOfDate,B5:B68,1)+1),INDEX('Facility Master'!K:K,MATCH(UBI_RTL2_SNo,'Facility Master'!A:A,0)))</f>
        <v>236</v>
      </c>
      <c r="E74" s="913"/>
      <c r="F74" s="913"/>
      <c r="G74" s="914" t="str">
        <f t="shared" si="36"/>
        <v>Moratorium (full sanctioned)</v>
      </c>
      <c r="H74" s="914"/>
      <c r="I74" s="914"/>
      <c r="J74" s="914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  <c r="Y74" s="189"/>
      <c r="Z74" s="189"/>
      <c r="AA74" s="189"/>
      <c r="AB74" s="189"/>
      <c r="AC74" s="189"/>
      <c r="AD74" s="189"/>
      <c r="AE74" s="189"/>
      <c r="AF74" s="189"/>
      <c r="AG74" s="189"/>
      <c r="AH74" s="189"/>
      <c r="AI74" s="189"/>
      <c r="AJ74" s="189"/>
      <c r="AK74" s="189"/>
      <c r="AL74" s="189"/>
      <c r="AM74" s="189"/>
      <c r="AN74" s="189"/>
      <c r="AO74" s="189"/>
      <c r="AP74" s="189"/>
    </row>
    <row r="75" spans="1:42" ht="18" customHeight="1" x14ac:dyDescent="0.3">
      <c r="A75" s="576" t="s">
        <v>78</v>
      </c>
      <c r="B75" s="577">
        <f>IB_TL_SNo</f>
        <v>6</v>
      </c>
      <c r="C75" s="578">
        <f>INDEX('Facility Master'!K:K,MATCH(IB_TL_SNo,'Facility Master'!A:A,0))</f>
        <v>235</v>
      </c>
      <c r="D75" s="911">
        <f>IFERROR(INDEX(R5:R68,MATCH(AsOfDate,B5:B68,1)+1),INDEX('Facility Master'!K:K,MATCH(IB_TL_SNo,'Facility Master'!A:A,0)))</f>
        <v>235</v>
      </c>
      <c r="E75" s="911"/>
      <c r="F75" s="911"/>
      <c r="G75" s="912" t="str">
        <f t="shared" si="36"/>
        <v>Moratorium (full sanctioned)</v>
      </c>
      <c r="H75" s="912"/>
      <c r="I75" s="912"/>
      <c r="J75" s="912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  <c r="Y75" s="189"/>
      <c r="Z75" s="189"/>
      <c r="AA75" s="189"/>
      <c r="AB75" s="189"/>
      <c r="AC75" s="189"/>
      <c r="AD75" s="189"/>
      <c r="AE75" s="189"/>
      <c r="AF75" s="189"/>
      <c r="AG75" s="189"/>
      <c r="AH75" s="189"/>
      <c r="AI75" s="189"/>
      <c r="AJ75" s="189"/>
      <c r="AK75" s="189"/>
      <c r="AL75" s="189"/>
      <c r="AM75" s="189"/>
      <c r="AN75" s="189"/>
      <c r="AO75" s="189"/>
      <c r="AP75" s="189"/>
    </row>
    <row r="76" spans="1:42" ht="18" customHeight="1" x14ac:dyDescent="0.3">
      <c r="A76" s="582" t="s">
        <v>689</v>
      </c>
      <c r="B76" s="583">
        <f>RBL_TL_SNo</f>
        <v>7</v>
      </c>
      <c r="C76" s="584">
        <f>INDEX('Facility Master'!K:K,MATCH(RBL_TL_SNo,'Facility Master'!A:A,0))</f>
        <v>200</v>
      </c>
      <c r="D76" s="915">
        <f>IFERROR(INDEX(W5:W68,MATCH(AsOfDate,B5:B68,1)+1),INDEX('Facility Master'!K:K,MATCH(RBL_TL_SNo,'Facility Master'!A:A,0)))</f>
        <v>200</v>
      </c>
      <c r="E76" s="915"/>
      <c r="F76" s="915"/>
      <c r="G76" s="916" t="str">
        <f t="shared" si="36"/>
        <v>Moratorium (full sanctioned)</v>
      </c>
      <c r="H76" s="916"/>
      <c r="I76" s="916"/>
      <c r="J76" s="916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  <c r="AA76" s="189"/>
      <c r="AB76" s="189"/>
      <c r="AC76" s="189"/>
      <c r="AD76" s="189"/>
      <c r="AE76" s="189"/>
      <c r="AF76" s="189"/>
      <c r="AG76" s="189"/>
      <c r="AH76" s="189"/>
      <c r="AI76" s="189"/>
      <c r="AJ76" s="189"/>
      <c r="AK76" s="189"/>
      <c r="AL76" s="189"/>
      <c r="AM76" s="189"/>
      <c r="AN76" s="189"/>
      <c r="AO76" s="189"/>
      <c r="AP76" s="189"/>
    </row>
    <row r="77" spans="1:42" ht="18" customHeight="1" x14ac:dyDescent="0.3">
      <c r="A77" s="576" t="s">
        <v>80</v>
      </c>
      <c r="B77" s="577">
        <f>YBL_TL_SNo</f>
        <v>10</v>
      </c>
      <c r="C77" s="578">
        <f>INDEX('Facility Master'!K:K,MATCH(YBL_TL_SNo,'Facility Master'!A:A,0))</f>
        <v>650</v>
      </c>
      <c r="D77" s="911">
        <f>IFERROR(INDEX(AB5:AB68,MATCH(AsOfDate,B5:B68,1)+1),INDEX('Facility Master'!K:K,MATCH(YBL_TL_SNo,'Facility Master'!A:A,0)))</f>
        <v>650</v>
      </c>
      <c r="E77" s="911"/>
      <c r="F77" s="911"/>
      <c r="G77" s="912" t="str">
        <f t="shared" si="36"/>
        <v>Moratorium (full sanctioned)</v>
      </c>
      <c r="H77" s="912"/>
      <c r="I77" s="912"/>
      <c r="J77" s="912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  <c r="Z77" s="189"/>
      <c r="AA77" s="189"/>
      <c r="AB77" s="189"/>
      <c r="AC77" s="189"/>
      <c r="AD77" s="189"/>
      <c r="AE77" s="189"/>
      <c r="AF77" s="189"/>
      <c r="AG77" s="189"/>
      <c r="AH77" s="189"/>
      <c r="AI77" s="189"/>
      <c r="AJ77" s="189"/>
      <c r="AK77" s="189"/>
      <c r="AL77" s="189"/>
      <c r="AM77" s="189"/>
      <c r="AN77" s="189"/>
      <c r="AO77" s="189"/>
      <c r="AP77" s="189"/>
    </row>
    <row r="78" spans="1:42" ht="18" customHeight="1" x14ac:dyDescent="0.3">
      <c r="A78" s="576" t="s">
        <v>553</v>
      </c>
      <c r="B78" s="577">
        <f>IDFC_TL_SNo</f>
        <v>12</v>
      </c>
      <c r="C78" s="578">
        <f>INDEX('Facility Master'!K:K,MATCH(IDFC_TL_SNo,'Facility Master'!A:A,0))</f>
        <v>530</v>
      </c>
      <c r="D78" s="911">
        <f>IFERROR(INDEX(AG5:AG68,MATCH(AsOfDate,B5:B68,1)+1),INDEX('Facility Master'!K:K,MATCH(IDFC_TL_SNo,'Facility Master'!A:A,0)))</f>
        <v>530</v>
      </c>
      <c r="E78" s="911"/>
      <c r="F78" s="911"/>
      <c r="G78" s="912" t="str">
        <f t="shared" si="36"/>
        <v>Moratorium (full sanctioned)</v>
      </c>
      <c r="H78" s="912"/>
      <c r="I78" s="912"/>
      <c r="J78" s="912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  <c r="Y78" s="189"/>
      <c r="Z78" s="189"/>
      <c r="AA78" s="189"/>
      <c r="AB78" s="189"/>
      <c r="AC78" s="189"/>
      <c r="AD78" s="189"/>
      <c r="AE78" s="189"/>
      <c r="AF78" s="189"/>
      <c r="AG78" s="189"/>
      <c r="AH78" s="189"/>
      <c r="AI78" s="189"/>
      <c r="AJ78" s="189"/>
      <c r="AK78" s="189"/>
      <c r="AL78" s="189"/>
      <c r="AM78" s="189"/>
      <c r="AN78" s="189"/>
      <c r="AO78" s="189"/>
      <c r="AP78" s="189"/>
    </row>
    <row r="79" spans="1:42" ht="18" customHeight="1" x14ac:dyDescent="0.3">
      <c r="A79" s="585" t="s">
        <v>584</v>
      </c>
      <c r="B79" s="586">
        <f>ICICI_TL_SNo</f>
        <v>42</v>
      </c>
      <c r="C79" s="587">
        <f>INDEX('Facility Master'!K:K,MATCH(ICICI_TL_SNo,'Facility Master'!A:A,0))</f>
        <v>840</v>
      </c>
      <c r="D79" s="917">
        <f>IFERROR(INDEX(AL5:AL68,MATCH(AsOfDate,B5:B68,1)+1),INDEX('Facility Master'!K:K,MATCH(ICICI_TL_SNo,'Facility Master'!A:A,0)))</f>
        <v>840</v>
      </c>
      <c r="E79" s="917"/>
      <c r="F79" s="917"/>
      <c r="G79" s="918" t="str">
        <f t="shared" si="36"/>
        <v>Moratorium (full sanctioned)</v>
      </c>
      <c r="H79" s="918"/>
      <c r="I79" s="918"/>
      <c r="J79" s="918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  <c r="Y79" s="189"/>
      <c r="Z79" s="189"/>
      <c r="AA79" s="189"/>
      <c r="AB79" s="189"/>
      <c r="AC79" s="189"/>
      <c r="AD79" s="189"/>
      <c r="AE79" s="189"/>
      <c r="AF79" s="189"/>
      <c r="AG79" s="189"/>
      <c r="AH79" s="189"/>
      <c r="AI79" s="189"/>
      <c r="AJ79" s="189"/>
      <c r="AK79" s="189"/>
      <c r="AL79" s="189"/>
      <c r="AM79" s="189"/>
      <c r="AN79" s="189"/>
      <c r="AO79" s="189"/>
      <c r="AP79" s="189"/>
    </row>
    <row r="80" spans="1:42" ht="19.5" customHeight="1" x14ac:dyDescent="0.3">
      <c r="A80" s="919" t="s">
        <v>690</v>
      </c>
      <c r="B80" s="919"/>
      <c r="C80" s="919"/>
      <c r="D80" s="920">
        <f>SUM(D73:D79)</f>
        <v>3816</v>
      </c>
      <c r="E80" s="920"/>
      <c r="F80" s="920"/>
      <c r="G80" s="588"/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  <c r="Y80" s="189"/>
      <c r="Z80" s="189"/>
      <c r="AA80" s="189"/>
      <c r="AB80" s="189"/>
      <c r="AC80" s="189"/>
      <c r="AD80" s="189"/>
      <c r="AE80" s="189"/>
      <c r="AF80" s="189"/>
      <c r="AG80" s="189"/>
      <c r="AH80" s="189"/>
      <c r="AI80" s="189"/>
      <c r="AJ80" s="189"/>
      <c r="AK80" s="189"/>
      <c r="AL80" s="189"/>
      <c r="AM80" s="189"/>
      <c r="AN80" s="189"/>
      <c r="AO80" s="189"/>
      <c r="AP80" s="189"/>
    </row>
  </sheetData>
  <mergeCells count="31">
    <mergeCell ref="A80:C80"/>
    <mergeCell ref="D80:F80"/>
    <mergeCell ref="D77:F77"/>
    <mergeCell ref="G77:J77"/>
    <mergeCell ref="D78:F78"/>
    <mergeCell ref="G78:J78"/>
    <mergeCell ref="D79:F79"/>
    <mergeCell ref="G79:J79"/>
    <mergeCell ref="D74:F74"/>
    <mergeCell ref="G74:J74"/>
    <mergeCell ref="D75:F75"/>
    <mergeCell ref="G75:J75"/>
    <mergeCell ref="D76:F76"/>
    <mergeCell ref="G76:J76"/>
    <mergeCell ref="A69:C69"/>
    <mergeCell ref="A71:AP71"/>
    <mergeCell ref="D72:F72"/>
    <mergeCell ref="G72:J72"/>
    <mergeCell ref="D73:F73"/>
    <mergeCell ref="G73:J73"/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BACC6"/>
  </sheetPr>
  <dimension ref="A1:Z20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4" sqref="H14"/>
    </sheetView>
  </sheetViews>
  <sheetFormatPr defaultColWidth="8.6640625" defaultRowHeight="14.4" x14ac:dyDescent="0.3"/>
  <cols>
    <col min="1" max="1" width="6.44140625" customWidth="1"/>
    <col min="2" max="2" width="18.5546875" customWidth="1"/>
    <col min="3" max="3" width="40.77734375" customWidth="1"/>
    <col min="4" max="4" width="13" customWidth="1"/>
    <col min="5" max="5" width="10.21875" customWidth="1"/>
    <col min="6" max="7" width="13.88671875" customWidth="1"/>
    <col min="8" max="8" width="12" customWidth="1"/>
    <col min="9" max="9" width="18.5546875" customWidth="1"/>
    <col min="10" max="10" width="7.44140625" customWidth="1"/>
    <col min="11" max="11" width="51.88671875" customWidth="1"/>
    <col min="12" max="26" width="11.5546875" hidden="1" customWidth="1"/>
  </cols>
  <sheetData>
    <row r="1" spans="1:11" ht="27.75" customHeight="1" x14ac:dyDescent="0.3">
      <c r="A1" s="14" t="s">
        <v>691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15.75" customHeight="1" x14ac:dyDescent="0.3">
      <c r="A2" s="13" t="s">
        <v>692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ht="24" customHeight="1" x14ac:dyDescent="0.3">
      <c r="A3" s="322" t="s">
        <v>121</v>
      </c>
      <c r="B3" s="321" t="s">
        <v>72</v>
      </c>
      <c r="C3" s="321" t="s">
        <v>334</v>
      </c>
      <c r="D3" s="322" t="s">
        <v>109</v>
      </c>
      <c r="E3" s="322" t="s">
        <v>338</v>
      </c>
      <c r="F3" s="322" t="s">
        <v>590</v>
      </c>
      <c r="G3" s="322" t="s">
        <v>693</v>
      </c>
      <c r="H3" s="322" t="s">
        <v>694</v>
      </c>
      <c r="I3" s="322" t="s">
        <v>695</v>
      </c>
      <c r="J3" s="322" t="s">
        <v>696</v>
      </c>
      <c r="K3" s="322" t="s">
        <v>361</v>
      </c>
    </row>
    <row r="4" spans="1:11" ht="21.75" customHeight="1" x14ac:dyDescent="0.3">
      <c r="A4" s="589">
        <f>IFERROR('Facility Master'!A5,"")</f>
        <v>1</v>
      </c>
      <c r="B4" s="590" t="str">
        <f>IFERROR('Facility Master'!B5,"")</f>
        <v>UBI</v>
      </c>
      <c r="C4" s="591" t="str">
        <f>IFERROR('Facility Master'!C5,"")</f>
        <v>RTL-I (renewal)</v>
      </c>
      <c r="D4" s="592" t="str">
        <f>IFERROR('Facility Master'!D5,"")</f>
        <v>FB-Term</v>
      </c>
      <c r="E4" s="589">
        <f>IFERROR('Facility Master'!H5,0)</f>
        <v>1</v>
      </c>
      <c r="F4" s="593">
        <f>IFERROR('Facility Master'!K5,0)</f>
        <v>1125</v>
      </c>
      <c r="G4" s="593">
        <f>IFERROR('Facility Master'!M5,0)</f>
        <v>1125</v>
      </c>
      <c r="H4" s="594">
        <f>IFERROR('Facility Master'!R5,0)</f>
        <v>9.4E-2</v>
      </c>
      <c r="I4" s="595">
        <f t="shared" ref="I4:I47" si="0">IFERROR(IF(D4="Hedge",0,IF(OR(D4="FB",D4="FB-Term",D4="FB-FCY",D4="FB-FDbacked"),G4*H4,F4*H4)),0)</f>
        <v>105.75</v>
      </c>
      <c r="J4" s="589" t="str">
        <f>IFERROR('Facility Master'!I5,"")</f>
        <v>INR</v>
      </c>
      <c r="K4" s="596" t="str">
        <f>IFERROR('Facility Master'!AF5,"")</f>
        <v>Renewal of existing TL; 1Y MCLR 8.90% per UBI SL p.1 (RTL-I); Spread 0.50% -&gt; effective 9.40% p.a. at present. Next MCLR reset 26-Jun-2026. (RTL-II uses 1Y MCLR 8.60% + 0.50% = 9.10%.)</v>
      </c>
    </row>
    <row r="5" spans="1:11" ht="19.5" customHeight="1" x14ac:dyDescent="0.3">
      <c r="A5" s="501">
        <f>IFERROR('Facility Master'!A6,"")</f>
        <v>2</v>
      </c>
      <c r="B5" s="243"/>
      <c r="C5" s="244" t="str">
        <f>IFERROR('Facility Master'!C6,"")</f>
        <v>RTL-II (fresh)</v>
      </c>
      <c r="D5" s="502" t="str">
        <f>IFERROR('Facility Master'!D6,"")</f>
        <v>FB-Term</v>
      </c>
      <c r="E5" s="501">
        <f>IFERROR('Facility Master'!H6,0)</f>
        <v>1</v>
      </c>
      <c r="F5" s="503">
        <f>IFERROR('Facility Master'!K6,0)</f>
        <v>236</v>
      </c>
      <c r="G5" s="503">
        <f>IFERROR('Facility Master'!M6,0)</f>
        <v>236</v>
      </c>
      <c r="H5" s="506">
        <f>IFERROR('Facility Master'!R6,0)</f>
        <v>9.0999999999999998E-2</v>
      </c>
      <c r="I5" s="597">
        <f t="shared" si="0"/>
        <v>21.475999999999999</v>
      </c>
      <c r="J5" s="501" t="str">
        <f>IFERROR('Facility Master'!I6,"")</f>
        <v>INR</v>
      </c>
      <c r="K5" s="598" t="str">
        <f>IFERROR('Facility Master'!AF6,"")</f>
        <v>Fresh facility; 1Y MCLR 8.60% (reset basis); consortium-aligned 48 quarterly</v>
      </c>
    </row>
    <row r="6" spans="1:11" ht="19.5" customHeight="1" x14ac:dyDescent="0.3">
      <c r="A6" s="491">
        <f>IFERROR('Facility Master'!A7,"")</f>
        <v>3</v>
      </c>
      <c r="B6" s="537"/>
      <c r="C6" s="493" t="str">
        <f>IFERROR('Facility Master'!C7,"")</f>
        <v>Letter of Credit (Capex LC/UPAS/SBLC)</v>
      </c>
      <c r="D6" s="494" t="str">
        <f>IFERROR('Facility Master'!D7,"")</f>
        <v>NFB</v>
      </c>
      <c r="E6" s="491">
        <f>IFERROR('Facility Master'!H7,0)</f>
        <v>0</v>
      </c>
      <c r="F6" s="495">
        <f>IFERROR('Facility Master'!K7,0)</f>
        <v>750</v>
      </c>
      <c r="G6" s="495">
        <f>IFERROR('Facility Master'!M7,0)</f>
        <v>750</v>
      </c>
      <c r="H6" s="499">
        <f>IFERROR('Facility Master'!R7,0)</f>
        <v>6.0000000000000001E-3</v>
      </c>
      <c r="I6" s="599">
        <f t="shared" si="0"/>
        <v>4.5</v>
      </c>
      <c r="J6" s="491" t="str">
        <f>IFERROR('Facility Master'!I7,"")</f>
        <v>INR</v>
      </c>
      <c r="K6" s="600" t="str">
        <f>IFERROR('Facility Master'!AF7,"")</f>
        <v>0.60% p.a. + GST commission; UBI branch SBLC; other-bank SBLC 0.85%</v>
      </c>
    </row>
    <row r="7" spans="1:11" ht="19.5" customHeight="1" x14ac:dyDescent="0.3">
      <c r="A7" s="501">
        <f>IFERROR('Facility Master'!A8,"")</f>
        <v>4</v>
      </c>
      <c r="B7" s="243"/>
      <c r="C7" s="244" t="str">
        <f>IFERROR('Facility Master'!C8,"")</f>
        <v>Bank Guarantee</v>
      </c>
      <c r="D7" s="502" t="str">
        <f>IFERROR('Facility Master'!D8,"")</f>
        <v>NFB</v>
      </c>
      <c r="E7" s="501">
        <f>IFERROR('Facility Master'!H8,0)</f>
        <v>0</v>
      </c>
      <c r="F7" s="503">
        <f>IFERROR('Facility Master'!K8,0)</f>
        <v>12.5</v>
      </c>
      <c r="G7" s="503">
        <f>IFERROR('Facility Master'!M8,0)</f>
        <v>12.5</v>
      </c>
      <c r="H7" s="506">
        <f>IFERROR('Facility Master'!R8,0)</f>
        <v>6.0000000000000001E-3</v>
      </c>
      <c r="I7" s="597">
        <f t="shared" si="0"/>
        <v>7.4999999999999997E-2</v>
      </c>
      <c r="J7" s="501" t="str">
        <f>IFERROR('Facility Master'!I8,"")</f>
        <v>INR</v>
      </c>
      <c r="K7" s="598" t="str">
        <f>IFERROR('Facility Master'!AF8,"")</f>
        <v>0.60% p.a. + GST</v>
      </c>
    </row>
    <row r="8" spans="1:11" ht="19.5" customHeight="1" x14ac:dyDescent="0.3">
      <c r="A8" s="491">
        <f>IFERROR('Facility Master'!A9,"")</f>
        <v>5</v>
      </c>
      <c r="B8" s="537"/>
      <c r="C8" s="493" t="str">
        <f>IFERROR('Facility Master'!C9,"")</f>
        <v>Forward Contract (credit equivalent)</v>
      </c>
      <c r="D8" s="494" t="str">
        <f>IFERROR('Facility Master'!D9,"")</f>
        <v>Hedge</v>
      </c>
      <c r="E8" s="491" t="str">
        <f>IFERROR('Facility Master'!H9,0)</f>
        <v>H</v>
      </c>
      <c r="F8" s="495">
        <f>IFERROR('Facility Master'!K9,0)</f>
        <v>75</v>
      </c>
      <c r="G8" s="495">
        <f>IFERROR('Facility Master'!M9,0)</f>
        <v>75</v>
      </c>
      <c r="H8" s="499">
        <f>IFERROR('Facility Master'!R9,0)</f>
        <v>0</v>
      </c>
      <c r="I8" s="599">
        <f t="shared" si="0"/>
        <v>0</v>
      </c>
      <c r="J8" s="491" t="str">
        <f>IFERROR('Facility Master'!I9,"")</f>
        <v>INR</v>
      </c>
      <c r="K8" s="600" t="str">
        <f>IFERROR('Facility Master'!AF9,"")</f>
        <v>MEMO ONLY. '^' superscript on UBI cover table with no footnote, treatment ambiguous; provisionally classified as hedge memo. Out of all buckets.</v>
      </c>
    </row>
    <row r="9" spans="1:11" ht="21.75" customHeight="1" x14ac:dyDescent="0.3">
      <c r="A9" s="601">
        <f>IFERROR('Facility Master'!A10,"")</f>
        <v>6</v>
      </c>
      <c r="B9" s="602" t="str">
        <f>IFERROR('Facility Master'!B10,"")</f>
        <v>Indian Bank</v>
      </c>
      <c r="C9" s="603" t="str">
        <f>IFERROR('Facility Master'!C10,"")</f>
        <v>Term Loan (per amendment ticket)</v>
      </c>
      <c r="D9" s="604" t="str">
        <f>IFERROR('Facility Master'!D10,"")</f>
        <v>FB-Term</v>
      </c>
      <c r="E9" s="601">
        <f>IFERROR('Facility Master'!H10,0)</f>
        <v>1</v>
      </c>
      <c r="F9" s="605">
        <f>IFERROR('Facility Master'!K10,0)</f>
        <v>235</v>
      </c>
      <c r="G9" s="605">
        <f>IFERROR('Facility Master'!M10,0)</f>
        <v>235</v>
      </c>
      <c r="H9" s="606">
        <f>IFERROR('Facility Master'!R10,0)</f>
        <v>9.4E-2</v>
      </c>
      <c r="I9" s="607">
        <f t="shared" si="0"/>
        <v>22.09</v>
      </c>
      <c r="J9" s="601" t="str">
        <f>IFERROR('Facility Master'!I10,"")</f>
        <v>INR</v>
      </c>
      <c r="K9" s="608" t="str">
        <f>IFERROR('Facility Master'!AF10,"")</f>
        <v>Indian Bank: Loan ₹235 Cr DERIVED from repayment table totals (8Q × ₹2.9375 + 40Q × ₹5.2875 = ₹235 OK). 12-yr tenor; 12-mo moratorium; graduated 1.25%/2.25% quarterly; per amendment ticket 26-Sep-2025.</v>
      </c>
    </row>
    <row r="10" spans="1:11" ht="21.75" customHeight="1" x14ac:dyDescent="0.3">
      <c r="A10" s="481">
        <f>IFERROR('Facility Master'!A11,"")</f>
        <v>7</v>
      </c>
      <c r="B10" s="482" t="str">
        <f>IFERROR('Facility Master'!B11,"")</f>
        <v>RBL Bank</v>
      </c>
      <c r="C10" s="483" t="str">
        <f>IFERROR('Facility Master'!C11,"")</f>
        <v>Term Loan (12-month bullet bridge)</v>
      </c>
      <c r="D10" s="484" t="str">
        <f>IFERROR('Facility Master'!D11,"")</f>
        <v>FB-Term</v>
      </c>
      <c r="E10" s="481">
        <f>IFERROR('Facility Master'!H11,0)</f>
        <v>1</v>
      </c>
      <c r="F10" s="485">
        <f>IFERROR('Facility Master'!K11,0)</f>
        <v>200</v>
      </c>
      <c r="G10" s="485">
        <f>IFERROR('Facility Master'!M11,0)</f>
        <v>200</v>
      </c>
      <c r="H10" s="489">
        <f>IFERROR('Facility Master'!R11,0)</f>
        <v>9.5000000000000001E-2</v>
      </c>
      <c r="I10" s="609">
        <f t="shared" si="0"/>
        <v>19</v>
      </c>
      <c r="J10" s="481" t="str">
        <f>IFERROR('Facility Master'!I11,"")</f>
        <v>INR</v>
      </c>
      <c r="K10" s="610" t="str">
        <f>IFERROR('Facility Master'!AF11,"")</f>
        <v>Bridge facility, 12-month BULLET, NOT consortium amortising. Rate 'to be decided at disbursement' Min promoter contribution ₹1,363 Cr covenant. Min BBB rating within 180 days.</v>
      </c>
    </row>
    <row r="11" spans="1:11" ht="19.5" customHeight="1" x14ac:dyDescent="0.3">
      <c r="A11" s="501">
        <f>IFERROR('Facility Master'!A12,"")</f>
        <v>8</v>
      </c>
      <c r="B11" s="243"/>
      <c r="C11" s="244" t="str">
        <f>IFERROR('Facility Master'!C12,"")</f>
        <v>Letter of Credit (sub-limit of TL)</v>
      </c>
      <c r="D11" s="502" t="str">
        <f>IFERROR('Facility Master'!D12,"")</f>
        <v>NFB</v>
      </c>
      <c r="E11" s="501">
        <f>IFERROR('Facility Master'!H12,0)</f>
        <v>0</v>
      </c>
      <c r="F11" s="503">
        <f>IFERROR('Facility Master'!K12,0)</f>
        <v>200</v>
      </c>
      <c r="G11" s="503">
        <f>IFERROR('Facility Master'!M12,0)</f>
        <v>200</v>
      </c>
      <c r="H11" s="506">
        <f>IFERROR('Facility Master'!R12,0)</f>
        <v>5.0000000000000001E-3</v>
      </c>
      <c r="I11" s="597">
        <f t="shared" si="0"/>
        <v>1</v>
      </c>
      <c r="J11" s="501" t="str">
        <f>IFERROR('Facility Master'!I12,"")</f>
        <v>INR</v>
      </c>
      <c r="K11" s="598" t="str">
        <f>IFERROR('Facility Master'!AF12,"")</f>
        <v>Sub-limit within ₹200 Cr TL; 0.50% p.a. commission; no LCs to sister/group companies; 6 months max per LC</v>
      </c>
    </row>
    <row r="12" spans="1:11" ht="19.5" customHeight="1" x14ac:dyDescent="0.3">
      <c r="A12" s="481">
        <f>IFERROR('Facility Master'!A13,"")</f>
        <v>9</v>
      </c>
      <c r="B12" s="539"/>
      <c r="C12" s="483" t="str">
        <f>IFERROR('Facility Master'!C13,"")</f>
        <v>FDOD (Overdraft against FD)</v>
      </c>
      <c r="D12" s="484" t="str">
        <f>IFERROR('Facility Master'!D13,"")</f>
        <v>FB-FDbacked</v>
      </c>
      <c r="E12" s="481">
        <f>IFERROR('Facility Master'!H13,0)</f>
        <v>3</v>
      </c>
      <c r="F12" s="485">
        <f>IFERROR('Facility Master'!K13,0)</f>
        <v>100</v>
      </c>
      <c r="G12" s="485">
        <f>IFERROR('Facility Master'!M13,0)</f>
        <v>100</v>
      </c>
      <c r="H12" s="489">
        <f>IFERROR('Facility Master'!R13,0)</f>
        <v>9.5000000000000001E-2</v>
      </c>
      <c r="I12" s="609">
        <f t="shared" si="0"/>
        <v>9.5</v>
      </c>
      <c r="J12" s="481" t="str">
        <f>IFERROR('Facility Master'!I13,"")</f>
        <v>INR</v>
      </c>
      <c r="K12" s="610" t="str">
        <f>IFERROR('Facility Master'!AF13,"")</f>
        <v>FD-backed; economic exposure nil; rate TBD at disbursement</v>
      </c>
    </row>
    <row r="13" spans="1:11" ht="21.75" customHeight="1" x14ac:dyDescent="0.3">
      <c r="A13" s="589">
        <f>IFERROR('Facility Master'!A14,"")</f>
        <v>10</v>
      </c>
      <c r="B13" s="590" t="str">
        <f>IFERROR('Facility Master'!B14,"")</f>
        <v>YES Bank</v>
      </c>
      <c r="C13" s="591" t="str">
        <f>IFERROR('Facility Master'!C14,"")</f>
        <v>Term Loan (project, new consortium joiner)</v>
      </c>
      <c r="D13" s="592" t="str">
        <f>IFERROR('Facility Master'!D14,"")</f>
        <v>FB-Term</v>
      </c>
      <c r="E13" s="589">
        <f>IFERROR('Facility Master'!H14,0)</f>
        <v>1</v>
      </c>
      <c r="F13" s="593">
        <f>IFERROR('Facility Master'!K14,0)</f>
        <v>650</v>
      </c>
      <c r="G13" s="593">
        <f>IFERROR('Facility Master'!M14,0)</f>
        <v>650</v>
      </c>
      <c r="H13" s="594">
        <f>IFERROR('Facility Master'!R14,0)</f>
        <v>9.5500000000000002E-2</v>
      </c>
      <c r="I13" s="595">
        <f t="shared" si="0"/>
        <v>62.075000000000003</v>
      </c>
      <c r="J13" s="589" t="str">
        <f>IFERROR('Facility Master'!I14,"")</f>
        <v>INR</v>
      </c>
      <c r="K13" s="596" t="str">
        <f>IFERROR('Facility Master'!AF14,"")</f>
        <v>YBL: EBLR + 3.45% (current EBLR not stated in letter). 160 mo tenor; 12-mo moratorium; quarterly P+I; per FL 30-Dec-2025</v>
      </c>
    </row>
    <row r="14" spans="1:11" ht="19.5" customHeight="1" x14ac:dyDescent="0.3">
      <c r="A14" s="491">
        <f>IFERROR('Facility Master'!A15,"")</f>
        <v>11</v>
      </c>
      <c r="B14" s="537"/>
      <c r="C14" s="493" t="str">
        <f>IFERROR('Facility Master'!C15,"")</f>
        <v>Capex LC (sub-limit of TL)</v>
      </c>
      <c r="D14" s="494" t="str">
        <f>IFERROR('Facility Master'!D15,"")</f>
        <v>NFB</v>
      </c>
      <c r="E14" s="491">
        <f>IFERROR('Facility Master'!H15,0)</f>
        <v>0</v>
      </c>
      <c r="F14" s="495">
        <f>IFERROR('Facility Master'!K15,0)</f>
        <v>100</v>
      </c>
      <c r="G14" s="495">
        <f>IFERROR('Facility Master'!M15,0)</f>
        <v>100</v>
      </c>
      <c r="H14" s="499">
        <f>IFERROR('Facility Master'!R15,0)</f>
        <v>5.0000000000000001E-3</v>
      </c>
      <c r="I14" s="599">
        <f t="shared" si="0"/>
        <v>0.5</v>
      </c>
      <c r="J14" s="491" t="str">
        <f>IFERROR('Facility Master'!I15,"")</f>
        <v>INR</v>
      </c>
      <c r="K14" s="600" t="str">
        <f>IFERROR('Facility Master'!AF15,"")</f>
        <v>Sub-limit within ₹650 Cr TL; 0.50% p.a.; 36-month tenor incl 12-month usance; availability till 02-Mar-2026</v>
      </c>
    </row>
    <row r="15" spans="1:11" ht="21.75" customHeight="1" x14ac:dyDescent="0.3">
      <c r="A15" s="601">
        <f>IFERROR('Facility Master'!A16,"")</f>
        <v>12</v>
      </c>
      <c r="B15" s="602" t="str">
        <f>IFERROR('Facility Master'!B16,"")</f>
        <v>IDFC First Bank</v>
      </c>
      <c r="C15" s="603" t="str">
        <f>IFERROR('Facility Master'!C16,"")</f>
        <v>RTL (project, new consortium joiner)</v>
      </c>
      <c r="D15" s="604" t="str">
        <f>IFERROR('Facility Master'!D16,"")</f>
        <v>FB-Term</v>
      </c>
      <c r="E15" s="601">
        <f>IFERROR('Facility Master'!H16,0)</f>
        <v>1</v>
      </c>
      <c r="F15" s="605">
        <f>IFERROR('Facility Master'!K16,0)</f>
        <v>530</v>
      </c>
      <c r="G15" s="605">
        <f>IFERROR('Facility Master'!M16,0)</f>
        <v>530</v>
      </c>
      <c r="H15" s="606">
        <f>IFERROR('Facility Master'!R16,0)</f>
        <v>8.7999999999999995E-2</v>
      </c>
      <c r="I15" s="607">
        <f t="shared" si="0"/>
        <v>46.64</v>
      </c>
      <c r="J15" s="601" t="str">
        <f>IFERROR('Facility Master'!I16,"")</f>
        <v>INR</v>
      </c>
      <c r="K15" s="608" t="str">
        <f>IFERROR('Facility Master'!AF16,"")</f>
        <v>IDFC: EBLR 7.75% + 1.05% spread = ~8.80%. 144-mo tenor; 12-mo moratorium; quarterly P+I; per SL 09-Jan-2026 accepted 14-Jan-2026.</v>
      </c>
    </row>
    <row r="16" spans="1:11" ht="19.5" customHeight="1" x14ac:dyDescent="0.3">
      <c r="A16" s="611">
        <f>IFERROR('Facility Master'!A17,"")</f>
        <v>13</v>
      </c>
      <c r="B16" s="612"/>
      <c r="C16" s="613" t="str">
        <f>IFERROR('Facility Master'!C17,"")</f>
        <v>NFB, Capex LC/SBLC (A)</v>
      </c>
      <c r="D16" s="614" t="str">
        <f>IFERROR('Facility Master'!D17,"")</f>
        <v>NFB</v>
      </c>
      <c r="E16" s="611">
        <f>IFERROR('Facility Master'!H17,0)</f>
        <v>0</v>
      </c>
      <c r="F16" s="615">
        <f>IFERROR('Facility Master'!K17,0)</f>
        <v>400</v>
      </c>
      <c r="G16" s="615">
        <f>IFERROR('Facility Master'!M17,0)</f>
        <v>400</v>
      </c>
      <c r="H16" s="616">
        <f>IFERROR('Facility Master'!R17,0)</f>
        <v>3.5000000000000001E-3</v>
      </c>
      <c r="I16" s="617">
        <f t="shared" si="0"/>
        <v>1.4000000000000001</v>
      </c>
      <c r="J16" s="611" t="str">
        <f>IFERROR('Facility Master'!I17,"")</f>
        <v>INR</v>
      </c>
      <c r="K16" s="618" t="str">
        <f>IFERROR('Facility Master'!AF17,"")</f>
        <v>IDFC NFB-A (Capex LC/SBLC): ₹400 Cr total NFB cap; . Per SL p.2 verbatim 'Sub-Limits under Facility: Rs 400.00 Cr towards non-funded'.</v>
      </c>
    </row>
    <row r="17" spans="1:11" ht="19.5" customHeight="1" x14ac:dyDescent="0.3">
      <c r="A17" s="501">
        <f>IFERROR('Facility Master'!A18,"")</f>
        <v>14</v>
      </c>
      <c r="B17" s="243"/>
      <c r="C17" s="244" t="str">
        <f>IFERROR('Facility Master'!C18,"")</f>
        <v>NFB, BG / SBLC (B, sub-limit within ₹400 cap)</v>
      </c>
      <c r="D17" s="502" t="str">
        <f>IFERROR('Facility Master'!D18,"")</f>
        <v>NFB</v>
      </c>
      <c r="E17" s="501">
        <f>IFERROR('Facility Master'!H18,0)</f>
        <v>0</v>
      </c>
      <c r="F17" s="503">
        <f>IFERROR('Facility Master'!K18,0)</f>
        <v>200</v>
      </c>
      <c r="G17" s="503">
        <f>IFERROR('Facility Master'!M18,0)</f>
        <v>200</v>
      </c>
      <c r="H17" s="506">
        <f>IFERROR('Facility Master'!R18,0)</f>
        <v>3.5000000000000001E-3</v>
      </c>
      <c r="I17" s="597">
        <f t="shared" si="0"/>
        <v>0.70000000000000007</v>
      </c>
      <c r="J17" s="501" t="str">
        <f>IFERROR('Facility Master'!I18,"")</f>
        <v>INR</v>
      </c>
      <c r="K17" s="598" t="str">
        <f>IFERROR('Facility Master'!AF18,"")</f>
        <v>IDFC NFB-B (BG/SBLC): sub-cap ₹200 Cr within A's ₹400 Cr parent. combined A+B ≤ ₹400 Cr (not additive)</v>
      </c>
    </row>
    <row r="18" spans="1:11" ht="21.75" customHeight="1" x14ac:dyDescent="0.3">
      <c r="A18" s="589">
        <f>IFERROR('Facility Master'!A19,"")</f>
        <v>15</v>
      </c>
      <c r="B18" s="590" t="str">
        <f>IFERROR('Facility Master'!B19,"")</f>
        <v>ICICI Bank</v>
      </c>
      <c r="C18" s="591" t="str">
        <f>IFERROR('Facility Master'!C19,"")</f>
        <v>Cash Credit (WC)</v>
      </c>
      <c r="D18" s="592" t="str">
        <f>IFERROR('Facility Master'!D19,"")</f>
        <v>FB</v>
      </c>
      <c r="E18" s="589">
        <f>IFERROR('Facility Master'!H19,0)</f>
        <v>1</v>
      </c>
      <c r="F18" s="593">
        <f>IFERROR('Facility Master'!K19,0)</f>
        <v>100</v>
      </c>
      <c r="G18" s="593">
        <f>IFERROR('Facility Master'!M19,0)</f>
        <v>100</v>
      </c>
      <c r="H18" s="594">
        <f>IFERROR('Facility Master'!R19,0)</f>
        <v>8.5000000000000006E-2</v>
      </c>
      <c r="I18" s="595">
        <f t="shared" si="0"/>
        <v>8.5</v>
      </c>
      <c r="J18" s="589" t="str">
        <f>IFERROR('Facility Master'!I19,"")</f>
        <v>INR</v>
      </c>
      <c r="K18" s="596" t="str">
        <f>IFERROR('Facility Master'!AF19,"")</f>
        <v>I-MCLR-6M (8.30%) + 0.20% = ~8.50%. Reset every 6 mo. Interchangeable one-way to LC. Validity 03-Feb-2027.</v>
      </c>
    </row>
    <row r="19" spans="1:11" ht="19.5" customHeight="1" x14ac:dyDescent="0.3">
      <c r="A19" s="501">
        <f>IFERROR('Facility Master'!A20,"")</f>
        <v>16</v>
      </c>
      <c r="B19" s="243"/>
      <c r="C19" s="244" t="str">
        <f>IFERROR('Facility Master'!C20,"")</f>
        <v>WCDL (sub-limit of CC)</v>
      </c>
      <c r="D19" s="502" t="str">
        <f>IFERROR('Facility Master'!D20,"")</f>
        <v>FB</v>
      </c>
      <c r="E19" s="501">
        <f>IFERROR('Facility Master'!H20,0)</f>
        <v>0</v>
      </c>
      <c r="F19" s="503">
        <f>IFERROR('Facility Master'!K20,0)</f>
        <v>100</v>
      </c>
      <c r="G19" s="503">
        <f>IFERROR('Facility Master'!M20,0)</f>
        <v>100</v>
      </c>
      <c r="H19" s="506">
        <f>IFERROR('Facility Master'!R20,0)</f>
        <v>5.2499999999999998E-2</v>
      </c>
      <c r="I19" s="597">
        <f t="shared" si="0"/>
        <v>5.25</v>
      </c>
      <c r="J19" s="501" t="str">
        <f>IFERROR('Facility Master'!I20,"")</f>
        <v>INR</v>
      </c>
      <c r="K19" s="598" t="str">
        <f>IFERROR('Facility Master'!AF20,"")</f>
        <v>Repo Rate + Spread (TBD per drawdown). Max 90-day tranche; default 95 days under RBI LDS. Sub of CC.</v>
      </c>
    </row>
    <row r="20" spans="1:11" ht="19.5" customHeight="1" x14ac:dyDescent="0.3">
      <c r="A20" s="491">
        <f>IFERROR('Facility Master'!A21,"")</f>
        <v>17</v>
      </c>
      <c r="B20" s="537"/>
      <c r="C20" s="493" t="str">
        <f>IFERROR('Facility Master'!C21,"")</f>
        <v>Letter of Credit (WC)</v>
      </c>
      <c r="D20" s="494" t="str">
        <f>IFERROR('Facility Master'!D21,"")</f>
        <v>NFB</v>
      </c>
      <c r="E20" s="491">
        <f>IFERROR('Facility Master'!H21,0)</f>
        <v>2</v>
      </c>
      <c r="F20" s="495">
        <f>IFERROR('Facility Master'!K21,0)</f>
        <v>300</v>
      </c>
      <c r="G20" s="495">
        <f>IFERROR('Facility Master'!M21,0)</f>
        <v>300</v>
      </c>
      <c r="H20" s="499">
        <f>IFERROR('Facility Master'!R21,0)</f>
        <v>6.0000000000000001E-3</v>
      </c>
      <c r="I20" s="599">
        <f t="shared" si="0"/>
        <v>1.8</v>
      </c>
      <c r="J20" s="491" t="str">
        <f>IFERROR('Facility Master'!I21,"")</f>
        <v>INR</v>
      </c>
      <c r="K20" s="600" t="str">
        <f>IFERROR('Facility Master'!AF21,"")</f>
        <v>0.60% p.a. commission. Foreign LC max 150 days; Inland 90 days. Group co LC cap 25% (Jindal Coke + JSL combined).</v>
      </c>
    </row>
    <row r="21" spans="1:11" ht="19.5" customHeight="1" x14ac:dyDescent="0.3">
      <c r="A21" s="501">
        <f>IFERROR('Facility Master'!A22,"")</f>
        <v>18</v>
      </c>
      <c r="B21" s="243"/>
      <c r="C21" s="244" t="str">
        <f>IFERROR('Facility Master'!C22,"")</f>
        <v>BG (F+P, sub-limit of LC)</v>
      </c>
      <c r="D21" s="502" t="str">
        <f>IFERROR('Facility Master'!D22,"")</f>
        <v>NFB</v>
      </c>
      <c r="E21" s="501">
        <f>IFERROR('Facility Master'!H22,0)</f>
        <v>0</v>
      </c>
      <c r="F21" s="503">
        <f>IFERROR('Facility Master'!K22,0)</f>
        <v>300</v>
      </c>
      <c r="G21" s="503">
        <f>IFERROR('Facility Master'!M22,0)</f>
        <v>300</v>
      </c>
      <c r="H21" s="506">
        <f>IFERROR('Facility Master'!R22,0)</f>
        <v>6.0000000000000001E-3</v>
      </c>
      <c r="I21" s="597">
        <f t="shared" si="0"/>
        <v>1.8</v>
      </c>
      <c r="J21" s="501" t="str">
        <f>IFERROR('Facility Master'!I22,"")</f>
        <v>INR</v>
      </c>
      <c r="K21" s="598" t="str">
        <f>IFERROR('Facility Master'!AF22,"")</f>
        <v>BG(F) 0.85% ≤1y / 1.00% 1-3y; BG(P) 0.60% / 0.75%. Onerous BG: 12.5% private, 25% PSU. Sub of LC.</v>
      </c>
    </row>
    <row r="22" spans="1:11" ht="21.75" customHeight="1" x14ac:dyDescent="0.3">
      <c r="A22" s="508">
        <f>IFERROR('Facility Master'!A23,"")</f>
        <v>19</v>
      </c>
      <c r="B22" s="509" t="str">
        <f>IFERROR('Facility Master'!B23,"")</f>
        <v>HSBC</v>
      </c>
      <c r="C22" s="531" t="str">
        <f>IFERROR('Facility Master'!C23,"")</f>
        <v>Combined Limit (Uncommitted)</v>
      </c>
      <c r="D22" s="511" t="str">
        <f>IFERROR('Facility Master'!D23,"")</f>
        <v>NFB</v>
      </c>
      <c r="E22" s="508">
        <f>IFERROR('Facility Master'!H23,0)</f>
        <v>1</v>
      </c>
      <c r="F22" s="512">
        <f>IFERROR('Facility Master'!K23,0)</f>
        <v>200</v>
      </c>
      <c r="G22" s="512">
        <f>IFERROR('Facility Master'!M23,0)</f>
        <v>200</v>
      </c>
      <c r="H22" s="516">
        <f>IFERROR('Facility Master'!R23,0)</f>
        <v>0.09</v>
      </c>
      <c r="I22" s="619">
        <f t="shared" si="0"/>
        <v>18</v>
      </c>
      <c r="J22" s="508" t="str">
        <f>IFERROR('Facility Master'!I23,"")</f>
        <v>INR</v>
      </c>
      <c r="K22" s="620" t="str">
        <f>IFERROR('Facility Master'!AF23,"")</f>
        <v>HSBC: ₹1,000 Cr face UNCOMMITTED Combined Limit. Model carries ₹200 Cr post 20% haircut in Bucket 1 (Sanctioned/FB Mains). Bank retains discretion to cancel. All 14 sub-facilities Bucket 0. Security excludes immovable FA.</v>
      </c>
    </row>
    <row r="23" spans="1:11" ht="19.5" customHeight="1" x14ac:dyDescent="0.3">
      <c r="A23" s="501">
        <f>IFERROR('Facility Master'!A24,"")</f>
        <v>20</v>
      </c>
      <c r="B23" s="243"/>
      <c r="C23" s="535" t="str">
        <f>IFERROR('Facility Master'!C24,"")</f>
        <v>Working Capital Loan (Uncommitted, sub of #1)</v>
      </c>
      <c r="D23" s="502" t="str">
        <f>IFERROR('Facility Master'!D24,"")</f>
        <v>FB</v>
      </c>
      <c r="E23" s="501">
        <f>IFERROR('Facility Master'!H24,0)</f>
        <v>0</v>
      </c>
      <c r="F23" s="503">
        <f>IFERROR('Facility Master'!K24,0)</f>
        <v>26.08</v>
      </c>
      <c r="G23" s="503">
        <f>IFERROR('Facility Master'!M24,0)</f>
        <v>26.08</v>
      </c>
      <c r="H23" s="506">
        <f>IFERROR('Facility Master'!R24,0)</f>
        <v>0.09</v>
      </c>
      <c r="I23" s="597">
        <f t="shared" si="0"/>
        <v>2.3472</v>
      </c>
      <c r="J23" s="501" t="str">
        <f>IFERROR('Facility Master'!I24,"")</f>
        <v>INR</v>
      </c>
      <c r="K23" s="598" t="str">
        <f>IFERROR('Facility Master'!AF24,"")</f>
        <v>6-month tenor; rate mutually agreed</v>
      </c>
    </row>
    <row r="24" spans="1:11" ht="19.5" customHeight="1" x14ac:dyDescent="0.3">
      <c r="A24" s="508">
        <f>IFERROR('Facility Master'!A25,"")</f>
        <v>21</v>
      </c>
      <c r="B24" s="536"/>
      <c r="C24" s="531" t="str">
        <f>IFERROR('Facility Master'!C25,"")</f>
        <v>Overdraft (Uncommitted, sub of WCL)</v>
      </c>
      <c r="D24" s="511" t="str">
        <f>IFERROR('Facility Master'!D25,"")</f>
        <v>FB</v>
      </c>
      <c r="E24" s="508">
        <f>IFERROR('Facility Master'!H25,0)</f>
        <v>0</v>
      </c>
      <c r="F24" s="512">
        <f>IFERROR('Facility Master'!K25,0)</f>
        <v>10.432</v>
      </c>
      <c r="G24" s="512">
        <f>IFERROR('Facility Master'!M25,0)</f>
        <v>10.432</v>
      </c>
      <c r="H24" s="516">
        <f>IFERROR('Facility Master'!R25,0)</f>
        <v>0.09</v>
      </c>
      <c r="I24" s="619">
        <f t="shared" si="0"/>
        <v>0.93888000000000005</v>
      </c>
      <c r="J24" s="508" t="str">
        <f>IFERROR('Facility Master'!I25,"")</f>
        <v>INR</v>
      </c>
      <c r="K24" s="620" t="str">
        <f>IFERROR('Facility Master'!AF25,"")</f>
        <v>On demand; rate mutually agreed</v>
      </c>
    </row>
    <row r="25" spans="1:11" ht="19.5" customHeight="1" x14ac:dyDescent="0.3">
      <c r="A25" s="501">
        <f>IFERROR('Facility Master'!A26,"")</f>
        <v>22</v>
      </c>
      <c r="B25" s="243"/>
      <c r="C25" s="535" t="str">
        <f>IFERROR('Facility Master'!C26,"")</f>
        <v>Import Controlling line - 1 (Uncommitted)</v>
      </c>
      <c r="D25" s="502" t="str">
        <f>IFERROR('Facility Master'!D26,"")</f>
        <v>NFB</v>
      </c>
      <c r="E25" s="501">
        <f>IFERROR('Facility Master'!H26,0)</f>
        <v>0</v>
      </c>
      <c r="F25" s="503">
        <f>IFERROR('Facility Master'!K26,0)</f>
        <v>26.08</v>
      </c>
      <c r="G25" s="503">
        <f>IFERROR('Facility Master'!M26,0)</f>
        <v>26.08</v>
      </c>
      <c r="H25" s="506">
        <f>IFERROR('Facility Master'!R26,0)</f>
        <v>0.09</v>
      </c>
      <c r="I25" s="597">
        <f t="shared" si="0"/>
        <v>2.3472</v>
      </c>
      <c r="J25" s="501" t="str">
        <f>IFERROR('Facility Master'!I26,"")</f>
        <v>INR</v>
      </c>
      <c r="K25" s="598" t="str">
        <f>IFERROR('Facility Master'!AF26,"")</f>
        <v>Sub of OD; rate TBD</v>
      </c>
    </row>
    <row r="26" spans="1:11" ht="19.5" customHeight="1" x14ac:dyDescent="0.3">
      <c r="A26" s="508">
        <f>IFERROR('Facility Master'!A27,"")</f>
        <v>23</v>
      </c>
      <c r="B26" s="536"/>
      <c r="C26" s="531" t="str">
        <f>IFERROR('Facility Master'!C27,"")</f>
        <v>TradePay Domestic/Import (Uncommitted)</v>
      </c>
      <c r="D26" s="511" t="str">
        <f>IFERROR('Facility Master'!D27,"")</f>
        <v>NFB</v>
      </c>
      <c r="E26" s="508">
        <f>IFERROR('Facility Master'!H27,0)</f>
        <v>0</v>
      </c>
      <c r="F26" s="512">
        <f>IFERROR('Facility Master'!K27,0)</f>
        <v>26.08</v>
      </c>
      <c r="G26" s="512">
        <f>IFERROR('Facility Master'!M27,0)</f>
        <v>26.08</v>
      </c>
      <c r="H26" s="516">
        <f>IFERROR('Facility Master'!R27,0)</f>
        <v>0.09</v>
      </c>
      <c r="I26" s="619">
        <f t="shared" si="0"/>
        <v>2.3472</v>
      </c>
      <c r="J26" s="508" t="str">
        <f>IFERROR('Facility Master'!I27,"")</f>
        <v>INR</v>
      </c>
      <c r="K26" s="620" t="str">
        <f>IFERROR('Facility Master'!AF27,"")</f>
        <v>6 months; rate TBD</v>
      </c>
    </row>
    <row r="27" spans="1:11" ht="19.5" customHeight="1" x14ac:dyDescent="0.3">
      <c r="A27" s="501">
        <f>IFERROR('Facility Master'!A28,"")</f>
        <v>24</v>
      </c>
      <c r="B27" s="243"/>
      <c r="C27" s="535" t="str">
        <f>IFERROR('Facility Master'!C28,"")</f>
        <v>Pre-shipment Buyer Loan (Uncommitted)</v>
      </c>
      <c r="D27" s="502" t="str">
        <f>IFERROR('Facility Master'!D28,"")</f>
        <v>FB</v>
      </c>
      <c r="E27" s="501">
        <f>IFERROR('Facility Master'!H28,0)</f>
        <v>0</v>
      </c>
      <c r="F27" s="503">
        <f>IFERROR('Facility Master'!K28,0)</f>
        <v>26.08</v>
      </c>
      <c r="G27" s="503">
        <f>IFERROR('Facility Master'!M28,0)</f>
        <v>26.08</v>
      </c>
      <c r="H27" s="506">
        <f>IFERROR('Facility Master'!R28,0)</f>
        <v>0.09</v>
      </c>
      <c r="I27" s="597">
        <f t="shared" si="0"/>
        <v>2.3472</v>
      </c>
      <c r="J27" s="501" t="str">
        <f>IFERROR('Facility Master'!I28,"")</f>
        <v>INR</v>
      </c>
      <c r="K27" s="598" t="str">
        <f>IFERROR('Facility Master'!AF28,"")</f>
        <v>6 months; rate TBD</v>
      </c>
    </row>
    <row r="28" spans="1:11" ht="19.5" customHeight="1" x14ac:dyDescent="0.3">
      <c r="A28" s="508">
        <f>IFERROR('Facility Master'!A29,"")</f>
        <v>25</v>
      </c>
      <c r="B28" s="536"/>
      <c r="C28" s="531" t="str">
        <f>IFERROR('Facility Master'!C29,"")</f>
        <v>Post-Shipment Buyer Loan / DPF / LAI (Uncommitted)</v>
      </c>
      <c r="D28" s="511" t="str">
        <f>IFERROR('Facility Master'!D29,"")</f>
        <v>FB</v>
      </c>
      <c r="E28" s="508">
        <f>IFERROR('Facility Master'!H29,0)</f>
        <v>0</v>
      </c>
      <c r="F28" s="512">
        <f>IFERROR('Facility Master'!K29,0)</f>
        <v>26.08</v>
      </c>
      <c r="G28" s="512">
        <f>IFERROR('Facility Master'!M29,0)</f>
        <v>26.08</v>
      </c>
      <c r="H28" s="516">
        <f>IFERROR('Facility Master'!R29,0)</f>
        <v>0.09</v>
      </c>
      <c r="I28" s="619">
        <f t="shared" si="0"/>
        <v>2.3472</v>
      </c>
      <c r="J28" s="508" t="str">
        <f>IFERROR('Facility Master'!I29,"")</f>
        <v>INR</v>
      </c>
      <c r="K28" s="620" t="str">
        <f>IFERROR('Facility Master'!AF29,"")</f>
        <v>6 months; rate TBD</v>
      </c>
    </row>
    <row r="29" spans="1:11" ht="19.5" customHeight="1" x14ac:dyDescent="0.3">
      <c r="A29" s="501">
        <f>IFERROR('Facility Master'!A30,"")</f>
        <v>26</v>
      </c>
      <c r="B29" s="243"/>
      <c r="C29" s="535" t="str">
        <f>IFERROR('Facility Master'!C30,"")</f>
        <v>Export Controlling line (Uncommitted)</v>
      </c>
      <c r="D29" s="502" t="str">
        <f>IFERROR('Facility Master'!D30,"")</f>
        <v>NFB</v>
      </c>
      <c r="E29" s="501">
        <f>IFERROR('Facility Master'!H30,0)</f>
        <v>0</v>
      </c>
      <c r="F29" s="503">
        <f>IFERROR('Facility Master'!K30,0)</f>
        <v>26.08</v>
      </c>
      <c r="G29" s="503">
        <f>IFERROR('Facility Master'!M30,0)</f>
        <v>26.08</v>
      </c>
      <c r="H29" s="506">
        <f>IFERROR('Facility Master'!R30,0)</f>
        <v>0.09</v>
      </c>
      <c r="I29" s="597">
        <f t="shared" si="0"/>
        <v>2.3472</v>
      </c>
      <c r="J29" s="501" t="str">
        <f>IFERROR('Facility Master'!I30,"")</f>
        <v>INR</v>
      </c>
      <c r="K29" s="598" t="str">
        <f>IFERROR('Facility Master'!AF30,"")</f>
        <v>INR or FCY equivalent; rate TBD</v>
      </c>
    </row>
    <row r="30" spans="1:11" ht="19.5" customHeight="1" x14ac:dyDescent="0.3">
      <c r="A30" s="508">
        <f>IFERROR('Facility Master'!A31,"")</f>
        <v>27</v>
      </c>
      <c r="B30" s="536"/>
      <c r="C30" s="531" t="str">
        <f>IFERROR('Facility Master'!C31,"")</f>
        <v>Pre-shipment Seller Loan (Uncommitted)</v>
      </c>
      <c r="D30" s="511" t="str">
        <f>IFERROR('Facility Master'!D31,"")</f>
        <v>FB</v>
      </c>
      <c r="E30" s="508">
        <f>IFERROR('Facility Master'!H31,0)</f>
        <v>0</v>
      </c>
      <c r="F30" s="512">
        <f>IFERROR('Facility Master'!K31,0)</f>
        <v>26.08</v>
      </c>
      <c r="G30" s="512">
        <f>IFERROR('Facility Master'!M31,0)</f>
        <v>26.08</v>
      </c>
      <c r="H30" s="516">
        <f>IFERROR('Facility Master'!R31,0)</f>
        <v>0.09</v>
      </c>
      <c r="I30" s="619">
        <f t="shared" si="0"/>
        <v>2.3472</v>
      </c>
      <c r="J30" s="508" t="str">
        <f>IFERROR('Facility Master'!I31,"")</f>
        <v>INR</v>
      </c>
      <c r="K30" s="620" t="str">
        <f>IFERROR('Facility Master'!AF31,"")</f>
        <v>6 months; INR or FCY; rate TBD</v>
      </c>
    </row>
    <row r="31" spans="1:11" ht="19.5" customHeight="1" x14ac:dyDescent="0.3">
      <c r="A31" s="501">
        <f>IFERROR('Facility Master'!A32,"")</f>
        <v>28</v>
      </c>
      <c r="B31" s="243"/>
      <c r="C31" s="535" t="str">
        <f>IFERROR('Facility Master'!C32,"")</f>
        <v>Post-Shipment Seller Loan, Open Account (Uncommitted)</v>
      </c>
      <c r="D31" s="502" t="str">
        <f>IFERROR('Facility Master'!D32,"")</f>
        <v>FB</v>
      </c>
      <c r="E31" s="501">
        <f>IFERROR('Facility Master'!H32,0)</f>
        <v>0</v>
      </c>
      <c r="F31" s="503">
        <f>IFERROR('Facility Master'!K32,0)</f>
        <v>26.08</v>
      </c>
      <c r="G31" s="503">
        <f>IFERROR('Facility Master'!M32,0)</f>
        <v>26.08</v>
      </c>
      <c r="H31" s="506">
        <f>IFERROR('Facility Master'!R32,0)</f>
        <v>0.09</v>
      </c>
      <c r="I31" s="597">
        <f t="shared" si="0"/>
        <v>2.3472</v>
      </c>
      <c r="J31" s="501" t="str">
        <f>IFERROR('Facility Master'!I32,"")</f>
        <v>INR</v>
      </c>
      <c r="K31" s="598" t="str">
        <f>IFERROR('Facility Master'!AF32,"")</f>
        <v>6 months; INR or FCY; rate TBD</v>
      </c>
    </row>
    <row r="32" spans="1:11" ht="19.5" customHeight="1" x14ac:dyDescent="0.3">
      <c r="A32" s="508">
        <f>IFERROR('Facility Master'!A33,"")</f>
        <v>29</v>
      </c>
      <c r="B32" s="536"/>
      <c r="C32" s="531" t="str">
        <f>IFERROR('Facility Master'!C33,"")</f>
        <v>Import Controlling line - 2 (Uncommitted)</v>
      </c>
      <c r="D32" s="511" t="str">
        <f>IFERROR('Facility Master'!D33,"")</f>
        <v>NFB</v>
      </c>
      <c r="E32" s="508">
        <f>IFERROR('Facility Master'!H33,0)</f>
        <v>0</v>
      </c>
      <c r="F32" s="512">
        <f>IFERROR('Facility Master'!K33,0)</f>
        <v>154.58000000000001</v>
      </c>
      <c r="G32" s="512">
        <f>IFERROR('Facility Master'!M33,0)</f>
        <v>154.58000000000001</v>
      </c>
      <c r="H32" s="516">
        <f>IFERROR('Facility Master'!R33,0)</f>
        <v>0.09</v>
      </c>
      <c r="I32" s="619">
        <f t="shared" si="0"/>
        <v>13.9122</v>
      </c>
      <c r="J32" s="508" t="str">
        <f>IFERROR('Facility Master'!I33,"")</f>
        <v>INR</v>
      </c>
      <c r="K32" s="620" t="str">
        <f>IFERROR('Facility Master'!AF33,"")</f>
        <v>Headline LC line for Letter of Credit issuance</v>
      </c>
    </row>
    <row r="33" spans="1:11" ht="19.5" customHeight="1" x14ac:dyDescent="0.3">
      <c r="A33" s="501">
        <f>IFERROR('Facility Master'!A34,"")</f>
        <v>30</v>
      </c>
      <c r="B33" s="243"/>
      <c r="C33" s="535" t="str">
        <f>IFERROR('Facility Master'!C34,"")</f>
        <v>Import Documentary Credit - 12 (Uncommitted)</v>
      </c>
      <c r="D33" s="502" t="str">
        <f>IFERROR('Facility Master'!D34,"")</f>
        <v>NFB</v>
      </c>
      <c r="E33" s="501">
        <f>IFERROR('Facility Master'!H34,0)</f>
        <v>0</v>
      </c>
      <c r="F33" s="503">
        <f>IFERROR('Facility Master'!K34,0)</f>
        <v>154.58000000000001</v>
      </c>
      <c r="G33" s="503">
        <f>IFERROR('Facility Master'!M34,0)</f>
        <v>154.58000000000001</v>
      </c>
      <c r="H33" s="506">
        <f>IFERROR('Facility Master'!R34,0)</f>
        <v>0</v>
      </c>
      <c r="I33" s="597">
        <f t="shared" si="0"/>
        <v>0</v>
      </c>
      <c r="J33" s="501" t="str">
        <f>IFERROR('Facility Master'!I34,"")</f>
        <v>INR</v>
      </c>
      <c r="K33" s="598" t="str">
        <f>IFERROR('Facility Master'!AF34,"")</f>
        <v>Sight / 180-day usance with 120-day cover; rate TBD</v>
      </c>
    </row>
    <row r="34" spans="1:11" ht="19.5" customHeight="1" x14ac:dyDescent="0.3">
      <c r="A34" s="508">
        <f>IFERROR('Facility Master'!A35,"")</f>
        <v>31</v>
      </c>
      <c r="B34" s="536"/>
      <c r="C34" s="531" t="str">
        <f>IFERROR('Facility Master'!C35,"")</f>
        <v>Import Documentary Credit - 13 (Uncommitted)</v>
      </c>
      <c r="D34" s="511" t="str">
        <f>IFERROR('Facility Master'!D35,"")</f>
        <v>NFB</v>
      </c>
      <c r="E34" s="508">
        <f>IFERROR('Facility Master'!H35,0)</f>
        <v>0</v>
      </c>
      <c r="F34" s="512">
        <f>IFERROR('Facility Master'!K35,0)</f>
        <v>10</v>
      </c>
      <c r="G34" s="512">
        <f>IFERROR('Facility Master'!M35,0)</f>
        <v>10</v>
      </c>
      <c r="H34" s="516">
        <f>IFERROR('Facility Master'!R35,0)</f>
        <v>0</v>
      </c>
      <c r="I34" s="619">
        <f t="shared" si="0"/>
        <v>0</v>
      </c>
      <c r="J34" s="508" t="str">
        <f>IFERROR('Facility Master'!I35,"")</f>
        <v>INR</v>
      </c>
      <c r="K34" s="620" t="str">
        <f>IFERROR('Facility Master'!AF35,"")</f>
        <v>Second LC line, relationship to ₹772.9 Cr line unclear; FLAG</v>
      </c>
    </row>
    <row r="35" spans="1:11" ht="19.5" customHeight="1" x14ac:dyDescent="0.3">
      <c r="A35" s="501">
        <f>IFERROR('Facility Master'!A36,"")</f>
        <v>32</v>
      </c>
      <c r="B35" s="243"/>
      <c r="C35" s="535" t="str">
        <f>IFERROR('Facility Master'!C36,"")</f>
        <v>Guarantees/Bonds Non-Financial (Uncommitted)</v>
      </c>
      <c r="D35" s="502" t="str">
        <f>IFERROR('Facility Master'!D36,"")</f>
        <v>NFB</v>
      </c>
      <c r="E35" s="501">
        <f>IFERROR('Facility Master'!H36,0)</f>
        <v>0</v>
      </c>
      <c r="F35" s="503">
        <f>IFERROR('Facility Master'!K36,0)</f>
        <v>17.399999999999999</v>
      </c>
      <c r="G35" s="503">
        <f>IFERROR('Facility Master'!M36,0)</f>
        <v>17.399999999999999</v>
      </c>
      <c r="H35" s="506">
        <f>IFERROR('Facility Master'!R36,0)</f>
        <v>0.09</v>
      </c>
      <c r="I35" s="597">
        <f t="shared" si="0"/>
        <v>1.5659999999999998</v>
      </c>
      <c r="J35" s="501" t="str">
        <f>IFERROR('Facility Master'!I36,"")</f>
        <v>INR</v>
      </c>
      <c r="K35" s="598" t="str">
        <f>IFERROR('Facility Master'!AF36,"")</f>
        <v>3 years + 12-month claim period</v>
      </c>
    </row>
    <row r="36" spans="1:11" ht="21.75" customHeight="1" x14ac:dyDescent="0.3">
      <c r="A36" s="601">
        <f>IFERROR('Facility Master'!A37,"")</f>
        <v>33</v>
      </c>
      <c r="B36" s="602" t="str">
        <f>IFERROR('Facility Master'!B37,"")</f>
        <v>HSBC</v>
      </c>
      <c r="C36" s="603" t="str">
        <f>IFERROR('Facility Master'!C37,"")</f>
        <v>Guarantees/Bonds Financial (Uncommitted)</v>
      </c>
      <c r="D36" s="604" t="str">
        <f>IFERROR('Facility Master'!D37,"")</f>
        <v>NFB</v>
      </c>
      <c r="E36" s="601">
        <f>IFERROR('Facility Master'!H37,0)</f>
        <v>0</v>
      </c>
      <c r="F36" s="605">
        <f>IFERROR('Facility Master'!K37,0)</f>
        <v>1.94</v>
      </c>
      <c r="G36" s="605">
        <f>IFERROR('Facility Master'!M37,0)</f>
        <v>1.94</v>
      </c>
      <c r="H36" s="606">
        <f>IFERROR('Facility Master'!R37,0)</f>
        <v>0.09</v>
      </c>
      <c r="I36" s="607">
        <f t="shared" si="0"/>
        <v>0.17459999999999998</v>
      </c>
      <c r="J36" s="601" t="str">
        <f>IFERROR('Facility Master'!I37,"")</f>
        <v>INR</v>
      </c>
      <c r="K36" s="608" t="str">
        <f>IFERROR('Facility Master'!AF37,"")</f>
        <v>3 years + 12-month claim period</v>
      </c>
    </row>
    <row r="37" spans="1:11" ht="19.5" customHeight="1" x14ac:dyDescent="0.3">
      <c r="A37" s="501">
        <f>IFERROR('Facility Master'!A38,"")</f>
        <v>34</v>
      </c>
      <c r="B37" s="243"/>
      <c r="C37" s="244" t="str">
        <f>IFERROR('Facility Master'!C38,"")</f>
        <v>Letter of Credit (WC parent)</v>
      </c>
      <c r="D37" s="502" t="str">
        <f>IFERROR('Facility Master'!D38,"")</f>
        <v>NFB</v>
      </c>
      <c r="E37" s="501">
        <f>IFERROR('Facility Master'!H38,0)</f>
        <v>2</v>
      </c>
      <c r="F37" s="503">
        <f>IFERROR('Facility Master'!K38,0)</f>
        <v>250</v>
      </c>
      <c r="G37" s="503">
        <f>IFERROR('Facility Master'!M38,0)</f>
        <v>250</v>
      </c>
      <c r="H37" s="506">
        <f>IFERROR('Facility Master'!R38,0)</f>
        <v>5.0000000000000001E-3</v>
      </c>
      <c r="I37" s="597">
        <f t="shared" si="0"/>
        <v>1.25</v>
      </c>
      <c r="J37" s="501" t="str">
        <f>IFERROR('Facility Master'!I38,"")</f>
        <v>INR</v>
      </c>
      <c r="K37" s="598" t="str">
        <f>IFERROR('Facility Master'!AF38,"")</f>
        <v>LC 0.50% (daily). Multiple sub-limits within ₹250 Cr cap. Processing 0.12% p.a.; renewal 0.10%. JSL 2.5x cover; HR coil offtake 3mo pre-DCCO.</v>
      </c>
    </row>
    <row r="38" spans="1:11" ht="19.5" customHeight="1" x14ac:dyDescent="0.3">
      <c r="A38" s="611">
        <f>IFERROR('Facility Master'!A39,"")</f>
        <v>35</v>
      </c>
      <c r="B38" s="612"/>
      <c r="C38" s="613" t="str">
        <f>IFERROR('Facility Master'!C39,"")</f>
        <v>Post Shipment Finance (sub of LC)</v>
      </c>
      <c r="D38" s="614" t="str">
        <f>IFERROR('Facility Master'!D39,"")</f>
        <v>FB</v>
      </c>
      <c r="E38" s="611">
        <f>IFERROR('Facility Master'!H39,0)</f>
        <v>0</v>
      </c>
      <c r="F38" s="615">
        <f>IFERROR('Facility Master'!K39,0)</f>
        <v>100</v>
      </c>
      <c r="G38" s="615">
        <f>IFERROR('Facility Master'!M39,0)</f>
        <v>100</v>
      </c>
      <c r="H38" s="616">
        <f>IFERROR('Facility Master'!R39,0)</f>
        <v>9.5000000000000001E-2</v>
      </c>
      <c r="I38" s="617">
        <f t="shared" si="0"/>
        <v>9.5</v>
      </c>
      <c r="J38" s="611" t="str">
        <f>IFERROR('Facility Master'!I39,"")</f>
        <v>INR</v>
      </c>
      <c r="K38" s="618" t="str">
        <f>IFERROR('Facility Master'!AF39,"")</f>
        <v>Rate TBD at drawdown; order-backed</v>
      </c>
    </row>
    <row r="39" spans="1:11" ht="19.5" customHeight="1" x14ac:dyDescent="0.3">
      <c r="A39" s="501">
        <f>IFERROR('Facility Master'!A40,"")</f>
        <v>36</v>
      </c>
      <c r="B39" s="243"/>
      <c r="C39" s="244" t="str">
        <f>IFERROR('Facility Master'!C40,"")</f>
        <v>Pre-shipment Finance (sub of LC)</v>
      </c>
      <c r="D39" s="502" t="str">
        <f>IFERROR('Facility Master'!D40,"")</f>
        <v>FB</v>
      </c>
      <c r="E39" s="501">
        <f>IFERROR('Facility Master'!H40,0)</f>
        <v>0</v>
      </c>
      <c r="F39" s="503">
        <f>IFERROR('Facility Master'!K40,0)</f>
        <v>200</v>
      </c>
      <c r="G39" s="503">
        <f>IFERROR('Facility Master'!M40,0)</f>
        <v>200</v>
      </c>
      <c r="H39" s="506">
        <f>IFERROR('Facility Master'!R40,0)</f>
        <v>9.5000000000000001E-2</v>
      </c>
      <c r="I39" s="597">
        <f t="shared" si="0"/>
        <v>19</v>
      </c>
      <c r="J39" s="501" t="str">
        <f>IFERROR('Facility Master'!I40,"")</f>
        <v>INR</v>
      </c>
      <c r="K39" s="598" t="str">
        <f>IFERROR('Facility Master'!AF40,"")</f>
        <v>Rate TBD at drawdown; order-backed</v>
      </c>
    </row>
    <row r="40" spans="1:11" ht="19.5" customHeight="1" x14ac:dyDescent="0.3">
      <c r="A40" s="611">
        <f>IFERROR('Facility Master'!A41,"")</f>
        <v>37</v>
      </c>
      <c r="B40" s="612"/>
      <c r="C40" s="613" t="str">
        <f>IFERROR('Facility Master'!C41,"")</f>
        <v>SBLC (sub of LC)</v>
      </c>
      <c r="D40" s="614" t="str">
        <f>IFERROR('Facility Master'!D41,"")</f>
        <v>NFB</v>
      </c>
      <c r="E40" s="611">
        <f>IFERROR('Facility Master'!H41,0)</f>
        <v>0</v>
      </c>
      <c r="F40" s="615">
        <f>IFERROR('Facility Master'!K41,0)</f>
        <v>250</v>
      </c>
      <c r="G40" s="615">
        <f>IFERROR('Facility Master'!M41,0)</f>
        <v>250</v>
      </c>
      <c r="H40" s="616">
        <f>IFERROR('Facility Master'!R41,0)</f>
        <v>9.5000000000000001E-2</v>
      </c>
      <c r="I40" s="617">
        <f t="shared" si="0"/>
        <v>23.75</v>
      </c>
      <c r="J40" s="611" t="str">
        <f>IFERROR('Facility Master'!I41,"")</f>
        <v>INR</v>
      </c>
      <c r="K40" s="618" t="str">
        <f>IFERROR('Facility Master'!AF41,"")</f>
        <v>Rate TBD at drawdown</v>
      </c>
    </row>
    <row r="41" spans="1:11" ht="19.5" customHeight="1" x14ac:dyDescent="0.3">
      <c r="A41" s="501">
        <f>IFERROR('Facility Master'!A42,"")</f>
        <v>38</v>
      </c>
      <c r="B41" s="243"/>
      <c r="C41" s="244" t="str">
        <f>IFERROR('Facility Master'!C42,"")</f>
        <v>Cash Credit (sub of LC)</v>
      </c>
      <c r="D41" s="502" t="str">
        <f>IFERROR('Facility Master'!D42,"")</f>
        <v>FB</v>
      </c>
      <c r="E41" s="501">
        <f>IFERROR('Facility Master'!H42,0)</f>
        <v>0</v>
      </c>
      <c r="F41" s="503">
        <f>IFERROR('Facility Master'!K42,0)</f>
        <v>50</v>
      </c>
      <c r="G41" s="503">
        <f>IFERROR('Facility Master'!M42,0)</f>
        <v>50</v>
      </c>
      <c r="H41" s="506">
        <f>IFERROR('Facility Master'!R42,0)</f>
        <v>8.1500000000000003E-2</v>
      </c>
      <c r="I41" s="597">
        <f t="shared" si="0"/>
        <v>4.0750000000000002</v>
      </c>
      <c r="J41" s="501" t="str">
        <f>IFERROR('Facility Master'!I42,"")</f>
        <v>INR</v>
      </c>
      <c r="K41" s="598" t="str">
        <f>IFERROR('Facility Master'!AF42,"")</f>
        <v>CC = 8.15% linked to 14-day Repo</v>
      </c>
    </row>
    <row r="42" spans="1:11" ht="19.5" customHeight="1" x14ac:dyDescent="0.3">
      <c r="A42" s="611">
        <f>IFERROR('Facility Master'!A43,"")</f>
        <v>39</v>
      </c>
      <c r="B42" s="612"/>
      <c r="C42" s="613" t="str">
        <f>IFERROR('Facility Master'!C43,"")</f>
        <v>WCDL (sub of LC)</v>
      </c>
      <c r="D42" s="614" t="str">
        <f>IFERROR('Facility Master'!D43,"")</f>
        <v>FB</v>
      </c>
      <c r="E42" s="611">
        <f>IFERROR('Facility Master'!H43,0)</f>
        <v>0</v>
      </c>
      <c r="F42" s="615">
        <f>IFERROR('Facility Master'!K43,0)</f>
        <v>50</v>
      </c>
      <c r="G42" s="615">
        <f>IFERROR('Facility Master'!M43,0)</f>
        <v>50</v>
      </c>
      <c r="H42" s="616">
        <f>IFERROR('Facility Master'!R43,0)</f>
        <v>9.5000000000000001E-2</v>
      </c>
      <c r="I42" s="617">
        <f t="shared" si="0"/>
        <v>4.75</v>
      </c>
      <c r="J42" s="611" t="str">
        <f>IFERROR('Facility Master'!I43,"")</f>
        <v>INR</v>
      </c>
      <c r="K42" s="618" t="str">
        <f>IFERROR('Facility Master'!AF43,"")</f>
        <v>Rate TBD; max 90-day tranche</v>
      </c>
    </row>
    <row r="43" spans="1:11" ht="19.5" customHeight="1" x14ac:dyDescent="0.3">
      <c r="A43" s="501">
        <f>IFERROR('Facility Master'!A44,"")</f>
        <v>40</v>
      </c>
      <c r="B43" s="243"/>
      <c r="C43" s="244" t="str">
        <f>IFERROR('Facility Master'!C44,"")</f>
        <v>FD-OD (FD-Backed)</v>
      </c>
      <c r="D43" s="502" t="str">
        <f>IFERROR('Facility Master'!D44,"")</f>
        <v>FB-FDbacked</v>
      </c>
      <c r="E43" s="501">
        <f>IFERROR('Facility Master'!H44,0)</f>
        <v>3</v>
      </c>
      <c r="F43" s="503">
        <f>IFERROR('Facility Master'!K44,0)</f>
        <v>50</v>
      </c>
      <c r="G43" s="503">
        <f>IFERROR('Facility Master'!M44,0)</f>
        <v>50</v>
      </c>
      <c r="H43" s="506">
        <f>IFERROR('Facility Master'!R44,0)</f>
        <v>0.08</v>
      </c>
      <c r="I43" s="597">
        <f t="shared" si="0"/>
        <v>4</v>
      </c>
      <c r="J43" s="501" t="str">
        <f>IFERROR('Facility Master'!I44,"")</f>
        <v>INR</v>
      </c>
      <c r="K43" s="598" t="str">
        <f>IFERROR('Facility Master'!AF44,"")</f>
        <v>FD Rate + 1% spread; monthly rests</v>
      </c>
    </row>
    <row r="44" spans="1:11" ht="21.75" customHeight="1" x14ac:dyDescent="0.3">
      <c r="A44" s="481">
        <f>IFERROR('Facility Master'!A45,"")</f>
        <v>41</v>
      </c>
      <c r="B44" s="482" t="str">
        <f>IFERROR('Facility Master'!B45,"")</f>
        <v>HDFC Bank</v>
      </c>
      <c r="C44" s="621" t="str">
        <f>IFERROR('Facility Master'!C45,"")</f>
        <v>BG (sub of FD-OD)</v>
      </c>
      <c r="D44" s="484" t="str">
        <f>IFERROR('Facility Master'!D45,"")</f>
        <v>NFB</v>
      </c>
      <c r="E44" s="481">
        <f>IFERROR('Facility Master'!H45,0)</f>
        <v>0</v>
      </c>
      <c r="F44" s="485">
        <f>IFERROR('Facility Master'!K45,0)</f>
        <v>50</v>
      </c>
      <c r="G44" s="485">
        <f>IFERROR('Facility Master'!M45,0)</f>
        <v>50</v>
      </c>
      <c r="H44" s="489">
        <f>IFERROR('Facility Master'!R45,0)</f>
        <v>0</v>
      </c>
      <c r="I44" s="609">
        <f t="shared" si="0"/>
        <v>0</v>
      </c>
      <c r="J44" s="481" t="str">
        <f>IFERROR('Facility Master'!I45,"")</f>
        <v>INR</v>
      </c>
      <c r="K44" s="610" t="str">
        <f>IFERROR('Facility Master'!AF45,"")</f>
        <v>Sub of FD-OD; 36 months incl claim</v>
      </c>
    </row>
    <row r="45" spans="1:11" ht="19.5" customHeight="1" x14ac:dyDescent="0.3">
      <c r="A45" s="481">
        <f>IFERROR('Facility Master'!A46,"")</f>
        <v>42</v>
      </c>
      <c r="B45" s="539"/>
      <c r="C45" s="621" t="str">
        <f>IFERROR('Facility Master'!C46,"")</f>
        <v>Term Loan, TAKEOVER of disbursed consortium</v>
      </c>
      <c r="D45" s="484" t="str">
        <f>IFERROR('Facility Master'!D46,"")</f>
        <v>FB-Term</v>
      </c>
      <c r="E45" s="481">
        <f>IFERROR('Facility Master'!H46,0)</f>
        <v>1</v>
      </c>
      <c r="F45" s="485">
        <f>IFERROR('Facility Master'!K46,0)</f>
        <v>840</v>
      </c>
      <c r="G45" s="485">
        <f>IFERROR('Facility Master'!M46,0)</f>
        <v>840</v>
      </c>
      <c r="H45" s="489">
        <f>IFERROR('Facility Master'!R46,0)</f>
        <v>8.7000000000000008E-2</v>
      </c>
      <c r="I45" s="609">
        <f t="shared" si="0"/>
        <v>73.080000000000013</v>
      </c>
      <c r="J45" s="481" t="str">
        <f>IFERROR('Facility Master'!I46,"")</f>
        <v>INR</v>
      </c>
      <c r="K45" s="610" t="str">
        <f>IFERROR('Facility Master'!AF46,"")</f>
        <v>ICICI TL: TAKEOVER of disbursed debt, NOT additive. Adj Cons = ₹4,666 − ₹840 = ₹3,826 Cr. Put Option every 5y from DCCO (first Apr-2031, 90-day notice). Moratorium 31-Mar-2027</v>
      </c>
    </row>
    <row r="46" spans="1:11" ht="19.5" customHeight="1" x14ac:dyDescent="0.3">
      <c r="A46" s="481">
        <f>IFERROR('Facility Master'!A47,"")</f>
        <v>43</v>
      </c>
      <c r="B46" s="539"/>
      <c r="C46" s="621" t="str">
        <f>IFERROR('Facility Master'!C47,"")</f>
        <v>BG Financial (sub of RTL)</v>
      </c>
      <c r="D46" s="484" t="str">
        <f>IFERROR('Facility Master'!D47,"")</f>
        <v>NFB</v>
      </c>
      <c r="E46" s="481">
        <f>IFERROR('Facility Master'!H47,0)</f>
        <v>0</v>
      </c>
      <c r="F46" s="485">
        <f>IFERROR('Facility Master'!K47,0)</f>
        <v>20</v>
      </c>
      <c r="G46" s="485">
        <f>IFERROR('Facility Master'!M47,0)</f>
        <v>20</v>
      </c>
      <c r="H46" s="489">
        <f>IFERROR('Facility Master'!R47,0)</f>
        <v>7.4999999999999997E-3</v>
      </c>
      <c r="I46" s="609">
        <f t="shared" si="0"/>
        <v>0.15</v>
      </c>
      <c r="J46" s="481" t="str">
        <f>IFERROR('Facility Master'!I47,"")</f>
        <v>INR</v>
      </c>
      <c r="K46" s="610" t="str">
        <f>IFERROR('Facility Master'!AF47,"")</f>
        <v>0.75% commission; min ₹500/instrument; upfront</v>
      </c>
    </row>
    <row r="47" spans="1:11" ht="19.5" customHeight="1" x14ac:dyDescent="0.3">
      <c r="A47" s="481">
        <f>IFERROR('Facility Master'!A48,"")</f>
        <v>44</v>
      </c>
      <c r="B47" s="539"/>
      <c r="C47" s="621" t="str">
        <f>IFERROR('Facility Master'!C48,"")</f>
        <v>SBLC Buyers Credit (sub of RTL)</v>
      </c>
      <c r="D47" s="484" t="str">
        <f>IFERROR('Facility Master'!D48,"")</f>
        <v>NFB</v>
      </c>
      <c r="E47" s="481">
        <f>IFERROR('Facility Master'!H48,0)</f>
        <v>0</v>
      </c>
      <c r="F47" s="485">
        <f>IFERROR('Facility Master'!K48,0)</f>
        <v>20</v>
      </c>
      <c r="G47" s="485">
        <f>IFERROR('Facility Master'!M48,0)</f>
        <v>20</v>
      </c>
      <c r="H47" s="489">
        <f>IFERROR('Facility Master'!R48,0)</f>
        <v>7.4999999999999997E-3</v>
      </c>
      <c r="I47" s="609">
        <f t="shared" si="0"/>
        <v>0.15</v>
      </c>
      <c r="J47" s="481" t="str">
        <f>IFERROR('Facility Master'!I48,"")</f>
        <v>INR</v>
      </c>
      <c r="K47" s="610" t="str">
        <f>IFERROR('Facility Master'!AF48,"")</f>
        <v>0.75% commission</v>
      </c>
    </row>
    <row r="48" spans="1:11" ht="6" customHeight="1" x14ac:dyDescent="0.3">
      <c r="A48" s="319"/>
      <c r="B48" s="319"/>
      <c r="C48" s="319"/>
      <c r="D48" s="319"/>
      <c r="E48" s="319"/>
      <c r="F48" s="319"/>
      <c r="G48" s="319"/>
      <c r="H48" s="319"/>
      <c r="I48" s="319"/>
      <c r="J48" s="319"/>
      <c r="K48" s="319"/>
    </row>
    <row r="49" spans="1:11" ht="6" customHeight="1" x14ac:dyDescent="0.3">
      <c r="A49" s="622"/>
      <c r="B49" s="623"/>
      <c r="C49" s="623"/>
      <c r="D49" s="623"/>
      <c r="E49" s="623"/>
      <c r="F49" s="623"/>
      <c r="G49" s="623"/>
      <c r="H49" s="623"/>
      <c r="I49" s="623"/>
      <c r="J49" s="623"/>
      <c r="K49" s="623"/>
    </row>
    <row r="50" spans="1:11" ht="25.5" customHeight="1" x14ac:dyDescent="0.3">
      <c r="A50" s="15" t="s">
        <v>697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</row>
    <row r="51" spans="1:11" ht="21.75" customHeight="1" x14ac:dyDescent="0.3">
      <c r="A51" s="299" t="s">
        <v>338</v>
      </c>
      <c r="B51" s="338" t="s">
        <v>698</v>
      </c>
      <c r="C51" s="299" t="s">
        <v>693</v>
      </c>
      <c r="D51" s="299" t="s">
        <v>699</v>
      </c>
      <c r="E51" s="338" t="s">
        <v>700</v>
      </c>
    </row>
    <row r="52" spans="1:11" ht="21.75" customHeight="1" x14ac:dyDescent="0.3">
      <c r="A52" s="624">
        <v>1</v>
      </c>
      <c r="B52" s="625" t="s">
        <v>701</v>
      </c>
      <c r="C52" s="626">
        <f>SUMIF(E4:E47,1,G4:G47)</f>
        <v>4116</v>
      </c>
      <c r="D52" s="627">
        <f>SUMIF(E4:E47,1,I4:I47)</f>
        <v>376.61099999999999</v>
      </c>
      <c r="E52" s="625" t="s">
        <v>702</v>
      </c>
    </row>
    <row r="53" spans="1:11" ht="21.75" customHeight="1" x14ac:dyDescent="0.3">
      <c r="A53" s="628">
        <v>2</v>
      </c>
      <c r="B53" s="629" t="s">
        <v>703</v>
      </c>
      <c r="C53" s="630">
        <f>SUMIF(E4:E47,2,G4:G47)</f>
        <v>550</v>
      </c>
      <c r="D53" s="631">
        <f>SUMIF(E4:E47,2,I4:I47)</f>
        <v>3.05</v>
      </c>
      <c r="E53" s="629" t="s">
        <v>704</v>
      </c>
    </row>
    <row r="54" spans="1:11" ht="21.75" customHeight="1" x14ac:dyDescent="0.3">
      <c r="A54" s="463">
        <v>3</v>
      </c>
      <c r="B54" s="632" t="s">
        <v>705</v>
      </c>
      <c r="C54" s="633">
        <f>SUMIF(E4:E47,3,G4:G47)</f>
        <v>150</v>
      </c>
      <c r="D54" s="634">
        <f>SUMIF(E4:E47,3,I4:I47)</f>
        <v>13.5</v>
      </c>
      <c r="E54" s="632" t="s">
        <v>706</v>
      </c>
    </row>
    <row r="55" spans="1:11" ht="21.75" customHeight="1" x14ac:dyDescent="0.3">
      <c r="A55" s="191" t="s">
        <v>707</v>
      </c>
      <c r="B55" s="336" t="s">
        <v>708</v>
      </c>
      <c r="C55" s="518">
        <f>C52+C53+C54</f>
        <v>4816</v>
      </c>
      <c r="D55" s="548">
        <f>D52+D53+D54</f>
        <v>393.161</v>
      </c>
      <c r="E55" s="336" t="s">
        <v>709</v>
      </c>
    </row>
    <row r="56" spans="1:11" ht="21.75" customHeight="1" x14ac:dyDescent="0.3">
      <c r="A56" s="462">
        <v>4</v>
      </c>
      <c r="B56" s="635" t="s">
        <v>710</v>
      </c>
      <c r="C56" s="636">
        <f>SUMIF(E4:E47,4,G4:G47)</f>
        <v>0</v>
      </c>
      <c r="D56" s="637">
        <f>SUMIF(E4:E47,4,I4:I47)</f>
        <v>0</v>
      </c>
      <c r="E56" s="635" t="s">
        <v>711</v>
      </c>
    </row>
    <row r="57" spans="1:11" ht="21.75" customHeight="1" x14ac:dyDescent="0.3">
      <c r="A57" s="638">
        <v>0</v>
      </c>
      <c r="B57" s="639" t="s">
        <v>712</v>
      </c>
      <c r="C57" s="640" t="s">
        <v>277</v>
      </c>
      <c r="D57" s="641">
        <f>SUMIF(E4:E47,0,I4:I47)</f>
        <v>111.96928000000001</v>
      </c>
      <c r="E57" s="639" t="s">
        <v>713</v>
      </c>
    </row>
    <row r="58" spans="1:11" ht="15" customHeight="1" x14ac:dyDescent="0.3"/>
    <row r="59" spans="1:11" ht="21.75" customHeight="1" x14ac:dyDescent="0.3">
      <c r="A59" s="642" t="s">
        <v>714</v>
      </c>
      <c r="B59" s="643" t="s">
        <v>715</v>
      </c>
      <c r="C59" s="644">
        <f>IFERROR(D52/C52,0)</f>
        <v>9.1499271137026231E-2</v>
      </c>
      <c r="D59" s="643"/>
      <c r="E59" s="643"/>
    </row>
    <row r="60" spans="1:11" ht="30" customHeight="1" x14ac:dyDescent="0.3">
      <c r="A60" s="519" t="s">
        <v>716</v>
      </c>
      <c r="B60" s="520"/>
      <c r="C60" s="520"/>
      <c r="D60" s="520"/>
      <c r="E60" s="520"/>
      <c r="F60" s="520"/>
      <c r="G60" s="520"/>
      <c r="H60" s="520"/>
      <c r="I60" s="520"/>
      <c r="J60" s="520"/>
      <c r="K60" s="520"/>
    </row>
    <row r="61" spans="1:11" ht="15" hidden="1" customHeight="1" x14ac:dyDescent="0.3"/>
    <row r="62" spans="1:11" ht="15" hidden="1" customHeight="1" x14ac:dyDescent="0.3"/>
    <row r="63" spans="1:11" ht="30" hidden="1" customHeight="1" x14ac:dyDescent="0.3"/>
    <row r="64" spans="1:11" ht="1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K1"/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BACC6"/>
  </sheetPr>
  <dimension ref="A1:P200"/>
  <sheetViews>
    <sheetView showGridLines="0" zoomScaleNormal="100" workbookViewId="0">
      <pane xSplit="2" ySplit="3" topLeftCell="C43" activePane="bottomRight" state="frozen"/>
      <selection pane="topRight" activeCell="C1" sqref="C1"/>
      <selection pane="bottomLeft" activeCell="A4" sqref="A4"/>
      <selection pane="bottomRight" activeCell="F7" sqref="F7"/>
    </sheetView>
  </sheetViews>
  <sheetFormatPr defaultColWidth="8.6640625" defaultRowHeight="14.4" x14ac:dyDescent="0.3"/>
  <cols>
    <col min="1" max="1" width="6.44140625" customWidth="1"/>
    <col min="2" max="2" width="20.33203125" customWidth="1"/>
    <col min="3" max="3" width="40.77734375" customWidth="1"/>
    <col min="4" max="4" width="8.33203125" customWidth="1"/>
    <col min="5" max="5" width="25.88671875" customWidth="1"/>
    <col min="6" max="6" width="12" customWidth="1"/>
    <col min="7" max="8" width="13" customWidth="1"/>
    <col min="9" max="9" width="68.21875" bestFit="1" customWidth="1"/>
    <col min="10" max="16" width="11.5546875" hidden="1" customWidth="1"/>
  </cols>
  <sheetData>
    <row r="1" spans="1:9" ht="27.75" customHeight="1" x14ac:dyDescent="0.3">
      <c r="A1" s="14" t="s">
        <v>717</v>
      </c>
      <c r="B1" s="14"/>
      <c r="C1" s="14"/>
      <c r="D1" s="14"/>
      <c r="E1" s="14"/>
      <c r="F1" s="14"/>
      <c r="G1" s="14"/>
      <c r="H1" s="14"/>
      <c r="I1" s="14"/>
    </row>
    <row r="2" spans="1:9" ht="15.75" customHeight="1" x14ac:dyDescent="0.3">
      <c r="A2" s="13" t="s">
        <v>718</v>
      </c>
      <c r="B2" s="13"/>
      <c r="C2" s="13"/>
      <c r="D2" s="13"/>
      <c r="E2" s="13"/>
      <c r="F2" s="13"/>
      <c r="G2" s="13"/>
      <c r="H2" s="13"/>
      <c r="I2" s="13"/>
    </row>
    <row r="3" spans="1:9" ht="24" customHeight="1" x14ac:dyDescent="0.3">
      <c r="A3" s="645" t="s">
        <v>121</v>
      </c>
      <c r="B3" s="646" t="s">
        <v>72</v>
      </c>
      <c r="C3" s="646" t="s">
        <v>334</v>
      </c>
      <c r="D3" s="645" t="s">
        <v>696</v>
      </c>
      <c r="E3" s="646" t="s">
        <v>719</v>
      </c>
      <c r="F3" s="645" t="s">
        <v>720</v>
      </c>
      <c r="G3" s="645" t="s">
        <v>721</v>
      </c>
      <c r="H3" s="645" t="s">
        <v>348</v>
      </c>
      <c r="I3" s="647" t="s">
        <v>360</v>
      </c>
    </row>
    <row r="4" spans="1:9" ht="19.5" customHeight="1" x14ac:dyDescent="0.3">
      <c r="A4" s="589">
        <f>IFERROR('Facility Master'!A5,"")</f>
        <v>1</v>
      </c>
      <c r="B4" s="648" t="str">
        <f>IFERROR('Facility Master'!B5,"")</f>
        <v>UBI</v>
      </c>
      <c r="C4" s="596" t="str">
        <f>IFERROR('Facility Master'!C5,"")</f>
        <v>RTL-I (renewal)</v>
      </c>
      <c r="D4" s="589" t="str">
        <f>IFERROR('Facility Master'!I5,"")</f>
        <v>INR</v>
      </c>
      <c r="E4" s="596" t="str">
        <f>IFERROR('Facility Master'!P5,"")</f>
        <v>1Y MCLR (UBI)</v>
      </c>
      <c r="F4" s="649">
        <f>IFERROR('Facility Master'!Q5*10000,0)</f>
        <v>50</v>
      </c>
      <c r="G4" s="594">
        <f>IFERROR('Facility Master'!R5,0)</f>
        <v>9.4E-2</v>
      </c>
      <c r="H4" s="650" t="str">
        <f>IFERROR('Facility Master'!S5,"")</f>
        <v>Floating</v>
      </c>
      <c r="I4" s="596" t="str">
        <f>IFERROR('Facility Master'!AE5,"")</f>
        <v>UBI SL 20-Sep-2025, Ref LCBD-I:JFL:2025-26:1726</v>
      </c>
    </row>
    <row r="5" spans="1:9" ht="19.5" customHeight="1" x14ac:dyDescent="0.3">
      <c r="A5" s="491">
        <f>IFERROR('Facility Master'!A6,"")</f>
        <v>2</v>
      </c>
      <c r="B5" s="651"/>
      <c r="C5" s="600" t="str">
        <f>IFERROR('Facility Master'!C6,"")</f>
        <v>RTL-II (fresh)</v>
      </c>
      <c r="D5" s="491" t="str">
        <f>IFERROR('Facility Master'!I6,"")</f>
        <v>INR</v>
      </c>
      <c r="E5" s="600" t="str">
        <f>IFERROR('Facility Master'!P6,"")</f>
        <v>1Y MCLR (UBI), RTL-II</v>
      </c>
      <c r="F5" s="652">
        <f>IFERROR('Facility Master'!Q6*10000,0)</f>
        <v>50</v>
      </c>
      <c r="G5" s="499">
        <f>IFERROR('Facility Master'!R6,0)</f>
        <v>9.0999999999999998E-2</v>
      </c>
      <c r="H5" s="653" t="str">
        <f>IFERROR('Facility Master'!S6,"")</f>
        <v>Floating</v>
      </c>
      <c r="I5" s="600" t="str">
        <f>IFERROR('Facility Master'!AE6,"")</f>
        <v>UBI SL 20-Sep-2025, Ref LCBD-I:JFL:2025-26:1726</v>
      </c>
    </row>
    <row r="6" spans="1:9" ht="19.5" customHeight="1" x14ac:dyDescent="0.3">
      <c r="A6" s="501">
        <f>IFERROR('Facility Master'!A7,"")</f>
        <v>3</v>
      </c>
      <c r="B6" s="654"/>
      <c r="C6" s="598" t="str">
        <f>IFERROR('Facility Master'!C7,"")</f>
        <v>Letter of Credit (Capex LC/UPAS/SBLC)</v>
      </c>
      <c r="D6" s="501" t="str">
        <f>IFERROR('Facility Master'!I7,"")</f>
        <v>INR</v>
      </c>
      <c r="E6" s="598" t="str">
        <f>IFERROR('Facility Master'!P7,"")</f>
        <v>Fixed commission</v>
      </c>
      <c r="F6" s="260">
        <f>IFERROR('Facility Master'!Q7*10000,0)</f>
        <v>60</v>
      </c>
      <c r="G6" s="655">
        <f>IFERROR('Facility Master'!R7,0)</f>
        <v>6.0000000000000001E-3</v>
      </c>
      <c r="H6" s="656" t="str">
        <f>IFERROR('Facility Master'!S7,"")</f>
        <v>Fixed</v>
      </c>
      <c r="I6" s="598" t="str">
        <f>IFERROR('Facility Master'!AE7,"")</f>
        <v>UBI SL 20-Sep-2025, Ref LCBD-I:JFL:2025-26:1726</v>
      </c>
    </row>
    <row r="7" spans="1:9" ht="19.5" customHeight="1" x14ac:dyDescent="0.3">
      <c r="A7" s="491">
        <f>IFERROR('Facility Master'!A8,"")</f>
        <v>4</v>
      </c>
      <c r="B7" s="651"/>
      <c r="C7" s="600" t="str">
        <f>IFERROR('Facility Master'!C8,"")</f>
        <v>Bank Guarantee</v>
      </c>
      <c r="D7" s="491" t="str">
        <f>IFERROR('Facility Master'!I8,"")</f>
        <v>INR</v>
      </c>
      <c r="E7" s="600" t="str">
        <f>IFERROR('Facility Master'!P8,"")</f>
        <v>Fixed commission</v>
      </c>
      <c r="F7" s="652">
        <f>IFERROR('Facility Master'!Q8*10000,0)</f>
        <v>60</v>
      </c>
      <c r="G7" s="657">
        <f>IFERROR('Facility Master'!R8,0)</f>
        <v>6.0000000000000001E-3</v>
      </c>
      <c r="H7" s="658" t="str">
        <f>IFERROR('Facility Master'!S8,"")</f>
        <v>Fixed</v>
      </c>
      <c r="I7" s="600" t="str">
        <f>IFERROR('Facility Master'!AE8,"")</f>
        <v>UBI SL 20-Sep-2025, Ref LCBD-I:JFL:2025-26:1726</v>
      </c>
    </row>
    <row r="8" spans="1:9" ht="19.5" customHeight="1" x14ac:dyDescent="0.3">
      <c r="A8" s="501">
        <f>IFERROR('Facility Master'!A9,"")</f>
        <v>5</v>
      </c>
      <c r="B8" s="654"/>
      <c r="C8" s="598" t="str">
        <f>IFERROR('Facility Master'!C9,"")</f>
        <v>Forward Contract (credit equivalent)</v>
      </c>
      <c r="D8" s="501" t="str">
        <f>IFERROR('Facility Master'!I9,"")</f>
        <v>INR</v>
      </c>
      <c r="E8" s="598" t="str">
        <f>IFERROR('Facility Master'!P9,"")</f>
        <v>N/A</v>
      </c>
      <c r="F8" s="260">
        <f>IFERROR('Facility Master'!Q9*10000,0)</f>
        <v>0</v>
      </c>
      <c r="G8" s="659">
        <f>IFERROR('Facility Master'!R9,0)</f>
        <v>0</v>
      </c>
      <c r="H8" s="656" t="str">
        <f>IFERROR('Facility Master'!S9,"")</f>
        <v>Fixed</v>
      </c>
      <c r="I8" s="598" t="str">
        <f>IFERROR('Facility Master'!AE9,"")</f>
        <v>UBI SL 20-Sep-2025, Ref LCBD-I:JFL:2025-26:1726</v>
      </c>
    </row>
    <row r="9" spans="1:9" ht="19.5" customHeight="1" x14ac:dyDescent="0.3">
      <c r="A9" s="601">
        <f>IFERROR('Facility Master'!A10,"")</f>
        <v>6</v>
      </c>
      <c r="B9" s="660" t="str">
        <f>IFERROR('Facility Master'!B10,"")</f>
        <v>Indian Bank</v>
      </c>
      <c r="C9" s="608" t="str">
        <f>IFERROR('Facility Master'!C10,"")</f>
        <v>Term Loan (per amendment ticket)</v>
      </c>
      <c r="D9" s="601" t="str">
        <f>IFERROR('Facility Master'!I10,"")</f>
        <v>INR</v>
      </c>
      <c r="E9" s="608" t="str">
        <f>IFERROR('Facility Master'!P10,"")</f>
        <v>1Y MCLR (Indian Bank)</v>
      </c>
      <c r="F9" s="661">
        <f>IFERROR('Facility Master'!Q10*10000,0)</f>
        <v>50</v>
      </c>
      <c r="G9" s="662">
        <f>IFERROR('Facility Master'!R10,0)</f>
        <v>9.4E-2</v>
      </c>
      <c r="H9" s="663" t="str">
        <f>IFERROR('Facility Master'!S10,"")</f>
        <v>Floating</v>
      </c>
      <c r="I9" s="608" t="str">
        <f>IFERROR('Facility Master'!AE10,"")</f>
        <v>Indian Bank Amendment Ticket 26-Sep-2025, Ref LCB/Del/JFL:2025-26</v>
      </c>
    </row>
    <row r="10" spans="1:9" ht="19.5" customHeight="1" x14ac:dyDescent="0.3">
      <c r="A10" s="481">
        <f>IFERROR('Facility Master'!A11,"")</f>
        <v>7</v>
      </c>
      <c r="B10" s="664" t="str">
        <f>IFERROR('Facility Master'!B11,"")</f>
        <v>RBL Bank</v>
      </c>
      <c r="C10" s="610" t="str">
        <f>IFERROR('Facility Master'!C11,"")</f>
        <v>Term Loan (12-month bullet bridge)</v>
      </c>
      <c r="D10" s="481" t="str">
        <f>IFERROR('Facility Master'!I11,"")</f>
        <v>INR</v>
      </c>
      <c r="E10" s="610" t="str">
        <f>IFERROR('Facility Master'!P11,"")</f>
        <v>To be decided</v>
      </c>
      <c r="F10" s="665">
        <f>IFERROR('Facility Master'!Q11*10000,0)</f>
        <v>0</v>
      </c>
      <c r="G10" s="666">
        <f>IFERROR('Facility Master'!R11,0)</f>
        <v>9.5000000000000001E-2</v>
      </c>
      <c r="H10" s="667" t="str">
        <f>IFERROR('Facility Master'!S11,"")</f>
        <v>TBD</v>
      </c>
      <c r="I10" s="610" t="str">
        <f>IFERROR('Facility Master'!AE11,"")</f>
        <v>RBL SL 13-Nov-2025, Ref CAD/DEL/0856/2025-26</v>
      </c>
    </row>
    <row r="11" spans="1:9" ht="19.5" customHeight="1" x14ac:dyDescent="0.3">
      <c r="A11" s="481">
        <f>IFERROR('Facility Master'!A12,"")</f>
        <v>8</v>
      </c>
      <c r="B11" s="668"/>
      <c r="C11" s="610" t="str">
        <f>IFERROR('Facility Master'!C12,"")</f>
        <v>Letter of Credit (sub-limit of TL)</v>
      </c>
      <c r="D11" s="481" t="str">
        <f>IFERROR('Facility Master'!I12,"")</f>
        <v>INR</v>
      </c>
      <c r="E11" s="610" t="str">
        <f>IFERROR('Facility Master'!P12,"")</f>
        <v>Fixed commission</v>
      </c>
      <c r="F11" s="665">
        <f>IFERROR('Facility Master'!Q12*10000,0)</f>
        <v>50</v>
      </c>
      <c r="G11" s="669">
        <f>IFERROR('Facility Master'!R12,0)</f>
        <v>5.0000000000000001E-3</v>
      </c>
      <c r="H11" s="670" t="str">
        <f>IFERROR('Facility Master'!S12,"")</f>
        <v>Fixed</v>
      </c>
      <c r="I11" s="610" t="str">
        <f>IFERROR('Facility Master'!AE12,"")</f>
        <v>RBL SL 13-Nov-2025, Ref CAD/DEL/0856/2025-26</v>
      </c>
    </row>
    <row r="12" spans="1:9" ht="19.5" customHeight="1" x14ac:dyDescent="0.3">
      <c r="A12" s="501">
        <f>IFERROR('Facility Master'!A13,"")</f>
        <v>9</v>
      </c>
      <c r="B12" s="654"/>
      <c r="C12" s="598" t="str">
        <f>IFERROR('Facility Master'!C13,"")</f>
        <v>FDOD (Overdraft against FD)</v>
      </c>
      <c r="D12" s="501" t="str">
        <f>IFERROR('Facility Master'!I13,"")</f>
        <v>INR</v>
      </c>
      <c r="E12" s="598" t="str">
        <f>IFERROR('Facility Master'!P13,"")</f>
        <v>To be decided</v>
      </c>
      <c r="F12" s="260">
        <f>IFERROR('Facility Master'!Q13*10000,0)</f>
        <v>0</v>
      </c>
      <c r="G12" s="659">
        <f>IFERROR('Facility Master'!R13,0)</f>
        <v>9.5000000000000001E-2</v>
      </c>
      <c r="H12" s="671" t="str">
        <f>IFERROR('Facility Master'!S13,"")</f>
        <v>TBD</v>
      </c>
      <c r="I12" s="598" t="str">
        <f>IFERROR('Facility Master'!AE13,"")</f>
        <v>RBL SL 13-Nov-2025, Ref CAD/DEL/0856/2025-26</v>
      </c>
    </row>
    <row r="13" spans="1:9" ht="19.5" customHeight="1" x14ac:dyDescent="0.3">
      <c r="A13" s="589">
        <f>IFERROR('Facility Master'!A14,"")</f>
        <v>10</v>
      </c>
      <c r="B13" s="648" t="str">
        <f>IFERROR('Facility Master'!B14,"")</f>
        <v>YES Bank</v>
      </c>
      <c r="C13" s="596" t="str">
        <f>IFERROR('Facility Master'!C14,"")</f>
        <v>Term Loan (project, new consortium joiner)</v>
      </c>
      <c r="D13" s="589" t="str">
        <f>IFERROR('Facility Master'!I14,"")</f>
        <v>INR</v>
      </c>
      <c r="E13" s="596" t="str">
        <f>IFERROR('Facility Master'!P14,"")</f>
        <v>EBLR (YES Bank)</v>
      </c>
      <c r="F13" s="649">
        <f>IFERROR('Facility Master'!Q14*10000,0)</f>
        <v>345.00000000000006</v>
      </c>
      <c r="G13" s="594">
        <f>IFERROR('Facility Master'!R14,0)</f>
        <v>9.5500000000000002E-2</v>
      </c>
      <c r="H13" s="650" t="str">
        <f>IFERROR('Facility Master'!S14,"")</f>
        <v>Floating</v>
      </c>
      <c r="I13" s="596" t="str">
        <f>IFERROR('Facility Master'!AE14,"")</f>
        <v>YES Bank Final Facility Letter 29-Dec-2025, Ref YBL/DEL/LC/FL/04920/12/2025</v>
      </c>
    </row>
    <row r="14" spans="1:9" ht="19.5" customHeight="1" x14ac:dyDescent="0.3">
      <c r="A14" s="501">
        <f>IFERROR('Facility Master'!A15,"")</f>
        <v>11</v>
      </c>
      <c r="B14" s="654"/>
      <c r="C14" s="598" t="str">
        <f>IFERROR('Facility Master'!C15,"")</f>
        <v>Capex LC (sub-limit of TL)</v>
      </c>
      <c r="D14" s="501" t="str">
        <f>IFERROR('Facility Master'!I15,"")</f>
        <v>INR</v>
      </c>
      <c r="E14" s="598" t="str">
        <f>IFERROR('Facility Master'!P15,"")</f>
        <v>Fixed commission</v>
      </c>
      <c r="F14" s="260">
        <f>IFERROR('Facility Master'!Q15*10000,0)</f>
        <v>50</v>
      </c>
      <c r="G14" s="655">
        <f>IFERROR('Facility Master'!R15,0)</f>
        <v>5.0000000000000001E-3</v>
      </c>
      <c r="H14" s="656" t="str">
        <f>IFERROR('Facility Master'!S15,"")</f>
        <v>Fixed</v>
      </c>
      <c r="I14" s="598" t="str">
        <f>IFERROR('Facility Master'!AE15,"")</f>
        <v>YES Bank Final Facility Letter 29-Dec-2025, Ref YBL/DEL/LC/FL/04920/12/2025</v>
      </c>
    </row>
    <row r="15" spans="1:9" ht="19.5" customHeight="1" x14ac:dyDescent="0.3">
      <c r="A15" s="601">
        <f>IFERROR('Facility Master'!A16,"")</f>
        <v>12</v>
      </c>
      <c r="B15" s="660" t="str">
        <f>IFERROR('Facility Master'!B16,"")</f>
        <v>IDFC First Bank</v>
      </c>
      <c r="C15" s="608" t="str">
        <f>IFERROR('Facility Master'!C16,"")</f>
        <v>RTL (project, new consortium joiner)</v>
      </c>
      <c r="D15" s="601" t="str">
        <f>IFERROR('Facility Master'!I16,"")</f>
        <v>INR</v>
      </c>
      <c r="E15" s="608" t="str">
        <f>IFERROR('Facility Master'!P16,"")</f>
        <v>EBLR (IDFC First)</v>
      </c>
      <c r="F15" s="661">
        <f>IFERROR('Facility Master'!Q16*10000,0)</f>
        <v>105</v>
      </c>
      <c r="G15" s="606">
        <f>IFERROR('Facility Master'!R16,0)</f>
        <v>8.7999999999999995E-2</v>
      </c>
      <c r="H15" s="672" t="str">
        <f>IFERROR('Facility Master'!S16,"")</f>
        <v>Floating</v>
      </c>
      <c r="I15" s="608" t="str">
        <f>IFERROR('Facility Master'!AE16,"")</f>
        <v>IDFC First SL 09-Jan-2026, Ref IDFC/CAD/REF/SL/260131</v>
      </c>
    </row>
    <row r="16" spans="1:9" ht="19.5" customHeight="1" x14ac:dyDescent="0.3">
      <c r="A16" s="501">
        <f>IFERROR('Facility Master'!A17,"")</f>
        <v>13</v>
      </c>
      <c r="B16" s="654"/>
      <c r="C16" s="598" t="str">
        <f>IFERROR('Facility Master'!C17,"")</f>
        <v>NFB, Capex LC/SBLC (A)</v>
      </c>
      <c r="D16" s="501" t="str">
        <f>IFERROR('Facility Master'!I17,"")</f>
        <v>INR</v>
      </c>
      <c r="E16" s="598" t="str">
        <f>IFERROR('Facility Master'!P17,"")</f>
        <v>Fixed commission</v>
      </c>
      <c r="F16" s="260">
        <f>IFERROR('Facility Master'!Q17*10000,0)</f>
        <v>35</v>
      </c>
      <c r="G16" s="655">
        <f>IFERROR('Facility Master'!R17,0)</f>
        <v>3.5000000000000001E-3</v>
      </c>
      <c r="H16" s="656" t="str">
        <f>IFERROR('Facility Master'!S17,"")</f>
        <v>Fixed</v>
      </c>
      <c r="I16" s="598" t="str">
        <f>IFERROR('Facility Master'!AE17,"")</f>
        <v>IDFC First SL 09-Jan-2026, Ref IDFC/CAD/REF/SL/260131</v>
      </c>
    </row>
    <row r="17" spans="1:9" ht="19.5" customHeight="1" x14ac:dyDescent="0.3">
      <c r="A17" s="611">
        <f>IFERROR('Facility Master'!A18,"")</f>
        <v>14</v>
      </c>
      <c r="B17" s="673"/>
      <c r="C17" s="618" t="str">
        <f>IFERROR('Facility Master'!C18,"")</f>
        <v>NFB, BG / SBLC (B, sub-limit within ₹400 cap)</v>
      </c>
      <c r="D17" s="611" t="str">
        <f>IFERROR('Facility Master'!I18,"")</f>
        <v>INR</v>
      </c>
      <c r="E17" s="618" t="str">
        <f>IFERROR('Facility Master'!P18,"")</f>
        <v>Fixed commission</v>
      </c>
      <c r="F17" s="674">
        <f>IFERROR('Facility Master'!Q18*10000,0)</f>
        <v>35</v>
      </c>
      <c r="G17" s="675">
        <f>IFERROR('Facility Master'!R18,0)</f>
        <v>3.5000000000000001E-3</v>
      </c>
      <c r="H17" s="676" t="str">
        <f>IFERROR('Facility Master'!S18,"")</f>
        <v>Fixed</v>
      </c>
      <c r="I17" s="618" t="str">
        <f>IFERROR('Facility Master'!AE18,"")</f>
        <v>IDFC First SL 09-Jan-2026, Ref IDFC/CAD/REF/SL/260131</v>
      </c>
    </row>
    <row r="18" spans="1:9" ht="19.5" customHeight="1" x14ac:dyDescent="0.3">
      <c r="A18" s="589">
        <f>IFERROR('Facility Master'!A19,"")</f>
        <v>15</v>
      </c>
      <c r="B18" s="648" t="str">
        <f>IFERROR('Facility Master'!B19,"")</f>
        <v>ICICI Bank</v>
      </c>
      <c r="C18" s="596" t="str">
        <f>IFERROR('Facility Master'!C19,"")</f>
        <v>Cash Credit (WC)</v>
      </c>
      <c r="D18" s="589" t="str">
        <f>IFERROR('Facility Master'!I19,"")</f>
        <v>INR</v>
      </c>
      <c r="E18" s="596" t="str">
        <f>IFERROR('Facility Master'!P19,"")</f>
        <v>6M I-MCLR (ICICI)</v>
      </c>
      <c r="F18" s="649">
        <f>IFERROR('Facility Master'!Q19*10000,0)</f>
        <v>20</v>
      </c>
      <c r="G18" s="594">
        <f>IFERROR('Facility Master'!R19,0)</f>
        <v>8.5000000000000006E-2</v>
      </c>
      <c r="H18" s="650" t="str">
        <f>IFERROR('Facility Master'!S19,"")</f>
        <v>Floating</v>
      </c>
      <c r="I18" s="596" t="str">
        <f>IFERROR('Facility Master'!AE19,"")</f>
        <v>ICICI WC CAL 12-Feb-2026, Ref CAL142368928833</v>
      </c>
    </row>
    <row r="19" spans="1:9" ht="19.5" customHeight="1" x14ac:dyDescent="0.3">
      <c r="A19" s="491">
        <f>IFERROR('Facility Master'!A20,"")</f>
        <v>16</v>
      </c>
      <c r="B19" s="651"/>
      <c r="C19" s="600" t="str">
        <f>IFERROR('Facility Master'!C20,"")</f>
        <v>WCDL (sub-limit of CC)</v>
      </c>
      <c r="D19" s="491" t="str">
        <f>IFERROR('Facility Master'!I20,"")</f>
        <v>INR</v>
      </c>
      <c r="E19" s="600" t="str">
        <f>IFERROR('Facility Master'!P20,"")</f>
        <v>Repo Rate</v>
      </c>
      <c r="F19" s="652">
        <f>IFERROR('Facility Master'!Q20*10000,0)</f>
        <v>0</v>
      </c>
      <c r="G19" s="677">
        <f>IFERROR('Facility Master'!R20,0)</f>
        <v>5.2499999999999998E-2</v>
      </c>
      <c r="H19" s="678" t="str">
        <f>IFERROR('Facility Master'!S20,"")</f>
        <v>TBD</v>
      </c>
      <c r="I19" s="600" t="str">
        <f>IFERROR('Facility Master'!AE20,"")</f>
        <v>ICICI WC CAL 12-Feb-2026, Ref CAL142368928833</v>
      </c>
    </row>
    <row r="20" spans="1:9" ht="19.5" customHeight="1" x14ac:dyDescent="0.3">
      <c r="A20" s="501">
        <f>IFERROR('Facility Master'!A21,"")</f>
        <v>17</v>
      </c>
      <c r="B20" s="654"/>
      <c r="C20" s="598" t="str">
        <f>IFERROR('Facility Master'!C21,"")</f>
        <v>Letter of Credit (WC)</v>
      </c>
      <c r="D20" s="501" t="str">
        <f>IFERROR('Facility Master'!I21,"")</f>
        <v>INR</v>
      </c>
      <c r="E20" s="598" t="str">
        <f>IFERROR('Facility Master'!P21,"")</f>
        <v>Fixed commission</v>
      </c>
      <c r="F20" s="260">
        <f>IFERROR('Facility Master'!Q21*10000,0)</f>
        <v>60</v>
      </c>
      <c r="G20" s="655">
        <f>IFERROR('Facility Master'!R21,0)</f>
        <v>6.0000000000000001E-3</v>
      </c>
      <c r="H20" s="656" t="str">
        <f>IFERROR('Facility Master'!S21,"")</f>
        <v>Fixed</v>
      </c>
      <c r="I20" s="598" t="str">
        <f>IFERROR('Facility Master'!AE21,"")</f>
        <v>ICICI WC CAL 12-Feb-2026, Ref CAL142368928833</v>
      </c>
    </row>
    <row r="21" spans="1:9" ht="19.5" customHeight="1" x14ac:dyDescent="0.3">
      <c r="A21" s="491">
        <f>IFERROR('Facility Master'!A22,"")</f>
        <v>18</v>
      </c>
      <c r="B21" s="651"/>
      <c r="C21" s="600" t="str">
        <f>IFERROR('Facility Master'!C22,"")</f>
        <v>BG (F+P, sub-limit of LC)</v>
      </c>
      <c r="D21" s="491" t="str">
        <f>IFERROR('Facility Master'!I22,"")</f>
        <v>INR</v>
      </c>
      <c r="E21" s="600" t="str">
        <f>IFERROR('Facility Master'!P22,"")</f>
        <v>Fixed commission</v>
      </c>
      <c r="F21" s="652">
        <f>IFERROR('Facility Master'!Q22*10000,0)</f>
        <v>60</v>
      </c>
      <c r="G21" s="657">
        <f>IFERROR('Facility Master'!R22,0)</f>
        <v>6.0000000000000001E-3</v>
      </c>
      <c r="H21" s="658" t="str">
        <f>IFERROR('Facility Master'!S22,"")</f>
        <v>Fixed</v>
      </c>
      <c r="I21" s="600" t="str">
        <f>IFERROR('Facility Master'!AE22,"")</f>
        <v>ICICI WC CAL 12-Feb-2026, Ref CAL142368928833</v>
      </c>
    </row>
    <row r="22" spans="1:9" ht="19.5" customHeight="1" x14ac:dyDescent="0.3">
      <c r="A22" s="679">
        <f>IFERROR('Facility Master'!A23,"")</f>
        <v>19</v>
      </c>
      <c r="B22" s="680" t="str">
        <f>IFERROR('Facility Master'!B23,"")</f>
        <v>HSBC</v>
      </c>
      <c r="C22" s="681" t="str">
        <f>IFERROR('Facility Master'!C23,"")</f>
        <v>Combined Limit (Uncommitted)</v>
      </c>
      <c r="D22" s="679" t="str">
        <f>IFERROR('Facility Master'!I23,"")</f>
        <v>INR</v>
      </c>
      <c r="E22" s="682" t="str">
        <f>IFERROR('Facility Master'!P23,"")</f>
        <v>Mutually agreed</v>
      </c>
      <c r="F22" s="683">
        <f>IFERROR('Facility Master'!Q23*10000,0)</f>
        <v>0</v>
      </c>
      <c r="G22" s="684">
        <f>IFERROR('Facility Master'!R23,0)</f>
        <v>0.09</v>
      </c>
      <c r="H22" s="685" t="str">
        <f>IFERROR('Facility Master'!S23,"")</f>
        <v>TBD</v>
      </c>
      <c r="I22" s="682" t="str">
        <f>IFERROR('Facility Master'!AE23,"")</f>
        <v>HSBC Facilities Letter 27-Feb-2026, Ref GBM NDH 260475</v>
      </c>
    </row>
    <row r="23" spans="1:9" ht="19.5" customHeight="1" x14ac:dyDescent="0.3">
      <c r="A23" s="508">
        <f>IFERROR('Facility Master'!A24,"")</f>
        <v>20</v>
      </c>
      <c r="B23" s="686"/>
      <c r="C23" s="687" t="str">
        <f>IFERROR('Facility Master'!C24,"")</f>
        <v>Working Capital Loan (Uncommitted, sub of #1)</v>
      </c>
      <c r="D23" s="508" t="str">
        <f>IFERROR('Facility Master'!I24,"")</f>
        <v>INR</v>
      </c>
      <c r="E23" s="620" t="str">
        <f>IFERROR('Facility Master'!P24,"")</f>
        <v>Mutually agreed</v>
      </c>
      <c r="F23" s="688">
        <f>IFERROR('Facility Master'!Q24*10000,0)</f>
        <v>0</v>
      </c>
      <c r="G23" s="689">
        <f>IFERROR('Facility Master'!R24,0)</f>
        <v>0.09</v>
      </c>
      <c r="H23" s="690" t="str">
        <f>IFERROR('Facility Master'!S24,"")</f>
        <v>TBD</v>
      </c>
      <c r="I23" s="620" t="str">
        <f>IFERROR('Facility Master'!AE24,"")</f>
        <v>HSBC Facilities Letter 27-Feb-2026, Ref GBM NDH 260475</v>
      </c>
    </row>
    <row r="24" spans="1:9" ht="19.5" customHeight="1" x14ac:dyDescent="0.3">
      <c r="A24" s="679">
        <f>IFERROR('Facility Master'!A25,"")</f>
        <v>21</v>
      </c>
      <c r="B24" s="691"/>
      <c r="C24" s="681" t="str">
        <f>IFERROR('Facility Master'!C25,"")</f>
        <v>Overdraft (Uncommitted, sub of WCL)</v>
      </c>
      <c r="D24" s="679" t="str">
        <f>IFERROR('Facility Master'!I25,"")</f>
        <v>INR</v>
      </c>
      <c r="E24" s="682" t="str">
        <f>IFERROR('Facility Master'!P25,"")</f>
        <v>Mutually agreed</v>
      </c>
      <c r="F24" s="683">
        <f>IFERROR('Facility Master'!Q25*10000,0)</f>
        <v>0</v>
      </c>
      <c r="G24" s="684">
        <f>IFERROR('Facility Master'!R25,0)</f>
        <v>0.09</v>
      </c>
      <c r="H24" s="685" t="str">
        <f>IFERROR('Facility Master'!S25,"")</f>
        <v>TBD</v>
      </c>
      <c r="I24" s="682" t="str">
        <f>IFERROR('Facility Master'!AE25,"")</f>
        <v>HSBC Facilities Letter 27-Feb-2026, Ref GBM NDH 260475</v>
      </c>
    </row>
    <row r="25" spans="1:9" ht="19.5" customHeight="1" x14ac:dyDescent="0.3">
      <c r="A25" s="508">
        <f>IFERROR('Facility Master'!A26,"")</f>
        <v>22</v>
      </c>
      <c r="B25" s="686"/>
      <c r="C25" s="687" t="str">
        <f>IFERROR('Facility Master'!C26,"")</f>
        <v>Import Controlling line - 1 (Uncommitted)</v>
      </c>
      <c r="D25" s="508" t="str">
        <f>IFERROR('Facility Master'!I26,"")</f>
        <v>INR</v>
      </c>
      <c r="E25" s="620" t="str">
        <f>IFERROR('Facility Master'!P26,"")</f>
        <v>Mutually agreed</v>
      </c>
      <c r="F25" s="688">
        <f>IFERROR('Facility Master'!Q26*10000,0)</f>
        <v>0</v>
      </c>
      <c r="G25" s="689">
        <f>IFERROR('Facility Master'!R26,0)</f>
        <v>0.09</v>
      </c>
      <c r="H25" s="690" t="str">
        <f>IFERROR('Facility Master'!S26,"")</f>
        <v>TBD</v>
      </c>
      <c r="I25" s="620" t="str">
        <f>IFERROR('Facility Master'!AE26,"")</f>
        <v>HSBC Facilities Letter 27-Feb-2026, Ref GBM NDH 260475</v>
      </c>
    </row>
    <row r="26" spans="1:9" ht="19.5" customHeight="1" x14ac:dyDescent="0.3">
      <c r="A26" s="679">
        <f>IFERROR('Facility Master'!A27,"")</f>
        <v>23</v>
      </c>
      <c r="B26" s="691"/>
      <c r="C26" s="681" t="str">
        <f>IFERROR('Facility Master'!C27,"")</f>
        <v>TradePay Domestic/Import (Uncommitted)</v>
      </c>
      <c r="D26" s="679" t="str">
        <f>IFERROR('Facility Master'!I27,"")</f>
        <v>INR</v>
      </c>
      <c r="E26" s="682" t="str">
        <f>IFERROR('Facility Master'!P27,"")</f>
        <v>Mutually agreed</v>
      </c>
      <c r="F26" s="683">
        <f>IFERROR('Facility Master'!Q27*10000,0)</f>
        <v>0</v>
      </c>
      <c r="G26" s="684">
        <f>IFERROR('Facility Master'!R27,0)</f>
        <v>0.09</v>
      </c>
      <c r="H26" s="685" t="str">
        <f>IFERROR('Facility Master'!S27,"")</f>
        <v>TBD</v>
      </c>
      <c r="I26" s="682" t="str">
        <f>IFERROR('Facility Master'!AE27,"")</f>
        <v>HSBC Facilities Letter 27-Feb-2026, Ref GBM NDH 260475</v>
      </c>
    </row>
    <row r="27" spans="1:9" ht="19.5" customHeight="1" x14ac:dyDescent="0.3">
      <c r="A27" s="508">
        <f>IFERROR('Facility Master'!A28,"")</f>
        <v>24</v>
      </c>
      <c r="B27" s="686"/>
      <c r="C27" s="687" t="str">
        <f>IFERROR('Facility Master'!C28,"")</f>
        <v>Pre-shipment Buyer Loan (Uncommitted)</v>
      </c>
      <c r="D27" s="508" t="str">
        <f>IFERROR('Facility Master'!I28,"")</f>
        <v>INR</v>
      </c>
      <c r="E27" s="620" t="str">
        <f>IFERROR('Facility Master'!P28,"")</f>
        <v>Mutually agreed</v>
      </c>
      <c r="F27" s="688">
        <f>IFERROR('Facility Master'!Q28*10000,0)</f>
        <v>0</v>
      </c>
      <c r="G27" s="689">
        <f>IFERROR('Facility Master'!R28,0)</f>
        <v>0.09</v>
      </c>
      <c r="H27" s="690" t="str">
        <f>IFERROR('Facility Master'!S28,"")</f>
        <v>TBD</v>
      </c>
      <c r="I27" s="620" t="str">
        <f>IFERROR('Facility Master'!AE28,"")</f>
        <v>HSBC Facilities Letter 27-Feb-2026, Ref GBM NDH 260475</v>
      </c>
    </row>
    <row r="28" spans="1:9" ht="19.5" customHeight="1" x14ac:dyDescent="0.3">
      <c r="A28" s="679">
        <f>IFERROR('Facility Master'!A29,"")</f>
        <v>25</v>
      </c>
      <c r="B28" s="691"/>
      <c r="C28" s="681" t="str">
        <f>IFERROR('Facility Master'!C29,"")</f>
        <v>Post-Shipment Buyer Loan / DPF / LAI (Uncommitted)</v>
      </c>
      <c r="D28" s="679" t="str">
        <f>IFERROR('Facility Master'!I29,"")</f>
        <v>INR</v>
      </c>
      <c r="E28" s="682" t="str">
        <f>IFERROR('Facility Master'!P29,"")</f>
        <v>Mutually agreed</v>
      </c>
      <c r="F28" s="683">
        <f>IFERROR('Facility Master'!Q29*10000,0)</f>
        <v>0</v>
      </c>
      <c r="G28" s="684">
        <f>IFERROR('Facility Master'!R29,0)</f>
        <v>0.09</v>
      </c>
      <c r="H28" s="685" t="str">
        <f>IFERROR('Facility Master'!S29,"")</f>
        <v>TBD</v>
      </c>
      <c r="I28" s="682" t="str">
        <f>IFERROR('Facility Master'!AE29,"")</f>
        <v>HSBC Facilities Letter 27-Feb-2026, Ref GBM NDH 260475</v>
      </c>
    </row>
    <row r="29" spans="1:9" ht="19.5" customHeight="1" x14ac:dyDescent="0.3">
      <c r="A29" s="508">
        <f>IFERROR('Facility Master'!A30,"")</f>
        <v>26</v>
      </c>
      <c r="B29" s="686"/>
      <c r="C29" s="687" t="str">
        <f>IFERROR('Facility Master'!C30,"")</f>
        <v>Export Controlling line (Uncommitted)</v>
      </c>
      <c r="D29" s="508" t="str">
        <f>IFERROR('Facility Master'!I30,"")</f>
        <v>INR</v>
      </c>
      <c r="E29" s="620" t="str">
        <f>IFERROR('Facility Master'!P30,"")</f>
        <v>Mutually agreed</v>
      </c>
      <c r="F29" s="688">
        <f>IFERROR('Facility Master'!Q30*10000,0)</f>
        <v>0</v>
      </c>
      <c r="G29" s="689">
        <f>IFERROR('Facility Master'!R30,0)</f>
        <v>0.09</v>
      </c>
      <c r="H29" s="690" t="str">
        <f>IFERROR('Facility Master'!S30,"")</f>
        <v>TBD</v>
      </c>
      <c r="I29" s="620" t="str">
        <f>IFERROR('Facility Master'!AE30,"")</f>
        <v>HSBC Facilities Letter 27-Feb-2026, Ref GBM NDH 260475</v>
      </c>
    </row>
    <row r="30" spans="1:9" ht="19.5" customHeight="1" x14ac:dyDescent="0.3">
      <c r="A30" s="679">
        <f>IFERROR('Facility Master'!A31,"")</f>
        <v>27</v>
      </c>
      <c r="B30" s="691"/>
      <c r="C30" s="681" t="str">
        <f>IFERROR('Facility Master'!C31,"")</f>
        <v>Pre-shipment Seller Loan (Uncommitted)</v>
      </c>
      <c r="D30" s="679" t="str">
        <f>IFERROR('Facility Master'!I31,"")</f>
        <v>INR</v>
      </c>
      <c r="E30" s="682" t="str">
        <f>IFERROR('Facility Master'!P31,"")</f>
        <v>Mutually agreed</v>
      </c>
      <c r="F30" s="683">
        <f>IFERROR('Facility Master'!Q31*10000,0)</f>
        <v>0</v>
      </c>
      <c r="G30" s="684">
        <f>IFERROR('Facility Master'!R31,0)</f>
        <v>0.09</v>
      </c>
      <c r="H30" s="685" t="str">
        <f>IFERROR('Facility Master'!S31,"")</f>
        <v>TBD</v>
      </c>
      <c r="I30" s="682" t="str">
        <f>IFERROR('Facility Master'!AE31,"")</f>
        <v>HSBC Facilities Letter 27-Feb-2026, Ref GBM NDH 260475</v>
      </c>
    </row>
    <row r="31" spans="1:9" ht="19.5" customHeight="1" x14ac:dyDescent="0.3">
      <c r="A31" s="508">
        <f>IFERROR('Facility Master'!A32,"")</f>
        <v>28</v>
      </c>
      <c r="B31" s="686"/>
      <c r="C31" s="687" t="str">
        <f>IFERROR('Facility Master'!C32,"")</f>
        <v>Post-Shipment Seller Loan, Open Account (Uncommitted)</v>
      </c>
      <c r="D31" s="508" t="str">
        <f>IFERROR('Facility Master'!I32,"")</f>
        <v>INR</v>
      </c>
      <c r="E31" s="620" t="str">
        <f>IFERROR('Facility Master'!P32,"")</f>
        <v>Mutually agreed</v>
      </c>
      <c r="F31" s="688">
        <f>IFERROR('Facility Master'!Q32*10000,0)</f>
        <v>0</v>
      </c>
      <c r="G31" s="689">
        <f>IFERROR('Facility Master'!R32,0)</f>
        <v>0.09</v>
      </c>
      <c r="H31" s="690" t="str">
        <f>IFERROR('Facility Master'!S32,"")</f>
        <v>TBD</v>
      </c>
      <c r="I31" s="620" t="str">
        <f>IFERROR('Facility Master'!AE32,"")</f>
        <v>HSBC Facilities Letter 27-Feb-2026, Ref GBM NDH 260475</v>
      </c>
    </row>
    <row r="32" spans="1:9" ht="19.5" customHeight="1" x14ac:dyDescent="0.3">
      <c r="A32" s="679">
        <f>IFERROR('Facility Master'!A33,"")</f>
        <v>29</v>
      </c>
      <c r="B32" s="691"/>
      <c r="C32" s="681" t="str">
        <f>IFERROR('Facility Master'!C33,"")</f>
        <v>Import Controlling line - 2 (Uncommitted)</v>
      </c>
      <c r="D32" s="679" t="str">
        <f>IFERROR('Facility Master'!I33,"")</f>
        <v>INR</v>
      </c>
      <c r="E32" s="682" t="str">
        <f>IFERROR('Facility Master'!P33,"")</f>
        <v>Mutually agreed</v>
      </c>
      <c r="F32" s="683">
        <f>IFERROR('Facility Master'!Q33*10000,0)</f>
        <v>0</v>
      </c>
      <c r="G32" s="684">
        <f>IFERROR('Facility Master'!R33,0)</f>
        <v>0.09</v>
      </c>
      <c r="H32" s="685" t="str">
        <f>IFERROR('Facility Master'!S33,"")</f>
        <v>TBD</v>
      </c>
      <c r="I32" s="682" t="str">
        <f>IFERROR('Facility Master'!AE33,"")</f>
        <v>HSBC Facilities Letter 27-Feb-2026, Ref GBM NDH 260475</v>
      </c>
    </row>
    <row r="33" spans="1:9" ht="19.5" customHeight="1" x14ac:dyDescent="0.3">
      <c r="A33" s="508">
        <f>IFERROR('Facility Master'!A34,"")</f>
        <v>30</v>
      </c>
      <c r="B33" s="686"/>
      <c r="C33" s="687" t="str">
        <f>IFERROR('Facility Master'!C34,"")</f>
        <v>Import Documentary Credit - 12 (Uncommitted)</v>
      </c>
      <c r="D33" s="508" t="str">
        <f>IFERROR('Facility Master'!I34,"")</f>
        <v>INR</v>
      </c>
      <c r="E33" s="620" t="str">
        <f>IFERROR('Facility Master'!P34,"")</f>
        <v>Fixed commission</v>
      </c>
      <c r="F33" s="688">
        <f>IFERROR('Facility Master'!Q34*10000,0)</f>
        <v>0</v>
      </c>
      <c r="G33" s="689">
        <f>IFERROR('Facility Master'!R34,0)</f>
        <v>0</v>
      </c>
      <c r="H33" s="690" t="str">
        <f>IFERROR('Facility Master'!S34,"")</f>
        <v>TBD</v>
      </c>
      <c r="I33" s="620" t="str">
        <f>IFERROR('Facility Master'!AE34,"")</f>
        <v>HSBC Facilities Letter 27-Feb-2026, Ref GBM NDH 260475</v>
      </c>
    </row>
    <row r="34" spans="1:9" ht="19.5" customHeight="1" x14ac:dyDescent="0.3">
      <c r="A34" s="679">
        <f>IFERROR('Facility Master'!A35,"")</f>
        <v>31</v>
      </c>
      <c r="B34" s="691"/>
      <c r="C34" s="681" t="str">
        <f>IFERROR('Facility Master'!C35,"")</f>
        <v>Import Documentary Credit - 13 (Uncommitted)</v>
      </c>
      <c r="D34" s="679" t="str">
        <f>IFERROR('Facility Master'!I35,"")</f>
        <v>INR</v>
      </c>
      <c r="E34" s="682" t="str">
        <f>IFERROR('Facility Master'!P35,"")</f>
        <v>Fixed commission</v>
      </c>
      <c r="F34" s="683">
        <f>IFERROR('Facility Master'!Q35*10000,0)</f>
        <v>0</v>
      </c>
      <c r="G34" s="684">
        <f>IFERROR('Facility Master'!R35,0)</f>
        <v>0</v>
      </c>
      <c r="H34" s="685" t="str">
        <f>IFERROR('Facility Master'!S35,"")</f>
        <v>TBD</v>
      </c>
      <c r="I34" s="682" t="str">
        <f>IFERROR('Facility Master'!AE35,"")</f>
        <v>HSBC Facilities Letter 27-Feb-2026, Ref GBM NDH 260475</v>
      </c>
    </row>
    <row r="35" spans="1:9" ht="19.5" customHeight="1" x14ac:dyDescent="0.3">
      <c r="A35" s="508">
        <f>IFERROR('Facility Master'!A36,"")</f>
        <v>32</v>
      </c>
      <c r="B35" s="686"/>
      <c r="C35" s="687" t="str">
        <f>IFERROR('Facility Master'!C36,"")</f>
        <v>Guarantees/Bonds Non-Financial (Uncommitted)</v>
      </c>
      <c r="D35" s="508" t="str">
        <f>IFERROR('Facility Master'!I36,"")</f>
        <v>INR</v>
      </c>
      <c r="E35" s="620" t="str">
        <f>IFERROR('Facility Master'!P36,"")</f>
        <v>Mutually agreed</v>
      </c>
      <c r="F35" s="688">
        <f>IFERROR('Facility Master'!Q36*10000,0)</f>
        <v>0</v>
      </c>
      <c r="G35" s="689">
        <f>IFERROR('Facility Master'!R36,0)</f>
        <v>0.09</v>
      </c>
      <c r="H35" s="690" t="str">
        <f>IFERROR('Facility Master'!S36,"")</f>
        <v>TBD</v>
      </c>
      <c r="I35" s="620" t="str">
        <f>IFERROR('Facility Master'!AE36,"")</f>
        <v>HSBC Facilities Letter 27-Feb-2026, Ref GBM NDH 260475</v>
      </c>
    </row>
    <row r="36" spans="1:9" ht="19.5" customHeight="1" x14ac:dyDescent="0.3">
      <c r="A36" s="601">
        <f>IFERROR('Facility Master'!A37,"")</f>
        <v>33</v>
      </c>
      <c r="B36" s="660" t="str">
        <f>IFERROR('Facility Master'!B37,"")</f>
        <v>HSBC</v>
      </c>
      <c r="C36" s="608" t="str">
        <f>IFERROR('Facility Master'!C37,"")</f>
        <v>Guarantees/Bonds Financial (Uncommitted)</v>
      </c>
      <c r="D36" s="601" t="str">
        <f>IFERROR('Facility Master'!I37,"")</f>
        <v>INR</v>
      </c>
      <c r="E36" s="608" t="str">
        <f>IFERROR('Facility Master'!P37,"")</f>
        <v>Mutually agreed</v>
      </c>
      <c r="F36" s="661">
        <f>IFERROR('Facility Master'!Q37*10000,0)</f>
        <v>0</v>
      </c>
      <c r="G36" s="662">
        <f>IFERROR('Facility Master'!R37,0)</f>
        <v>0.09</v>
      </c>
      <c r="H36" s="663" t="str">
        <f>IFERROR('Facility Master'!S37,"")</f>
        <v>TBD</v>
      </c>
      <c r="I36" s="608" t="str">
        <f>IFERROR('Facility Master'!AE37,"")</f>
        <v>HSBC Facilities Letter 27-Feb-2026, Ref GBM NDH 260475</v>
      </c>
    </row>
    <row r="37" spans="1:9" ht="19.5" customHeight="1" x14ac:dyDescent="0.3">
      <c r="A37" s="611">
        <f>IFERROR('Facility Master'!A38,"")</f>
        <v>34</v>
      </c>
      <c r="B37" s="673"/>
      <c r="C37" s="618" t="str">
        <f>IFERROR('Facility Master'!C38,"")</f>
        <v>Letter of Credit (WC parent)</v>
      </c>
      <c r="D37" s="611" t="str">
        <f>IFERROR('Facility Master'!I38,"")</f>
        <v>INR</v>
      </c>
      <c r="E37" s="618" t="str">
        <f>IFERROR('Facility Master'!P38,"")</f>
        <v>Fixed commission</v>
      </c>
      <c r="F37" s="674">
        <f>IFERROR('Facility Master'!Q38*10000,0)</f>
        <v>50</v>
      </c>
      <c r="G37" s="675">
        <f>IFERROR('Facility Master'!R38,0)</f>
        <v>5.0000000000000001E-3</v>
      </c>
      <c r="H37" s="676" t="str">
        <f>IFERROR('Facility Master'!S38,"")</f>
        <v>Fixed</v>
      </c>
      <c r="I37" s="618" t="str">
        <f>IFERROR('Facility Master'!AE38,"")</f>
        <v>HDFC Bank Offer Letter 26-Mar-2026, Ref CAM012101260020</v>
      </c>
    </row>
    <row r="38" spans="1:9" ht="19.5" customHeight="1" x14ac:dyDescent="0.3">
      <c r="A38" s="501">
        <f>IFERROR('Facility Master'!A39,"")</f>
        <v>35</v>
      </c>
      <c r="B38" s="654"/>
      <c r="C38" s="598" t="str">
        <f>IFERROR('Facility Master'!C39,"")</f>
        <v>Post Shipment Finance (sub of LC)</v>
      </c>
      <c r="D38" s="501" t="str">
        <f>IFERROR('Facility Master'!I39,"")</f>
        <v>INR</v>
      </c>
      <c r="E38" s="598" t="str">
        <f>IFERROR('Facility Master'!P39,"")</f>
        <v>To be decided</v>
      </c>
      <c r="F38" s="260">
        <f>IFERROR('Facility Master'!Q39*10000,0)</f>
        <v>0</v>
      </c>
      <c r="G38" s="659">
        <f>IFERROR('Facility Master'!R39,0)</f>
        <v>9.5000000000000001E-2</v>
      </c>
      <c r="H38" s="671" t="str">
        <f>IFERROR('Facility Master'!S39,"")</f>
        <v>TBD</v>
      </c>
      <c r="I38" s="598" t="str">
        <f>IFERROR('Facility Master'!AE39,"")</f>
        <v>HDFC Bank Offer Letter 26-Mar-2026, Ref CAM012101260020</v>
      </c>
    </row>
    <row r="39" spans="1:9" ht="19.5" customHeight="1" x14ac:dyDescent="0.3">
      <c r="A39" s="611">
        <f>IFERROR('Facility Master'!A40,"")</f>
        <v>36</v>
      </c>
      <c r="B39" s="673"/>
      <c r="C39" s="618" t="str">
        <f>IFERROR('Facility Master'!C40,"")</f>
        <v>Pre-shipment Finance (sub of LC)</v>
      </c>
      <c r="D39" s="611" t="str">
        <f>IFERROR('Facility Master'!I40,"")</f>
        <v>INR</v>
      </c>
      <c r="E39" s="618" t="str">
        <f>IFERROR('Facility Master'!P40,"")</f>
        <v>To be decided</v>
      </c>
      <c r="F39" s="674">
        <f>IFERROR('Facility Master'!Q40*10000,0)</f>
        <v>0</v>
      </c>
      <c r="G39" s="692">
        <f>IFERROR('Facility Master'!R40,0)</f>
        <v>9.5000000000000001E-2</v>
      </c>
      <c r="H39" s="693" t="str">
        <f>IFERROR('Facility Master'!S40,"")</f>
        <v>TBD</v>
      </c>
      <c r="I39" s="618" t="str">
        <f>IFERROR('Facility Master'!AE40,"")</f>
        <v>HDFC Bank Offer Letter 26-Mar-2026, Ref CAM012101260020</v>
      </c>
    </row>
    <row r="40" spans="1:9" ht="19.5" customHeight="1" x14ac:dyDescent="0.3">
      <c r="A40" s="501">
        <f>IFERROR('Facility Master'!A41,"")</f>
        <v>37</v>
      </c>
      <c r="B40" s="654"/>
      <c r="C40" s="598" t="str">
        <f>IFERROR('Facility Master'!C41,"")</f>
        <v>SBLC (sub of LC)</v>
      </c>
      <c r="D40" s="501" t="str">
        <f>IFERROR('Facility Master'!I41,"")</f>
        <v>INR</v>
      </c>
      <c r="E40" s="598" t="str">
        <f>IFERROR('Facility Master'!P41,"")</f>
        <v>To be decided</v>
      </c>
      <c r="F40" s="260">
        <f>IFERROR('Facility Master'!Q41*10000,0)</f>
        <v>0</v>
      </c>
      <c r="G40" s="659">
        <f>IFERROR('Facility Master'!R41,0)</f>
        <v>9.5000000000000001E-2</v>
      </c>
      <c r="H40" s="671" t="str">
        <f>IFERROR('Facility Master'!S41,"")</f>
        <v>TBD</v>
      </c>
      <c r="I40" s="598" t="str">
        <f>IFERROR('Facility Master'!AE41,"")</f>
        <v>HDFC Bank Offer Letter 26-Mar-2026, Ref CAM012101260020</v>
      </c>
    </row>
    <row r="41" spans="1:9" ht="19.5" customHeight="1" x14ac:dyDescent="0.3">
      <c r="A41" s="611">
        <f>IFERROR('Facility Master'!A42,"")</f>
        <v>38</v>
      </c>
      <c r="B41" s="673"/>
      <c r="C41" s="618" t="str">
        <f>IFERROR('Facility Master'!C42,"")</f>
        <v>Cash Credit (sub of LC)</v>
      </c>
      <c r="D41" s="611" t="str">
        <f>IFERROR('Facility Master'!I42,"")</f>
        <v>INR</v>
      </c>
      <c r="E41" s="618" t="str">
        <f>IFERROR('Facility Master'!P42,"")</f>
        <v>14-day Repo (HDFC)</v>
      </c>
      <c r="F41" s="674">
        <f>IFERROR('Facility Master'!Q42*10000,0)</f>
        <v>0</v>
      </c>
      <c r="G41" s="616">
        <f>IFERROR('Facility Master'!R42,0)</f>
        <v>8.1500000000000003E-2</v>
      </c>
      <c r="H41" s="694" t="str">
        <f>IFERROR('Facility Master'!S42,"")</f>
        <v>Floating</v>
      </c>
      <c r="I41" s="618" t="str">
        <f>IFERROR('Facility Master'!AE42,"")</f>
        <v>HDFC Bank Offer Letter 26-Mar-2026, Ref CAM012101260020</v>
      </c>
    </row>
    <row r="42" spans="1:9" ht="19.5" customHeight="1" x14ac:dyDescent="0.3">
      <c r="A42" s="501">
        <f>IFERROR('Facility Master'!A43,"")</f>
        <v>39</v>
      </c>
      <c r="B42" s="654"/>
      <c r="C42" s="598" t="str">
        <f>IFERROR('Facility Master'!C43,"")</f>
        <v>WCDL (sub of LC)</v>
      </c>
      <c r="D42" s="501" t="str">
        <f>IFERROR('Facility Master'!I43,"")</f>
        <v>INR</v>
      </c>
      <c r="E42" s="598" t="str">
        <f>IFERROR('Facility Master'!P43,"")</f>
        <v>To be decided</v>
      </c>
      <c r="F42" s="260">
        <f>IFERROR('Facility Master'!Q43*10000,0)</f>
        <v>0</v>
      </c>
      <c r="G42" s="659">
        <f>IFERROR('Facility Master'!R43,0)</f>
        <v>9.5000000000000001E-2</v>
      </c>
      <c r="H42" s="671" t="str">
        <f>IFERROR('Facility Master'!S43,"")</f>
        <v>TBD</v>
      </c>
      <c r="I42" s="598" t="str">
        <f>IFERROR('Facility Master'!AE43,"")</f>
        <v>HDFC Bank Offer Letter 26-Mar-2026, Ref CAM012101260020</v>
      </c>
    </row>
    <row r="43" spans="1:9" ht="19.5" customHeight="1" x14ac:dyDescent="0.3">
      <c r="A43" s="611">
        <f>IFERROR('Facility Master'!A44,"")</f>
        <v>40</v>
      </c>
      <c r="B43" s="673"/>
      <c r="C43" s="618" t="str">
        <f>IFERROR('Facility Master'!C44,"")</f>
        <v>FD-OD (FD-Backed)</v>
      </c>
      <c r="D43" s="611" t="str">
        <f>IFERROR('Facility Master'!I44,"")</f>
        <v>INR</v>
      </c>
      <c r="E43" s="618" t="str">
        <f>IFERROR('Facility Master'!P44,"")</f>
        <v>FD Rate (HDFC)</v>
      </c>
      <c r="F43" s="674">
        <f>IFERROR('Facility Master'!Q44*10000,0)</f>
        <v>100</v>
      </c>
      <c r="G43" s="616">
        <f>IFERROR('Facility Master'!R44,0)</f>
        <v>0.08</v>
      </c>
      <c r="H43" s="694" t="str">
        <f>IFERROR('Facility Master'!S44,"")</f>
        <v>Floating</v>
      </c>
      <c r="I43" s="618" t="str">
        <f>IFERROR('Facility Master'!AE44,"")</f>
        <v>HDFC Bank Offer Letter 26-Mar-2026, Ref CAM012101260020</v>
      </c>
    </row>
    <row r="44" spans="1:9" ht="19.5" customHeight="1" x14ac:dyDescent="0.3">
      <c r="A44" s="481">
        <f>IFERROR('Facility Master'!A45,"")</f>
        <v>41</v>
      </c>
      <c r="B44" s="664" t="str">
        <f>IFERROR('Facility Master'!B45,"")</f>
        <v>HDFC Bank</v>
      </c>
      <c r="C44" s="695" t="str">
        <f>IFERROR('Facility Master'!C45,"")</f>
        <v>BG (sub of FD-OD)</v>
      </c>
      <c r="D44" s="481" t="str">
        <f>IFERROR('Facility Master'!I45,"")</f>
        <v>INR</v>
      </c>
      <c r="E44" s="610" t="str">
        <f>IFERROR('Facility Master'!P45,"")</f>
        <v>Fixed commission</v>
      </c>
      <c r="F44" s="665">
        <f>IFERROR('Facility Master'!Q45*10000,0)</f>
        <v>0</v>
      </c>
      <c r="G44" s="666">
        <f>IFERROR('Facility Master'!R45,0)</f>
        <v>0</v>
      </c>
      <c r="H44" s="667" t="str">
        <f>IFERROR('Facility Master'!S45,"")</f>
        <v>TBD</v>
      </c>
      <c r="I44" s="610" t="str">
        <f>IFERROR('Facility Master'!AE45,"")</f>
        <v>HDFC Bank Offer Letter 26-Mar-2026, Ref CAM012101260020</v>
      </c>
    </row>
    <row r="45" spans="1:9" ht="19.5" customHeight="1" x14ac:dyDescent="0.3">
      <c r="A45" s="481">
        <f>IFERROR('Facility Master'!A46,"")</f>
        <v>42</v>
      </c>
      <c r="B45" s="668"/>
      <c r="C45" s="695" t="str">
        <f>IFERROR('Facility Master'!C46,"")</f>
        <v>Term Loan, TAKEOVER of disbursed consortium</v>
      </c>
      <c r="D45" s="481" t="str">
        <f>IFERROR('Facility Master'!I46,"")</f>
        <v>INR</v>
      </c>
      <c r="E45" s="610" t="str">
        <f>IFERROR('Facility Master'!P46,"")</f>
        <v>3M I-MCLR (ICICI)</v>
      </c>
      <c r="F45" s="665">
        <f>IFERROR('Facility Master'!Q46*10000,0)</f>
        <v>60</v>
      </c>
      <c r="G45" s="489">
        <f>IFERROR('Facility Master'!R46,0)</f>
        <v>8.7000000000000008E-2</v>
      </c>
      <c r="H45" s="696" t="str">
        <f>IFERROR('Facility Master'!S46,"")</f>
        <v>Floating</v>
      </c>
      <c r="I45" s="610" t="str">
        <f>IFERROR('Facility Master'!AE46,"")</f>
        <v>ICICI TL CAL 27-Mar-2026, Ref CAL504005729787</v>
      </c>
    </row>
    <row r="46" spans="1:9" ht="19.5" customHeight="1" x14ac:dyDescent="0.3">
      <c r="A46" s="481">
        <f>IFERROR('Facility Master'!A47,"")</f>
        <v>43</v>
      </c>
      <c r="B46" s="668"/>
      <c r="C46" s="695" t="str">
        <f>IFERROR('Facility Master'!C47,"")</f>
        <v>BG Financial (sub of RTL)</v>
      </c>
      <c r="D46" s="481" t="str">
        <f>IFERROR('Facility Master'!I47,"")</f>
        <v>INR</v>
      </c>
      <c r="E46" s="610" t="str">
        <f>IFERROR('Facility Master'!P47,"")</f>
        <v>Fixed commission</v>
      </c>
      <c r="F46" s="665">
        <f>IFERROR('Facility Master'!Q47*10000,0)</f>
        <v>75</v>
      </c>
      <c r="G46" s="669">
        <f>IFERROR('Facility Master'!R47,0)</f>
        <v>7.4999999999999997E-3</v>
      </c>
      <c r="H46" s="670" t="str">
        <f>IFERROR('Facility Master'!S47,"")</f>
        <v>Fixed</v>
      </c>
      <c r="I46" s="610" t="str">
        <f>IFERROR('Facility Master'!AE47,"")</f>
        <v>ICICI TL CAL 27-Mar-2026, Ref CAL504005729787</v>
      </c>
    </row>
    <row r="47" spans="1:9" ht="19.5" customHeight="1" x14ac:dyDescent="0.3">
      <c r="A47" s="481">
        <f>IFERROR('Facility Master'!A48,"")</f>
        <v>44</v>
      </c>
      <c r="B47" s="668"/>
      <c r="C47" s="695" t="str">
        <f>IFERROR('Facility Master'!C48,"")</f>
        <v>SBLC Buyers Credit (sub of RTL)</v>
      </c>
      <c r="D47" s="481" t="str">
        <f>IFERROR('Facility Master'!I48,"")</f>
        <v>INR</v>
      </c>
      <c r="E47" s="610" t="str">
        <f>IFERROR('Facility Master'!P48,"")</f>
        <v>Fixed commission</v>
      </c>
      <c r="F47" s="665">
        <f>IFERROR('Facility Master'!Q48*10000,0)</f>
        <v>75</v>
      </c>
      <c r="G47" s="669">
        <f>IFERROR('Facility Master'!R48,0)</f>
        <v>7.4999999999999997E-3</v>
      </c>
      <c r="H47" s="670" t="str">
        <f>IFERROR('Facility Master'!S48,"")</f>
        <v>Fixed</v>
      </c>
      <c r="I47" s="610" t="str">
        <f>IFERROR('Facility Master'!AE48,"")</f>
        <v>ICICI TL CAL 27-Mar-2026, Ref CAL504005729787</v>
      </c>
    </row>
    <row r="48" spans="1:9" ht="7.5" customHeight="1" x14ac:dyDescent="0.3">
      <c r="A48" s="320"/>
      <c r="B48" s="320"/>
      <c r="C48" s="320"/>
      <c r="D48" s="320"/>
      <c r="E48" s="320"/>
      <c r="F48" s="320"/>
      <c r="G48" s="320"/>
      <c r="H48" s="320"/>
      <c r="I48" s="320"/>
    </row>
    <row r="49" spans="1:9" ht="25.5" customHeight="1" x14ac:dyDescent="0.3">
      <c r="A49" s="15" t="s">
        <v>722</v>
      </c>
      <c r="B49" s="15"/>
      <c r="C49" s="15"/>
      <c r="D49" s="15"/>
      <c r="E49" s="15"/>
      <c r="F49" s="15"/>
      <c r="G49" s="15"/>
      <c r="H49" s="15"/>
      <c r="I49" s="15"/>
    </row>
    <row r="50" spans="1:9" ht="21.75" customHeight="1" x14ac:dyDescent="0.3">
      <c r="A50" s="299" t="s">
        <v>121</v>
      </c>
      <c r="B50" s="338" t="s">
        <v>72</v>
      </c>
      <c r="C50" s="338" t="s">
        <v>334</v>
      </c>
      <c r="D50" s="299" t="s">
        <v>590</v>
      </c>
      <c r="E50" s="299" t="s">
        <v>723</v>
      </c>
      <c r="F50" s="299" t="s">
        <v>724</v>
      </c>
      <c r="G50" s="299" t="s">
        <v>348</v>
      </c>
      <c r="H50" s="299"/>
      <c r="I50" s="299"/>
    </row>
    <row r="51" spans="1:9" ht="21.75" customHeight="1" x14ac:dyDescent="0.3">
      <c r="A51" s="697" t="s">
        <v>725</v>
      </c>
      <c r="B51" s="698" t="s">
        <v>726</v>
      </c>
      <c r="C51" s="698"/>
      <c r="D51" s="699">
        <f>'Interest Schedule'!C52</f>
        <v>4116</v>
      </c>
      <c r="E51" s="698"/>
      <c r="F51" s="698"/>
      <c r="G51" s="698"/>
      <c r="H51" s="698"/>
      <c r="I51" s="698"/>
    </row>
    <row r="52" spans="1:9" ht="21.75" customHeight="1" x14ac:dyDescent="0.3">
      <c r="A52" s="697" t="s">
        <v>725</v>
      </c>
      <c r="B52" s="698" t="s">
        <v>727</v>
      </c>
      <c r="C52" s="698"/>
      <c r="D52" s="700">
        <f>'Interest Schedule'!D52</f>
        <v>376.61099999999999</v>
      </c>
      <c r="E52" s="698"/>
      <c r="F52" s="698"/>
      <c r="G52" s="698"/>
      <c r="H52" s="698"/>
      <c r="I52" s="698"/>
    </row>
    <row r="53" spans="1:9" ht="25.5" customHeight="1" x14ac:dyDescent="0.3">
      <c r="A53" s="701" t="s">
        <v>707</v>
      </c>
      <c r="B53" s="15" t="s">
        <v>728</v>
      </c>
      <c r="C53" s="15"/>
      <c r="D53" s="15"/>
      <c r="E53" s="702">
        <f>'Interest Schedule'!C59</f>
        <v>9.1499271137026231E-2</v>
      </c>
      <c r="F53" s="15"/>
      <c r="G53" s="15"/>
      <c r="H53" s="15"/>
      <c r="I53" s="15"/>
    </row>
    <row r="55" spans="1:9" ht="21.75" customHeight="1" x14ac:dyDescent="0.3">
      <c r="A55" s="643" t="s">
        <v>729</v>
      </c>
      <c r="B55" s="643"/>
      <c r="C55" s="643"/>
      <c r="D55" s="643"/>
      <c r="E55" s="643"/>
      <c r="F55" s="643"/>
      <c r="G55" s="643"/>
      <c r="H55" s="643"/>
      <c r="I55" s="643"/>
    </row>
    <row r="56" spans="1:9" ht="18" customHeight="1" x14ac:dyDescent="0.3">
      <c r="B56" s="703" t="s">
        <v>369</v>
      </c>
      <c r="C56" s="704" t="s">
        <v>730</v>
      </c>
      <c r="D56" s="476"/>
      <c r="E56" s="476"/>
      <c r="F56" s="476"/>
      <c r="G56" s="476"/>
      <c r="H56" s="476"/>
      <c r="I56" s="476"/>
    </row>
    <row r="57" spans="1:9" ht="18" customHeight="1" x14ac:dyDescent="0.3">
      <c r="B57" s="705" t="s">
        <v>384</v>
      </c>
      <c r="C57" s="704" t="s">
        <v>731</v>
      </c>
      <c r="D57" s="476"/>
      <c r="E57" s="476"/>
      <c r="F57" s="476"/>
      <c r="G57" s="476"/>
      <c r="H57" s="476"/>
      <c r="I57" s="476"/>
    </row>
    <row r="58" spans="1:9" ht="18" customHeight="1" x14ac:dyDescent="0.3">
      <c r="B58" s="706" t="s">
        <v>409</v>
      </c>
      <c r="C58" s="704" t="s">
        <v>732</v>
      </c>
      <c r="D58" s="476"/>
      <c r="E58" s="476"/>
      <c r="F58" s="476"/>
      <c r="G58" s="476"/>
      <c r="H58" s="476"/>
      <c r="I58" s="476"/>
    </row>
    <row r="59" spans="1:9" ht="14.25" hidden="1" customHeight="1" x14ac:dyDescent="0.3"/>
    <row r="60" spans="1:9" ht="14.25" hidden="1" customHeight="1" x14ac:dyDescent="0.3"/>
    <row r="61" spans="1:9" ht="14.25" hidden="1" customHeight="1" x14ac:dyDescent="0.3"/>
    <row r="62" spans="1:9" ht="14.25" hidden="1" customHeight="1" x14ac:dyDescent="0.3"/>
    <row r="63" spans="1:9" ht="14.25" hidden="1" customHeight="1" x14ac:dyDescent="0.3"/>
    <row r="64" spans="1:9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AD47"/>
  </sheetPr>
  <dimension ref="A1:L200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4" sqref="D4"/>
    </sheetView>
  </sheetViews>
  <sheetFormatPr defaultColWidth="8.6640625" defaultRowHeight="14.4" x14ac:dyDescent="0.3"/>
  <cols>
    <col min="1" max="1" width="20.33203125" customWidth="1"/>
    <col min="2" max="2" width="88.88671875" customWidth="1"/>
    <col min="3" max="3" width="14.77734375" customWidth="1"/>
    <col min="4" max="4" width="29.6640625" customWidth="1"/>
    <col min="5" max="5" width="33.33203125" customWidth="1"/>
    <col min="6" max="6" width="59.21875" customWidth="1"/>
    <col min="7" max="12" width="11.5546875" hidden="1" customWidth="1"/>
  </cols>
  <sheetData>
    <row r="1" spans="1:6" ht="27.75" customHeight="1" x14ac:dyDescent="0.3">
      <c r="A1" s="14" t="s">
        <v>733</v>
      </c>
      <c r="B1" s="14"/>
      <c r="C1" s="14"/>
      <c r="D1" s="14"/>
      <c r="E1" s="14"/>
      <c r="F1" s="14"/>
    </row>
    <row r="2" spans="1:6" ht="15.75" customHeight="1" x14ac:dyDescent="0.3">
      <c r="A2" s="13" t="s">
        <v>734</v>
      </c>
      <c r="B2" s="13"/>
      <c r="C2" s="13"/>
      <c r="D2" s="13"/>
      <c r="E2" s="13"/>
      <c r="F2" s="13"/>
    </row>
    <row r="3" spans="1:6" ht="24" customHeight="1" x14ac:dyDescent="0.3">
      <c r="A3" s="707" t="s">
        <v>72</v>
      </c>
      <c r="B3" s="708" t="s">
        <v>735</v>
      </c>
      <c r="C3" s="708" t="s">
        <v>73</v>
      </c>
      <c r="D3" s="707" t="s">
        <v>736</v>
      </c>
      <c r="E3" s="707" t="s">
        <v>737</v>
      </c>
      <c r="F3" s="707" t="s">
        <v>738</v>
      </c>
    </row>
    <row r="4" spans="1:6" ht="78" customHeight="1" x14ac:dyDescent="0.3">
      <c r="A4" s="709" t="s">
        <v>77</v>
      </c>
      <c r="B4" s="710">
        <f>COUNTIFS('Facility Master'!B:B,"UBI",'Facility Master'!H:H,"&lt;&gt;0")</f>
        <v>3</v>
      </c>
      <c r="C4" s="711">
        <f>SUMIFS('Facility Master'!K:K,'Facility Master'!B:B,"UBI")-SUMIFS('Facility Master'!K:K,'Facility Master'!B:B,"UBI",'Facility Master'!D:D,"Hedge")</f>
        <v>2123.5</v>
      </c>
      <c r="D4" s="712" t="s">
        <v>739</v>
      </c>
      <c r="E4" s="713" t="s">
        <v>740</v>
      </c>
      <c r="F4" s="714" t="s">
        <v>741</v>
      </c>
    </row>
    <row r="5" spans="1:6" ht="78" customHeight="1" x14ac:dyDescent="0.3">
      <c r="A5" s="715" t="s">
        <v>78</v>
      </c>
      <c r="B5" s="716">
        <f>COUNTIFS('Facility Master'!B:B,"Indian Bank",'Facility Master'!H:H,"&lt;&gt;0")</f>
        <v>1</v>
      </c>
      <c r="C5" s="717">
        <f>SUMIFS('Facility Master'!K:K,'Facility Master'!B:B,"Indian Bank")-SUMIFS('Facility Master'!K:K,'Facility Master'!B:B,"Indian Bank",'Facility Master'!D:D,"Hedge")</f>
        <v>235</v>
      </c>
      <c r="D5" s="718" t="s">
        <v>742</v>
      </c>
      <c r="E5" s="719" t="s">
        <v>743</v>
      </c>
      <c r="F5" s="720" t="s">
        <v>744</v>
      </c>
    </row>
    <row r="6" spans="1:6" ht="78" customHeight="1" x14ac:dyDescent="0.3">
      <c r="A6" s="721" t="s">
        <v>79</v>
      </c>
      <c r="B6" s="722">
        <f>COUNTIFS('Facility Master'!B:B,"RBL Bank",'Facility Master'!H:H,"&lt;&gt;0")</f>
        <v>2</v>
      </c>
      <c r="C6" s="723">
        <f>SUMIFS('Facility Master'!K:K,'Facility Master'!B:B,"RBL Bank")-SUMIFS('Facility Master'!K:K,'Facility Master'!B:B,"RBL Bank",'Facility Master'!D:D,"Hedge")</f>
        <v>500</v>
      </c>
      <c r="D6" s="446" t="s">
        <v>745</v>
      </c>
      <c r="E6" s="724" t="s">
        <v>746</v>
      </c>
      <c r="F6" s="725" t="s">
        <v>747</v>
      </c>
    </row>
    <row r="7" spans="1:6" ht="78" customHeight="1" x14ac:dyDescent="0.3">
      <c r="A7" s="709" t="s">
        <v>80</v>
      </c>
      <c r="B7" s="710">
        <f>COUNTIFS('Facility Master'!B:B,"YES Bank",'Facility Master'!H:H,"&lt;&gt;0")</f>
        <v>1</v>
      </c>
      <c r="C7" s="711">
        <f>SUMIFS('Facility Master'!K:K,'Facility Master'!B:B,"YES Bank")-SUMIFS('Facility Master'!K:K,'Facility Master'!B:B,"YES Bank",'Facility Master'!D:D,"Hedge")</f>
        <v>750</v>
      </c>
      <c r="D7" s="712" t="s">
        <v>748</v>
      </c>
      <c r="E7" s="713" t="s">
        <v>749</v>
      </c>
      <c r="F7" s="714" t="s">
        <v>750</v>
      </c>
    </row>
    <row r="8" spans="1:6" ht="78" customHeight="1" x14ac:dyDescent="0.3">
      <c r="A8" s="715" t="s">
        <v>81</v>
      </c>
      <c r="B8" s="716">
        <f>COUNTIFS('Facility Master'!B:B,"IDFC First Bank",'Facility Master'!H:H,"&lt;&gt;0")</f>
        <v>1</v>
      </c>
      <c r="C8" s="717">
        <f>SUMIFS('Facility Master'!K:K,'Facility Master'!B:B,"IDFC First Bank")-SUMIFS('Facility Master'!K:K,'Facility Master'!B:B,"IDFC First Bank",'Facility Master'!D:D,"Hedge")</f>
        <v>1130</v>
      </c>
      <c r="D8" s="718" t="s">
        <v>751</v>
      </c>
      <c r="E8" s="719" t="s">
        <v>752</v>
      </c>
      <c r="F8" s="720" t="s">
        <v>753</v>
      </c>
    </row>
    <row r="9" spans="1:6" ht="78" customHeight="1" x14ac:dyDescent="0.3">
      <c r="A9" s="709" t="s">
        <v>245</v>
      </c>
      <c r="B9" s="710">
        <f>COUNTIFS('Facility Master'!B:B,"ICICI Bank",'Facility Master'!H:H,"&lt;&gt;0")</f>
        <v>2</v>
      </c>
      <c r="C9" s="711">
        <f>SUMIFS('Facility Master'!K:K,'Facility Master'!B:B,"ICICI Bank")-SUMIFS('Facility Master'!K:K,'Facility Master'!B:B,"ICICI Bank",'Facility Master'!D:D,"Hedge")</f>
        <v>800</v>
      </c>
      <c r="D9" s="712" t="s">
        <v>748</v>
      </c>
      <c r="E9" s="713" t="s">
        <v>754</v>
      </c>
      <c r="F9" s="714" t="s">
        <v>755</v>
      </c>
    </row>
    <row r="10" spans="1:6" ht="78" customHeight="1" x14ac:dyDescent="0.3">
      <c r="A10" s="726" t="s">
        <v>175</v>
      </c>
      <c r="B10" s="727">
        <f>COUNTIFS('Facility Master'!B:B,"HSBC",'Facility Master'!H:H,"&lt;&gt;0")</f>
        <v>1</v>
      </c>
      <c r="C10" s="728">
        <f>SUMIFS('Facility Master'!K:K,'Facility Master'!B:B,"HSBC")-SUMIFS('Facility Master'!K:K,'Facility Master'!B:B,"HSBC",'Facility Master'!D:D,"Hedge")</f>
        <v>757.572</v>
      </c>
      <c r="D10" s="428" t="s">
        <v>756</v>
      </c>
      <c r="E10" s="729" t="s">
        <v>757</v>
      </c>
      <c r="F10" s="730" t="s">
        <v>758</v>
      </c>
    </row>
    <row r="11" spans="1:6" ht="78" customHeight="1" x14ac:dyDescent="0.3">
      <c r="A11" s="731" t="s">
        <v>84</v>
      </c>
      <c r="B11" s="716">
        <f>COUNTIFS('Facility Master'!B:B,"HDFC Bank",'Facility Master'!H:H,"&lt;&gt;0")</f>
        <v>2</v>
      </c>
      <c r="C11" s="717">
        <f>SUMIFS('Facility Master'!K:K,'Facility Master'!B:B,"HDFC Bank")-SUMIFS('Facility Master'!K:K,'Facility Master'!B:B,"HDFC Bank",'Facility Master'!D:D,"Hedge")</f>
        <v>1000</v>
      </c>
      <c r="D11" s="718" t="s">
        <v>759</v>
      </c>
      <c r="E11" s="732" t="s">
        <v>760</v>
      </c>
      <c r="F11" s="720" t="s">
        <v>761</v>
      </c>
    </row>
    <row r="12" spans="1:6" ht="78" customHeight="1" x14ac:dyDescent="0.3">
      <c r="A12" s="733" t="s">
        <v>85</v>
      </c>
      <c r="B12" s="722">
        <f>COUNTIFS('Facility Master'!B:B,"ICICI Bank (TL)",'Facility Master'!H:H,"&lt;&gt;0")</f>
        <v>1</v>
      </c>
      <c r="C12" s="723">
        <f>SUMIFS('Facility Master'!K:K,'Facility Master'!B:B,"ICICI Bank (TL)")-SUMIFS('Facility Master'!K:K,'Facility Master'!B:B,"ICICI Bank (TL)",'Facility Master'!D:D,"Hedge")</f>
        <v>880</v>
      </c>
      <c r="D12" s="446" t="s">
        <v>759</v>
      </c>
      <c r="E12" s="734" t="s">
        <v>752</v>
      </c>
      <c r="F12" s="725" t="s">
        <v>762</v>
      </c>
    </row>
    <row r="13" spans="1:6" ht="9.75" customHeight="1" x14ac:dyDescent="0.3">
      <c r="A13" s="320"/>
      <c r="B13" s="320"/>
      <c r="C13" s="320"/>
      <c r="D13" s="320"/>
      <c r="E13" s="320"/>
      <c r="F13" s="320"/>
    </row>
    <row r="14" spans="1:6" ht="24" customHeight="1" x14ac:dyDescent="0.3">
      <c r="A14" s="15" t="s">
        <v>763</v>
      </c>
      <c r="B14" s="15"/>
      <c r="C14" s="15"/>
      <c r="D14" s="15"/>
      <c r="E14" s="15"/>
      <c r="F14" s="15"/>
    </row>
    <row r="15" spans="1:6" ht="30" customHeight="1" x14ac:dyDescent="0.3">
      <c r="A15" s="735" t="s">
        <v>764</v>
      </c>
      <c r="B15" s="736" t="s">
        <v>765</v>
      </c>
      <c r="C15" s="737"/>
      <c r="D15" s="737"/>
      <c r="E15" s="737"/>
      <c r="F15" s="737"/>
    </row>
    <row r="16" spans="1:6" ht="30" customHeight="1" x14ac:dyDescent="0.3">
      <c r="A16" s="738" t="s">
        <v>766</v>
      </c>
      <c r="B16" s="739" t="s">
        <v>767</v>
      </c>
      <c r="C16" s="740"/>
      <c r="D16" s="740"/>
      <c r="E16" s="740"/>
      <c r="F16" s="740"/>
    </row>
    <row r="17" spans="1:6" ht="30" customHeight="1" x14ac:dyDescent="0.3">
      <c r="A17" s="738" t="s">
        <v>768</v>
      </c>
      <c r="B17" s="739" t="s">
        <v>769</v>
      </c>
      <c r="C17" s="740"/>
      <c r="D17" s="740"/>
      <c r="E17" s="740"/>
      <c r="F17" s="740"/>
    </row>
    <row r="18" spans="1:6" ht="30" customHeight="1" x14ac:dyDescent="0.3">
      <c r="A18" s="741" t="s">
        <v>770</v>
      </c>
      <c r="B18" s="742" t="s">
        <v>771</v>
      </c>
      <c r="C18" s="743"/>
      <c r="D18" s="743"/>
      <c r="E18" s="743"/>
      <c r="F18" s="743"/>
    </row>
    <row r="19" spans="1:6" ht="30" customHeight="1" x14ac:dyDescent="0.3">
      <c r="A19" s="744" t="s">
        <v>772</v>
      </c>
      <c r="B19" s="745" t="s">
        <v>773</v>
      </c>
      <c r="C19" s="480"/>
      <c r="D19" s="480"/>
      <c r="E19" s="480"/>
      <c r="F19" s="480"/>
    </row>
    <row r="20" spans="1:6" ht="14.25" hidden="1" customHeight="1" x14ac:dyDescent="0.3"/>
    <row r="21" spans="1:6" ht="14.25" hidden="1" customHeight="1" x14ac:dyDescent="0.3"/>
    <row r="22" spans="1:6" ht="14.25" hidden="1" customHeight="1" x14ac:dyDescent="0.3"/>
    <row r="23" spans="1:6" ht="14.25" hidden="1" customHeight="1" x14ac:dyDescent="0.3"/>
    <row r="24" spans="1:6" ht="14.25" hidden="1" customHeight="1" x14ac:dyDescent="0.3"/>
    <row r="25" spans="1:6" ht="14.25" hidden="1" customHeight="1" x14ac:dyDescent="0.3"/>
    <row r="26" spans="1:6" ht="14.25" hidden="1" customHeight="1" x14ac:dyDescent="0.3"/>
    <row r="27" spans="1:6" ht="14.25" hidden="1" customHeight="1" x14ac:dyDescent="0.3"/>
    <row r="28" spans="1:6" ht="14.25" hidden="1" customHeight="1" x14ac:dyDescent="0.3"/>
    <row r="29" spans="1:6" ht="14.25" hidden="1" customHeight="1" x14ac:dyDescent="0.3"/>
    <row r="30" spans="1:6" ht="14.25" hidden="1" customHeight="1" x14ac:dyDescent="0.3"/>
    <row r="31" spans="1:6" ht="14.25" hidden="1" customHeight="1" x14ac:dyDescent="0.3"/>
    <row r="32" spans="1:6" ht="14.25" hidden="1" customHeight="1" x14ac:dyDescent="0.3"/>
    <row r="33" ht="14.25" hidden="1" customHeight="1" x14ac:dyDescent="0.3"/>
    <row r="34" ht="14.25" hidden="1" customHeight="1" x14ac:dyDescent="0.3"/>
    <row r="35" ht="14.25" hidden="1" customHeight="1" x14ac:dyDescent="0.3"/>
    <row r="36" ht="14.25" hidden="1" customHeight="1" x14ac:dyDescent="0.3"/>
    <row r="37" ht="14.25" hidden="1" customHeight="1" x14ac:dyDescent="0.3"/>
    <row r="38" ht="14.25" hidden="1" customHeight="1" x14ac:dyDescent="0.3"/>
    <row r="39" ht="14.25" hidden="1" customHeight="1" x14ac:dyDescent="0.3"/>
    <row r="40" ht="14.25" hidden="1" customHeight="1" x14ac:dyDescent="0.3"/>
    <row r="41" ht="14.25" hidden="1" customHeight="1" x14ac:dyDescent="0.3"/>
    <row r="42" ht="14.25" hidden="1" customHeight="1" x14ac:dyDescent="0.3"/>
    <row r="43" ht="14.25" hidden="1" customHeight="1" x14ac:dyDescent="0.3"/>
    <row r="44" ht="14.25" hidden="1" customHeight="1" x14ac:dyDescent="0.3"/>
    <row r="45" ht="14.25" hidden="1" customHeight="1" x14ac:dyDescent="0.3"/>
    <row r="46" ht="14.25" hidden="1" customHeight="1" x14ac:dyDescent="0.3"/>
    <row r="47" ht="14.25" hidden="1" customHeight="1" x14ac:dyDescent="0.3"/>
    <row r="48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AD47"/>
  </sheetPr>
  <dimension ref="A1:N20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defaultColWidth="8.6640625" defaultRowHeight="14.4" x14ac:dyDescent="0.3"/>
  <cols>
    <col min="1" max="1" width="6.44140625" customWidth="1"/>
    <col min="2" max="2" width="18.5546875" customWidth="1"/>
    <col min="3" max="3" width="42.5546875" customWidth="1"/>
    <col min="4" max="5" width="14.77734375" customWidth="1"/>
    <col min="6" max="6" width="10.21875" customWidth="1"/>
    <col min="7" max="7" width="18.5546875" customWidth="1"/>
    <col min="8" max="8" width="13.88671875" customWidth="1"/>
    <col min="9" max="9" width="18.5546875" customWidth="1"/>
    <col min="10" max="14" width="11.5546875" hidden="1" customWidth="1"/>
  </cols>
  <sheetData>
    <row r="1" spans="1:9" ht="27.75" customHeight="1" x14ac:dyDescent="0.3">
      <c r="A1" s="14" t="s">
        <v>774</v>
      </c>
      <c r="B1" s="14"/>
      <c r="C1" s="14"/>
      <c r="D1" s="14"/>
      <c r="E1" s="14"/>
      <c r="F1" s="14"/>
      <c r="G1" s="14"/>
      <c r="H1" s="14"/>
      <c r="I1" s="14"/>
    </row>
    <row r="2" spans="1:9" ht="15.75" customHeight="1" x14ac:dyDescent="0.3">
      <c r="A2" s="13" t="s">
        <v>775</v>
      </c>
      <c r="B2" s="13"/>
      <c r="C2" s="13"/>
      <c r="D2" s="13"/>
      <c r="E2" s="13"/>
      <c r="F2" s="13"/>
      <c r="G2" s="13"/>
      <c r="H2" s="13"/>
      <c r="I2" s="13"/>
    </row>
    <row r="3" spans="1:9" ht="24" customHeight="1" x14ac:dyDescent="0.3">
      <c r="A3" s="708" t="s">
        <v>121</v>
      </c>
      <c r="B3" s="707" t="s">
        <v>72</v>
      </c>
      <c r="C3" s="707" t="s">
        <v>334</v>
      </c>
      <c r="D3" s="708" t="s">
        <v>590</v>
      </c>
      <c r="E3" s="708" t="s">
        <v>693</v>
      </c>
      <c r="F3" s="708" t="s">
        <v>344</v>
      </c>
      <c r="G3" s="708" t="s">
        <v>126</v>
      </c>
      <c r="H3" s="708" t="s">
        <v>776</v>
      </c>
      <c r="I3" s="708" t="s">
        <v>777</v>
      </c>
    </row>
    <row r="4" spans="1:9" ht="19.5" customHeight="1" x14ac:dyDescent="0.3">
      <c r="A4" s="589">
        <f>IFERROR('Facility Master'!A5,"")</f>
        <v>1</v>
      </c>
      <c r="B4" s="590" t="str">
        <f>IFERROR('Facility Master'!B5,"")</f>
        <v>UBI</v>
      </c>
      <c r="C4" s="591" t="str">
        <f>IFERROR('Facility Master'!C5,"")</f>
        <v>RTL-I (renewal)</v>
      </c>
      <c r="D4" s="593">
        <f>IFERROR('Facility Master'!K5,0)</f>
        <v>1125</v>
      </c>
      <c r="E4" s="593">
        <f>IFERROR('Facility Master'!M5,0)</f>
        <v>1125</v>
      </c>
      <c r="F4" s="746">
        <f>IFERROR('Facility Master'!N5,0)</f>
        <v>1</v>
      </c>
      <c r="G4" s="747" t="str">
        <f t="shared" ref="G4:G47" si="0">IFERROR(IF(F4&gt;0.9,"High (&gt;90%)",IF(F4&gt;0.75,"Elevated (75-90%)",IF(F4&gt;0,"Normal","Unutilised"))),"")</f>
        <v>High (&gt;90%)</v>
      </c>
      <c r="H4" s="748">
        <f>IFERROR(IF('Facility Master'!D5="FB-Term",IF('Facility Master'!Z5="","-",'Facility Master'!Z5-AsOfDate),IF('Facility Master'!AB5="","-",'Facility Master'!AB5-AsOfDate)),"-")</f>
        <v>4706</v>
      </c>
      <c r="I4" s="749" t="str">
        <f>IFERROR(IF('Facility Master'!D5="FB-Term",IF('Facility Master'!Z5="","No Maturity",IF(H4&lt;=180,"Maturing (&lt;=180d)",IF(H4&lt;=365,"Maturing (&lt;=1yr)","TL, On Schedule"))),IF('Facility Master'!AB5="","No Validity",IF(H4&lt;=30,"Expiring (&lt;=30d)",IF(H4&lt;=60,"Due for Review (&lt;=60d)","OK")))),"")</f>
        <v>TL, On Schedule</v>
      </c>
    </row>
    <row r="5" spans="1:9" ht="19.5" customHeight="1" x14ac:dyDescent="0.3">
      <c r="A5" s="491">
        <f>IFERROR('Facility Master'!A6,"")</f>
        <v>2</v>
      </c>
      <c r="B5" s="537"/>
      <c r="C5" s="493" t="str">
        <f>IFERROR('Facility Master'!C6,"")</f>
        <v>RTL-II (fresh)</v>
      </c>
      <c r="D5" s="495">
        <f>IFERROR('Facility Master'!K6,0)</f>
        <v>236</v>
      </c>
      <c r="E5" s="495">
        <f>IFERROR('Facility Master'!M6,0)</f>
        <v>236</v>
      </c>
      <c r="F5" s="496">
        <f>IFERROR('Facility Master'!N6,0)</f>
        <v>1</v>
      </c>
      <c r="G5" s="747" t="str">
        <f t="shared" si="0"/>
        <v>High (&gt;90%)</v>
      </c>
      <c r="H5" s="750">
        <f>IFERROR(IF('Facility Master'!D6="FB-Term",IF('Facility Master'!Z6="","-",'Facility Master'!Z6-AsOfDate),IF('Facility Master'!AB6="","-",'Facility Master'!AB6-AsOfDate)),"-")</f>
        <v>4706</v>
      </c>
      <c r="I5" s="749" t="str">
        <f>IFERROR(IF('Facility Master'!D6="FB-Term",IF('Facility Master'!Z6="","No Maturity",IF(H5&lt;=180,"Maturing (&lt;=180d)",IF(H5&lt;=365,"Maturing (&lt;=1yr)","TL, On Schedule"))),IF('Facility Master'!AB6="","No Validity",IF(H5&lt;=30,"Expiring (&lt;=30d)",IF(H5&lt;=60,"Due for Review (&lt;=60d)","OK")))),"")</f>
        <v>TL, On Schedule</v>
      </c>
    </row>
    <row r="6" spans="1:9" ht="19.5" customHeight="1" x14ac:dyDescent="0.3">
      <c r="A6" s="501">
        <f>IFERROR('Facility Master'!A7,"")</f>
        <v>3</v>
      </c>
      <c r="B6" s="243"/>
      <c r="C6" s="244" t="str">
        <f>IFERROR('Facility Master'!C7,"")</f>
        <v>Letter of Credit (Capex LC/UPAS/SBLC)</v>
      </c>
      <c r="D6" s="503">
        <f>IFERROR('Facility Master'!K7,0)</f>
        <v>750</v>
      </c>
      <c r="E6" s="503">
        <f>IFERROR('Facility Master'!M7,0)</f>
        <v>750</v>
      </c>
      <c r="F6" s="504">
        <f>IFERROR('Facility Master'!N7,0)</f>
        <v>1</v>
      </c>
      <c r="G6" s="747" t="str">
        <f t="shared" si="0"/>
        <v>High (&gt;90%)</v>
      </c>
      <c r="H6" s="260">
        <f>IFERROR(IF('Facility Master'!D7="FB-Term",IF('Facility Master'!Z7="","-",'Facility Master'!Z7-AsOfDate),IF('Facility Master'!AB7="","-",'Facility Master'!AB7-AsOfDate)),"-")</f>
        <v>130</v>
      </c>
      <c r="I6" s="248" t="str">
        <f>IFERROR(IF('Facility Master'!D7="FB-Term",IF('Facility Master'!Z7="","No Maturity",IF(H6&lt;=180,"Maturing (&lt;=180d)",IF(H6&lt;=365,"Maturing (&lt;=1yr)","TL, On Schedule"))),IF('Facility Master'!AB7="","No Validity",IF(H6&lt;=30,"Expiring (&lt;=30d)",IF(H6&lt;=60,"Due for Review (&lt;=60d)","OK")))),"")</f>
        <v>OK</v>
      </c>
    </row>
    <row r="7" spans="1:9" ht="19.5" customHeight="1" x14ac:dyDescent="0.3">
      <c r="A7" s="491">
        <f>IFERROR('Facility Master'!A8,"")</f>
        <v>4</v>
      </c>
      <c r="B7" s="537"/>
      <c r="C7" s="493" t="str">
        <f>IFERROR('Facility Master'!C8,"")</f>
        <v>Bank Guarantee</v>
      </c>
      <c r="D7" s="495">
        <f>IFERROR('Facility Master'!K8,0)</f>
        <v>12.5</v>
      </c>
      <c r="E7" s="495">
        <f>IFERROR('Facility Master'!M8,0)</f>
        <v>12.5</v>
      </c>
      <c r="F7" s="496">
        <f>IFERROR('Facility Master'!N8,0)</f>
        <v>1</v>
      </c>
      <c r="G7" s="747" t="str">
        <f t="shared" si="0"/>
        <v>High (&gt;90%)</v>
      </c>
      <c r="H7" s="652">
        <f>IFERROR(IF('Facility Master'!D8="FB-Term",IF('Facility Master'!Z8="","-",'Facility Master'!Z8-AsOfDate),IF('Facility Master'!AB8="","-",'Facility Master'!AB8-AsOfDate)),"-")</f>
        <v>130</v>
      </c>
      <c r="I7" s="248" t="str">
        <f>IFERROR(IF('Facility Master'!D8="FB-Term",IF('Facility Master'!Z8="","No Maturity",IF(H7&lt;=180,"Maturing (&lt;=180d)",IF(H7&lt;=365,"Maturing (&lt;=1yr)","TL, On Schedule"))),IF('Facility Master'!AB8="","No Validity",IF(H7&lt;=30,"Expiring (&lt;=30d)",IF(H7&lt;=60,"Due for Review (&lt;=60d)","OK")))),"")</f>
        <v>OK</v>
      </c>
    </row>
    <row r="8" spans="1:9" ht="19.5" customHeight="1" x14ac:dyDescent="0.3">
      <c r="A8" s="501">
        <f>IFERROR('Facility Master'!A9,"")</f>
        <v>5</v>
      </c>
      <c r="B8" s="243"/>
      <c r="C8" s="244" t="str">
        <f>IFERROR('Facility Master'!C9,"")</f>
        <v>Forward Contract (credit equivalent)</v>
      </c>
      <c r="D8" s="503">
        <f>IFERROR('Facility Master'!K9,0)</f>
        <v>75</v>
      </c>
      <c r="E8" s="503">
        <f>IFERROR('Facility Master'!M9,0)</f>
        <v>75</v>
      </c>
      <c r="F8" s="504">
        <f>IFERROR('Facility Master'!N9,0)</f>
        <v>1</v>
      </c>
      <c r="G8" s="747" t="str">
        <f t="shared" si="0"/>
        <v>High (&gt;90%)</v>
      </c>
      <c r="H8" s="260">
        <f>IFERROR(IF('Facility Master'!D9="FB-Term",IF('Facility Master'!Z9="","-",'Facility Master'!Z9-AsOfDate),IF('Facility Master'!AB9="","-",'Facility Master'!AB9-AsOfDate)),"-")</f>
        <v>130</v>
      </c>
      <c r="I8" s="248" t="str">
        <f>IFERROR(IF('Facility Master'!D9="FB-Term",IF('Facility Master'!Z9="","No Maturity",IF(H8&lt;=180,"Maturing (&lt;=180d)",IF(H8&lt;=365,"Maturing (&lt;=1yr)","TL, On Schedule"))),IF('Facility Master'!AB9="","No Validity",IF(H8&lt;=30,"Expiring (&lt;=30d)",IF(H8&lt;=60,"Due for Review (&lt;=60d)","OK")))),"")</f>
        <v>OK</v>
      </c>
    </row>
    <row r="9" spans="1:9" ht="19.5" customHeight="1" x14ac:dyDescent="0.3">
      <c r="A9" s="601">
        <f>IFERROR('Facility Master'!A10,"")</f>
        <v>6</v>
      </c>
      <c r="B9" s="602" t="str">
        <f>IFERROR('Facility Master'!B10,"")</f>
        <v>Indian Bank</v>
      </c>
      <c r="C9" s="603" t="str">
        <f>IFERROR('Facility Master'!C10,"")</f>
        <v>Term Loan (per amendment ticket)</v>
      </c>
      <c r="D9" s="605">
        <f>IFERROR('Facility Master'!K10,0)</f>
        <v>235</v>
      </c>
      <c r="E9" s="605">
        <f>IFERROR('Facility Master'!M10,0)</f>
        <v>235</v>
      </c>
      <c r="F9" s="751">
        <f>IFERROR('Facility Master'!N10,0)</f>
        <v>1</v>
      </c>
      <c r="G9" s="747" t="str">
        <f t="shared" si="0"/>
        <v>High (&gt;90%)</v>
      </c>
      <c r="H9" s="752">
        <f>IFERROR(IF('Facility Master'!D10="FB-Term",IF('Facility Master'!Z10="","-",'Facility Master'!Z10-AsOfDate),IF('Facility Master'!AB10="","-",'Facility Master'!AB10-AsOfDate)),"-")</f>
        <v>4616</v>
      </c>
      <c r="I9" s="749" t="str">
        <f>IFERROR(IF('Facility Master'!D10="FB-Term",IF('Facility Master'!Z10="","No Maturity",IF(H9&lt;=180,"Maturing (&lt;=180d)",IF(H9&lt;=365,"Maturing (&lt;=1yr)","TL, On Schedule"))),IF('Facility Master'!AB10="","No Validity",IF(H9&lt;=30,"Expiring (&lt;=30d)",IF(H9&lt;=60,"Due for Review (&lt;=60d)","OK")))),"")</f>
        <v>TL, On Schedule</v>
      </c>
    </row>
    <row r="10" spans="1:9" ht="19.5" customHeight="1" x14ac:dyDescent="0.3">
      <c r="A10" s="481">
        <f>IFERROR('Facility Master'!A11,"")</f>
        <v>7</v>
      </c>
      <c r="B10" s="482" t="str">
        <f>IFERROR('Facility Master'!B11,"")</f>
        <v>RBL Bank</v>
      </c>
      <c r="C10" s="483" t="str">
        <f>IFERROR('Facility Master'!C11,"")</f>
        <v>Term Loan (12-month bullet bridge)</v>
      </c>
      <c r="D10" s="485">
        <f>IFERROR('Facility Master'!K11,0)</f>
        <v>200</v>
      </c>
      <c r="E10" s="485">
        <f>IFERROR('Facility Master'!M11,0)</f>
        <v>200</v>
      </c>
      <c r="F10" s="486">
        <f>IFERROR('Facility Master'!N11,0)</f>
        <v>1</v>
      </c>
      <c r="G10" s="747" t="str">
        <f t="shared" si="0"/>
        <v>High (&gt;90%)</v>
      </c>
      <c r="H10" s="665">
        <f>IFERROR(IF('Facility Master'!D11="FB-Term",IF('Facility Master'!Z11="","-",'Facility Master'!Z11-AsOfDate),IF('Facility Master'!AB11="","-",'Facility Master'!AB11-AsOfDate)),"-")</f>
        <v>185</v>
      </c>
      <c r="I10" s="753" t="str">
        <f>IFERROR(IF('Facility Master'!D11="FB-Term",IF('Facility Master'!Z11="","No Maturity",IF(H10&lt;=180,"Maturing (&lt;=180d)",IF(H10&lt;=365,"Maturing (&lt;=1yr)","TL, On Schedule"))),IF('Facility Master'!AB11="","No Validity",IF(H10&lt;=30,"Expiring (&lt;=30d)",IF(H10&lt;=60,"Due for Review (&lt;=60d)","OK")))),"")</f>
        <v>Maturing (&lt;=1yr)</v>
      </c>
    </row>
    <row r="11" spans="1:9" ht="19.5" customHeight="1" x14ac:dyDescent="0.3">
      <c r="A11" s="481">
        <f>IFERROR('Facility Master'!A12,"")</f>
        <v>8</v>
      </c>
      <c r="B11" s="539"/>
      <c r="C11" s="483" t="str">
        <f>IFERROR('Facility Master'!C12,"")</f>
        <v>Letter of Credit (sub-limit of TL)</v>
      </c>
      <c r="D11" s="485">
        <f>IFERROR('Facility Master'!K12,0)</f>
        <v>200</v>
      </c>
      <c r="E11" s="485">
        <f>IFERROR('Facility Master'!M12,0)</f>
        <v>200</v>
      </c>
      <c r="F11" s="486">
        <f>IFERROR('Facility Master'!N12,0)</f>
        <v>1</v>
      </c>
      <c r="G11" s="747" t="str">
        <f t="shared" si="0"/>
        <v>High (&gt;90%)</v>
      </c>
      <c r="H11" s="665">
        <f>IFERROR(IF('Facility Master'!D12="FB-Term",IF('Facility Master'!Z12="","-",'Facility Master'!Z12-AsOfDate),IF('Facility Master'!AB12="","-",'Facility Master'!AB12-AsOfDate)),"-")</f>
        <v>111</v>
      </c>
      <c r="I11" s="248" t="str">
        <f>IFERROR(IF('Facility Master'!D12="FB-Term",IF('Facility Master'!Z12="","No Maturity",IF(H11&lt;=180,"Maturing (&lt;=180d)",IF(H11&lt;=365,"Maturing (&lt;=1yr)","TL, On Schedule"))),IF('Facility Master'!AB12="","No Validity",IF(H11&lt;=30,"Expiring (&lt;=30d)",IF(H11&lt;=60,"Due for Review (&lt;=60d)","OK")))),"")</f>
        <v>OK</v>
      </c>
    </row>
    <row r="12" spans="1:9" ht="19.5" customHeight="1" x14ac:dyDescent="0.3">
      <c r="A12" s="501">
        <f>IFERROR('Facility Master'!A13,"")</f>
        <v>9</v>
      </c>
      <c r="B12" s="243"/>
      <c r="C12" s="244" t="str">
        <f>IFERROR('Facility Master'!C13,"")</f>
        <v>FDOD (Overdraft against FD)</v>
      </c>
      <c r="D12" s="503">
        <f>IFERROR('Facility Master'!K13,0)</f>
        <v>100</v>
      </c>
      <c r="E12" s="503">
        <f>IFERROR('Facility Master'!M13,0)</f>
        <v>100</v>
      </c>
      <c r="F12" s="504">
        <f>IFERROR('Facility Master'!N13,0)</f>
        <v>1</v>
      </c>
      <c r="G12" s="747" t="str">
        <f t="shared" si="0"/>
        <v>High (&gt;90%)</v>
      </c>
      <c r="H12" s="260">
        <f>IFERROR(IF('Facility Master'!D13="FB-Term",IF('Facility Master'!Z13="","-",'Facility Master'!Z13-AsOfDate),IF('Facility Master'!AB13="","-",'Facility Master'!AB13-AsOfDate)),"-")</f>
        <v>111</v>
      </c>
      <c r="I12" s="248" t="str">
        <f>IFERROR(IF('Facility Master'!D13="FB-Term",IF('Facility Master'!Z13="","No Maturity",IF(H12&lt;=180,"Maturing (&lt;=180d)",IF(H12&lt;=365,"Maturing (&lt;=1yr)","TL, On Schedule"))),IF('Facility Master'!AB13="","No Validity",IF(H12&lt;=30,"Expiring (&lt;=30d)",IF(H12&lt;=60,"Due for Review (&lt;=60d)","OK")))),"")</f>
        <v>OK</v>
      </c>
    </row>
    <row r="13" spans="1:9" ht="19.5" customHeight="1" x14ac:dyDescent="0.3">
      <c r="A13" s="589">
        <f>IFERROR('Facility Master'!A14,"")</f>
        <v>10</v>
      </c>
      <c r="B13" s="590" t="str">
        <f>IFERROR('Facility Master'!B14,"")</f>
        <v>YES Bank</v>
      </c>
      <c r="C13" s="591" t="str">
        <f>IFERROR('Facility Master'!C14,"")</f>
        <v>Term Loan (project, new consortium joiner)</v>
      </c>
      <c r="D13" s="593">
        <f>IFERROR('Facility Master'!K14,0)</f>
        <v>650</v>
      </c>
      <c r="E13" s="593">
        <f>IFERROR('Facility Master'!M14,0)</f>
        <v>650</v>
      </c>
      <c r="F13" s="746">
        <f>IFERROR('Facility Master'!N14,0)</f>
        <v>1</v>
      </c>
      <c r="G13" s="747" t="str">
        <f t="shared" si="0"/>
        <v>High (&gt;90%)</v>
      </c>
      <c r="H13" s="748">
        <f>IFERROR(IF('Facility Master'!D14="FB-Term",IF('Facility Master'!Z14="","-",'Facility Master'!Z14-AsOfDate),IF('Facility Master'!AB14="","-",'Facility Master'!AB14-AsOfDate)),"-")</f>
        <v>4706</v>
      </c>
      <c r="I13" s="749" t="str">
        <f>IFERROR(IF('Facility Master'!D14="FB-Term",IF('Facility Master'!Z14="","No Maturity",IF(H13&lt;=180,"Maturing (&lt;=180d)",IF(H13&lt;=365,"Maturing (&lt;=1yr)","TL, On Schedule"))),IF('Facility Master'!AB14="","No Validity",IF(H13&lt;=30,"Expiring (&lt;=30d)",IF(H13&lt;=60,"Due for Review (&lt;=60d)","OK")))),"")</f>
        <v>TL, On Schedule</v>
      </c>
    </row>
    <row r="14" spans="1:9" ht="19.5" customHeight="1" x14ac:dyDescent="0.3">
      <c r="A14" s="501">
        <f>IFERROR('Facility Master'!A15,"")</f>
        <v>11</v>
      </c>
      <c r="B14" s="243"/>
      <c r="C14" s="244" t="str">
        <f>IFERROR('Facility Master'!C15,"")</f>
        <v>Capex LC (sub-limit of TL)</v>
      </c>
      <c r="D14" s="503">
        <f>IFERROR('Facility Master'!K15,0)</f>
        <v>100</v>
      </c>
      <c r="E14" s="503">
        <f>IFERROR('Facility Master'!M15,0)</f>
        <v>100</v>
      </c>
      <c r="F14" s="504">
        <f>IFERROR('Facility Master'!N15,0)</f>
        <v>1</v>
      </c>
      <c r="G14" s="747" t="str">
        <f t="shared" si="0"/>
        <v>High (&gt;90%)</v>
      </c>
      <c r="H14" s="754">
        <f>IFERROR(IF('Facility Master'!D15="FB-Term",IF('Facility Master'!Z15="","-",'Facility Master'!Z15-AsOfDate),IF('Facility Master'!AB15="","-",'Facility Master'!AB15-AsOfDate)),"-")</f>
        <v>962</v>
      </c>
      <c r="I14" s="755" t="str">
        <f>IFERROR(IF('Facility Master'!D15="FB-Term",IF('Facility Master'!Z15="","No Maturity",IF(H14&lt;=180,"Maturing (&lt;=180d)",IF(H14&lt;=365,"Maturing (&lt;=1yr)","TL, On Schedule"))),IF('Facility Master'!AB15="","No Validity",IF(H14&lt;=30,"Expiring (&lt;=30d)",IF(H14&lt;=60,"Due for Review (&lt;=60d)","OK")))),"")</f>
        <v>OK</v>
      </c>
    </row>
    <row r="15" spans="1:9" ht="19.5" customHeight="1" x14ac:dyDescent="0.3">
      <c r="A15" s="601">
        <f>IFERROR('Facility Master'!A16,"")</f>
        <v>12</v>
      </c>
      <c r="B15" s="602" t="str">
        <f>IFERROR('Facility Master'!B16,"")</f>
        <v>IDFC First Bank</v>
      </c>
      <c r="C15" s="603" t="str">
        <f>IFERROR('Facility Master'!C16,"")</f>
        <v>RTL (project, new consortium joiner)</v>
      </c>
      <c r="D15" s="605">
        <f>IFERROR('Facility Master'!K16,0)</f>
        <v>530</v>
      </c>
      <c r="E15" s="605">
        <f>IFERROR('Facility Master'!M16,0)</f>
        <v>530</v>
      </c>
      <c r="F15" s="751">
        <f>IFERROR('Facility Master'!N16,0)</f>
        <v>1</v>
      </c>
      <c r="G15" s="747" t="str">
        <f t="shared" si="0"/>
        <v>High (&gt;90%)</v>
      </c>
      <c r="H15" s="752">
        <f>IFERROR(IF('Facility Master'!D16="FB-Term",IF('Facility Master'!Z16="","-",'Facility Master'!Z16-AsOfDate),IF('Facility Master'!AB16="","-",'Facility Master'!AB16-AsOfDate)),"-")</f>
        <v>4706</v>
      </c>
      <c r="I15" s="749" t="str">
        <f>IFERROR(IF('Facility Master'!D16="FB-Term",IF('Facility Master'!Z16="","No Maturity",IF(H15&lt;=180,"Maturing (&lt;=180d)",IF(H15&lt;=365,"Maturing (&lt;=1yr)","TL, On Schedule"))),IF('Facility Master'!AB16="","No Validity",IF(H15&lt;=30,"Expiring (&lt;=30d)",IF(H15&lt;=60,"Due for Review (&lt;=60d)","OK")))),"")</f>
        <v>TL, On Schedule</v>
      </c>
    </row>
    <row r="16" spans="1:9" ht="19.5" customHeight="1" x14ac:dyDescent="0.3">
      <c r="A16" s="501">
        <f>IFERROR('Facility Master'!A17,"")</f>
        <v>13</v>
      </c>
      <c r="B16" s="243"/>
      <c r="C16" s="244" t="str">
        <f>IFERROR('Facility Master'!C17,"")</f>
        <v>NFB, Capex LC/SBLC (A)</v>
      </c>
      <c r="D16" s="503">
        <f>IFERROR('Facility Master'!K17,0)</f>
        <v>400</v>
      </c>
      <c r="E16" s="503">
        <f>IFERROR('Facility Master'!M17,0)</f>
        <v>400</v>
      </c>
      <c r="F16" s="504">
        <f>IFERROR('Facility Master'!N17,0)</f>
        <v>1</v>
      </c>
      <c r="G16" s="747" t="str">
        <f t="shared" si="0"/>
        <v>High (&gt;90%)</v>
      </c>
      <c r="H16" s="260">
        <f>IFERROR(IF('Facility Master'!D17="FB-Term",IF('Facility Master'!Z17="","-",'Facility Master'!Z17-AsOfDate),IF('Facility Master'!AB17="","-",'Facility Master'!AB17-AsOfDate)),"-")</f>
        <v>141</v>
      </c>
      <c r="I16" s="248" t="str">
        <f>IFERROR(IF('Facility Master'!D17="FB-Term",IF('Facility Master'!Z17="","No Maturity",IF(H16&lt;=180,"Maturing (&lt;=180d)",IF(H16&lt;=365,"Maturing (&lt;=1yr)","TL, On Schedule"))),IF('Facility Master'!AB17="","No Validity",IF(H16&lt;=30,"Expiring (&lt;=30d)",IF(H16&lt;=60,"Due for Review (&lt;=60d)","OK")))),"")</f>
        <v>OK</v>
      </c>
    </row>
    <row r="17" spans="1:9" ht="19.5" customHeight="1" x14ac:dyDescent="0.3">
      <c r="A17" s="611">
        <f>IFERROR('Facility Master'!A18,"")</f>
        <v>14</v>
      </c>
      <c r="B17" s="612"/>
      <c r="C17" s="613" t="str">
        <f>IFERROR('Facility Master'!C18,"")</f>
        <v>NFB, BG / SBLC (B, sub-limit within ₹400 cap)</v>
      </c>
      <c r="D17" s="615">
        <f>IFERROR('Facility Master'!K18,0)</f>
        <v>200</v>
      </c>
      <c r="E17" s="615">
        <f>IFERROR('Facility Master'!M18,0)</f>
        <v>200</v>
      </c>
      <c r="F17" s="756">
        <f>IFERROR('Facility Master'!N18,0)</f>
        <v>1</v>
      </c>
      <c r="G17" s="747" t="str">
        <f t="shared" si="0"/>
        <v>High (&gt;90%)</v>
      </c>
      <c r="H17" s="674">
        <f>IFERROR(IF('Facility Master'!D18="FB-Term",IF('Facility Master'!Z18="","-",'Facility Master'!Z18-AsOfDate),IF('Facility Master'!AB18="","-",'Facility Master'!AB18-AsOfDate)),"-")</f>
        <v>141</v>
      </c>
      <c r="I17" s="248" t="str">
        <f>IFERROR(IF('Facility Master'!D18="FB-Term",IF('Facility Master'!Z18="","No Maturity",IF(H17&lt;=180,"Maturing (&lt;=180d)",IF(H17&lt;=365,"Maturing (&lt;=1yr)","TL, On Schedule"))),IF('Facility Master'!AB18="","No Validity",IF(H17&lt;=30,"Expiring (&lt;=30d)",IF(H17&lt;=60,"Due for Review (&lt;=60d)","OK")))),"")</f>
        <v>OK</v>
      </c>
    </row>
    <row r="18" spans="1:9" ht="19.5" customHeight="1" x14ac:dyDescent="0.3">
      <c r="A18" s="589">
        <f>IFERROR('Facility Master'!A19,"")</f>
        <v>15</v>
      </c>
      <c r="B18" s="590" t="str">
        <f>IFERROR('Facility Master'!B19,"")</f>
        <v>ICICI Bank</v>
      </c>
      <c r="C18" s="591" t="str">
        <f>IFERROR('Facility Master'!C19,"")</f>
        <v>Cash Credit (WC)</v>
      </c>
      <c r="D18" s="593">
        <f>IFERROR('Facility Master'!K19,0)</f>
        <v>100</v>
      </c>
      <c r="E18" s="593">
        <f>IFERROR('Facility Master'!M19,0)</f>
        <v>100</v>
      </c>
      <c r="F18" s="746">
        <f>IFERROR('Facility Master'!N19,0)</f>
        <v>1</v>
      </c>
      <c r="G18" s="747" t="str">
        <f t="shared" si="0"/>
        <v>High (&gt;90%)</v>
      </c>
      <c r="H18" s="649">
        <f>IFERROR(IF('Facility Master'!D19="FB-Term",IF('Facility Master'!Z19="","-",'Facility Master'!Z19-AsOfDate),IF('Facility Master'!AB19="","-",'Facility Master'!AB19-AsOfDate)),"-")</f>
        <v>267</v>
      </c>
      <c r="I18" s="248" t="str">
        <f>IFERROR(IF('Facility Master'!D19="FB-Term",IF('Facility Master'!Z19="","No Maturity",IF(H18&lt;=180,"Maturing (&lt;=180d)",IF(H18&lt;=365,"Maturing (&lt;=1yr)","TL, On Schedule"))),IF('Facility Master'!AB19="","No Validity",IF(H18&lt;=30,"Expiring (&lt;=30d)",IF(H18&lt;=60,"Due for Review (&lt;=60d)","OK")))),"")</f>
        <v>OK</v>
      </c>
    </row>
    <row r="19" spans="1:9" ht="19.5" customHeight="1" x14ac:dyDescent="0.3">
      <c r="A19" s="491">
        <f>IFERROR('Facility Master'!A20,"")</f>
        <v>16</v>
      </c>
      <c r="B19" s="537"/>
      <c r="C19" s="493" t="str">
        <f>IFERROR('Facility Master'!C20,"")</f>
        <v>WCDL (sub-limit of CC)</v>
      </c>
      <c r="D19" s="495">
        <f>IFERROR('Facility Master'!K20,0)</f>
        <v>100</v>
      </c>
      <c r="E19" s="495">
        <f>IFERROR('Facility Master'!M20,0)</f>
        <v>100</v>
      </c>
      <c r="F19" s="496">
        <f>IFERROR('Facility Master'!N20,0)</f>
        <v>1</v>
      </c>
      <c r="G19" s="747" t="str">
        <f t="shared" si="0"/>
        <v>High (&gt;90%)</v>
      </c>
      <c r="H19" s="652">
        <f>IFERROR(IF('Facility Master'!D20="FB-Term",IF('Facility Master'!Z20="","-",'Facility Master'!Z20-AsOfDate),IF('Facility Master'!AB20="","-",'Facility Master'!AB20-AsOfDate)),"-")</f>
        <v>267</v>
      </c>
      <c r="I19" s="248" t="str">
        <f>IFERROR(IF('Facility Master'!D20="FB-Term",IF('Facility Master'!Z20="","No Maturity",IF(H19&lt;=180,"Maturing (&lt;=180d)",IF(H19&lt;=365,"Maturing (&lt;=1yr)","TL, On Schedule"))),IF('Facility Master'!AB20="","No Validity",IF(H19&lt;=30,"Expiring (&lt;=30d)",IF(H19&lt;=60,"Due for Review (&lt;=60d)","OK")))),"")</f>
        <v>OK</v>
      </c>
    </row>
    <row r="20" spans="1:9" ht="19.5" customHeight="1" x14ac:dyDescent="0.3">
      <c r="A20" s="501">
        <f>IFERROR('Facility Master'!A21,"")</f>
        <v>17</v>
      </c>
      <c r="B20" s="243"/>
      <c r="C20" s="244" t="str">
        <f>IFERROR('Facility Master'!C21,"")</f>
        <v>Letter of Credit (WC)</v>
      </c>
      <c r="D20" s="503">
        <f>IFERROR('Facility Master'!K21,0)</f>
        <v>300</v>
      </c>
      <c r="E20" s="503">
        <f>IFERROR('Facility Master'!M21,0)</f>
        <v>300</v>
      </c>
      <c r="F20" s="504">
        <f>IFERROR('Facility Master'!N21,0)</f>
        <v>1</v>
      </c>
      <c r="G20" s="747" t="str">
        <f t="shared" si="0"/>
        <v>High (&gt;90%)</v>
      </c>
      <c r="H20" s="260">
        <f>IFERROR(IF('Facility Master'!D21="FB-Term",IF('Facility Master'!Z21="","-",'Facility Master'!Z21-AsOfDate),IF('Facility Master'!AB21="","-",'Facility Master'!AB21-AsOfDate)),"-")</f>
        <v>267</v>
      </c>
      <c r="I20" s="248" t="str">
        <f>IFERROR(IF('Facility Master'!D21="FB-Term",IF('Facility Master'!Z21="","No Maturity",IF(H20&lt;=180,"Maturing (&lt;=180d)",IF(H20&lt;=365,"Maturing (&lt;=1yr)","TL, On Schedule"))),IF('Facility Master'!AB21="","No Validity",IF(H20&lt;=30,"Expiring (&lt;=30d)",IF(H20&lt;=60,"Due for Review (&lt;=60d)","OK")))),"")</f>
        <v>OK</v>
      </c>
    </row>
    <row r="21" spans="1:9" ht="19.5" customHeight="1" x14ac:dyDescent="0.3">
      <c r="A21" s="491">
        <f>IFERROR('Facility Master'!A22,"")</f>
        <v>18</v>
      </c>
      <c r="B21" s="537"/>
      <c r="C21" s="493" t="str">
        <f>IFERROR('Facility Master'!C22,"")</f>
        <v>BG (F+P, sub-limit of LC)</v>
      </c>
      <c r="D21" s="495">
        <f>IFERROR('Facility Master'!K22,0)</f>
        <v>300</v>
      </c>
      <c r="E21" s="495">
        <f>IFERROR('Facility Master'!M22,0)</f>
        <v>300</v>
      </c>
      <c r="F21" s="496">
        <f>IFERROR('Facility Master'!N22,0)</f>
        <v>1</v>
      </c>
      <c r="G21" s="747" t="str">
        <f t="shared" si="0"/>
        <v>High (&gt;90%)</v>
      </c>
      <c r="H21" s="652">
        <f>IFERROR(IF('Facility Master'!D22="FB-Term",IF('Facility Master'!Z22="","-",'Facility Master'!Z22-AsOfDate),IF('Facility Master'!AB22="","-",'Facility Master'!AB22-AsOfDate)),"-")</f>
        <v>267</v>
      </c>
      <c r="I21" s="248" t="str">
        <f>IFERROR(IF('Facility Master'!D22="FB-Term",IF('Facility Master'!Z22="","No Maturity",IF(H21&lt;=180,"Maturing (&lt;=180d)",IF(H21&lt;=365,"Maturing (&lt;=1yr)","TL, On Schedule"))),IF('Facility Master'!AB22="","No Validity",IF(H21&lt;=30,"Expiring (&lt;=30d)",IF(H21&lt;=60,"Due for Review (&lt;=60d)","OK")))),"")</f>
        <v>OK</v>
      </c>
    </row>
    <row r="22" spans="1:9" ht="19.5" customHeight="1" x14ac:dyDescent="0.3">
      <c r="A22" s="679">
        <f>IFERROR('Facility Master'!A23,"")</f>
        <v>19</v>
      </c>
      <c r="B22" s="757" t="str">
        <f>IFERROR('Facility Master'!B23,"")</f>
        <v>HSBC</v>
      </c>
      <c r="C22" s="758" t="str">
        <f>IFERROR('Facility Master'!C23,"")</f>
        <v>Combined Limit (Uncommitted)</v>
      </c>
      <c r="D22" s="759">
        <f>IFERROR('Facility Master'!K23,0)</f>
        <v>200</v>
      </c>
      <c r="E22" s="759">
        <f>IFERROR('Facility Master'!M23,0)</f>
        <v>200</v>
      </c>
      <c r="F22" s="760">
        <f>IFERROR('Facility Master'!N23,0)</f>
        <v>1</v>
      </c>
      <c r="G22" s="747" t="str">
        <f t="shared" si="0"/>
        <v>High (&gt;90%)</v>
      </c>
      <c r="H22" s="683">
        <f>IFERROR(IF('Facility Master'!D23="FB-Term",IF('Facility Master'!Z23="","-",'Facility Master'!Z23-AsOfDate),IF('Facility Master'!AB23="","-",'Facility Master'!AB23-AsOfDate)),"-")</f>
        <v>111</v>
      </c>
      <c r="I22" s="248" t="str">
        <f>IFERROR(IF('Facility Master'!D23="FB-Term",IF('Facility Master'!Z23="","No Maturity",IF(H22&lt;=180,"Maturing (&lt;=180d)",IF(H22&lt;=365,"Maturing (&lt;=1yr)","TL, On Schedule"))),IF('Facility Master'!AB23="","No Validity",IF(H22&lt;=30,"Expiring (&lt;=30d)",IF(H22&lt;=60,"Due for Review (&lt;=60d)","OK")))),"")</f>
        <v>OK</v>
      </c>
    </row>
    <row r="23" spans="1:9" ht="19.5" customHeight="1" x14ac:dyDescent="0.3">
      <c r="A23" s="508">
        <f>IFERROR('Facility Master'!A24,"")</f>
        <v>20</v>
      </c>
      <c r="B23" s="536"/>
      <c r="C23" s="531" t="str">
        <f>IFERROR('Facility Master'!C24,"")</f>
        <v>Working Capital Loan (Uncommitted, sub of #1)</v>
      </c>
      <c r="D23" s="512">
        <f>IFERROR('Facility Master'!K24,0)</f>
        <v>26.08</v>
      </c>
      <c r="E23" s="512">
        <f>IFERROR('Facility Master'!M24,0)</f>
        <v>26.08</v>
      </c>
      <c r="F23" s="513">
        <f>IFERROR('Facility Master'!N24,0)</f>
        <v>1</v>
      </c>
      <c r="G23" s="747" t="str">
        <f t="shared" si="0"/>
        <v>High (&gt;90%)</v>
      </c>
      <c r="H23" s="688">
        <f>IFERROR(IF('Facility Master'!D24="FB-Term",IF('Facility Master'!Z24="","-",'Facility Master'!Z24-AsOfDate),IF('Facility Master'!AB24="","-",'Facility Master'!AB24-AsOfDate)),"-")</f>
        <v>111</v>
      </c>
      <c r="I23" s="248" t="str">
        <f>IFERROR(IF('Facility Master'!D24="FB-Term",IF('Facility Master'!Z24="","No Maturity",IF(H23&lt;=180,"Maturing (&lt;=180d)",IF(H23&lt;=365,"Maturing (&lt;=1yr)","TL, On Schedule"))),IF('Facility Master'!AB24="","No Validity",IF(H23&lt;=30,"Expiring (&lt;=30d)",IF(H23&lt;=60,"Due for Review (&lt;=60d)","OK")))),"")</f>
        <v>OK</v>
      </c>
    </row>
    <row r="24" spans="1:9" ht="19.5" customHeight="1" x14ac:dyDescent="0.3">
      <c r="A24" s="679">
        <f>IFERROR('Facility Master'!A25,"")</f>
        <v>21</v>
      </c>
      <c r="B24" s="761"/>
      <c r="C24" s="758" t="str">
        <f>IFERROR('Facility Master'!C25,"")</f>
        <v>Overdraft (Uncommitted, sub of WCL)</v>
      </c>
      <c r="D24" s="759">
        <f>IFERROR('Facility Master'!K25,0)</f>
        <v>10.432</v>
      </c>
      <c r="E24" s="759">
        <f>IFERROR('Facility Master'!M25,0)</f>
        <v>10.432</v>
      </c>
      <c r="F24" s="760">
        <f>IFERROR('Facility Master'!N25,0)</f>
        <v>1</v>
      </c>
      <c r="G24" s="747" t="str">
        <f t="shared" si="0"/>
        <v>High (&gt;90%)</v>
      </c>
      <c r="H24" s="683">
        <f>IFERROR(IF('Facility Master'!D25="FB-Term",IF('Facility Master'!Z25="","-",'Facility Master'!Z25-AsOfDate),IF('Facility Master'!AB25="","-",'Facility Master'!AB25-AsOfDate)),"-")</f>
        <v>111</v>
      </c>
      <c r="I24" s="248" t="str">
        <f>IFERROR(IF('Facility Master'!D25="FB-Term",IF('Facility Master'!Z25="","No Maturity",IF(H24&lt;=180,"Maturing (&lt;=180d)",IF(H24&lt;=365,"Maturing (&lt;=1yr)","TL, On Schedule"))),IF('Facility Master'!AB25="","No Validity",IF(H24&lt;=30,"Expiring (&lt;=30d)",IF(H24&lt;=60,"Due for Review (&lt;=60d)","OK")))),"")</f>
        <v>OK</v>
      </c>
    </row>
    <row r="25" spans="1:9" ht="19.5" customHeight="1" x14ac:dyDescent="0.3">
      <c r="A25" s="508">
        <f>IFERROR('Facility Master'!A26,"")</f>
        <v>22</v>
      </c>
      <c r="B25" s="536"/>
      <c r="C25" s="531" t="str">
        <f>IFERROR('Facility Master'!C26,"")</f>
        <v>Import Controlling line - 1 (Uncommitted)</v>
      </c>
      <c r="D25" s="512">
        <f>IFERROR('Facility Master'!K26,0)</f>
        <v>26.08</v>
      </c>
      <c r="E25" s="512">
        <f>IFERROR('Facility Master'!M26,0)</f>
        <v>26.08</v>
      </c>
      <c r="F25" s="513">
        <f>IFERROR('Facility Master'!N26,0)</f>
        <v>1</v>
      </c>
      <c r="G25" s="747" t="str">
        <f t="shared" si="0"/>
        <v>High (&gt;90%)</v>
      </c>
      <c r="H25" s="688">
        <f>IFERROR(IF('Facility Master'!D26="FB-Term",IF('Facility Master'!Z26="","-",'Facility Master'!Z26-AsOfDate),IF('Facility Master'!AB26="","-",'Facility Master'!AB26-AsOfDate)),"-")</f>
        <v>111</v>
      </c>
      <c r="I25" s="248" t="str">
        <f>IFERROR(IF('Facility Master'!D26="FB-Term",IF('Facility Master'!Z26="","No Maturity",IF(H25&lt;=180,"Maturing (&lt;=180d)",IF(H25&lt;=365,"Maturing (&lt;=1yr)","TL, On Schedule"))),IF('Facility Master'!AB26="","No Validity",IF(H25&lt;=30,"Expiring (&lt;=30d)",IF(H25&lt;=60,"Due for Review (&lt;=60d)","OK")))),"")</f>
        <v>OK</v>
      </c>
    </row>
    <row r="26" spans="1:9" ht="19.5" customHeight="1" x14ac:dyDescent="0.3">
      <c r="A26" s="679">
        <f>IFERROR('Facility Master'!A27,"")</f>
        <v>23</v>
      </c>
      <c r="B26" s="761"/>
      <c r="C26" s="758" t="str">
        <f>IFERROR('Facility Master'!C27,"")</f>
        <v>TradePay Domestic/Import (Uncommitted)</v>
      </c>
      <c r="D26" s="759">
        <f>IFERROR('Facility Master'!K27,0)</f>
        <v>26.08</v>
      </c>
      <c r="E26" s="759">
        <f>IFERROR('Facility Master'!M27,0)</f>
        <v>26.08</v>
      </c>
      <c r="F26" s="760">
        <f>IFERROR('Facility Master'!N27,0)</f>
        <v>1</v>
      </c>
      <c r="G26" s="747" t="str">
        <f t="shared" si="0"/>
        <v>High (&gt;90%)</v>
      </c>
      <c r="H26" s="683">
        <f>IFERROR(IF('Facility Master'!D27="FB-Term",IF('Facility Master'!Z27="","-",'Facility Master'!Z27-AsOfDate),IF('Facility Master'!AB27="","-",'Facility Master'!AB27-AsOfDate)),"-")</f>
        <v>111</v>
      </c>
      <c r="I26" s="248" t="str">
        <f>IFERROR(IF('Facility Master'!D27="FB-Term",IF('Facility Master'!Z27="","No Maturity",IF(H26&lt;=180,"Maturing (&lt;=180d)",IF(H26&lt;=365,"Maturing (&lt;=1yr)","TL, On Schedule"))),IF('Facility Master'!AB27="","No Validity",IF(H26&lt;=30,"Expiring (&lt;=30d)",IF(H26&lt;=60,"Due for Review (&lt;=60d)","OK")))),"")</f>
        <v>OK</v>
      </c>
    </row>
    <row r="27" spans="1:9" ht="19.5" customHeight="1" x14ac:dyDescent="0.3">
      <c r="A27" s="508">
        <f>IFERROR('Facility Master'!A28,"")</f>
        <v>24</v>
      </c>
      <c r="B27" s="536"/>
      <c r="C27" s="531" t="str">
        <f>IFERROR('Facility Master'!C28,"")</f>
        <v>Pre-shipment Buyer Loan (Uncommitted)</v>
      </c>
      <c r="D27" s="512">
        <f>IFERROR('Facility Master'!K28,0)</f>
        <v>26.08</v>
      </c>
      <c r="E27" s="512">
        <f>IFERROR('Facility Master'!M28,0)</f>
        <v>26.08</v>
      </c>
      <c r="F27" s="513">
        <f>IFERROR('Facility Master'!N28,0)</f>
        <v>1</v>
      </c>
      <c r="G27" s="747" t="str">
        <f t="shared" si="0"/>
        <v>High (&gt;90%)</v>
      </c>
      <c r="H27" s="688">
        <f>IFERROR(IF('Facility Master'!D28="FB-Term",IF('Facility Master'!Z28="","-",'Facility Master'!Z28-AsOfDate),IF('Facility Master'!AB28="","-",'Facility Master'!AB28-AsOfDate)),"-")</f>
        <v>111</v>
      </c>
      <c r="I27" s="248" t="str">
        <f>IFERROR(IF('Facility Master'!D28="FB-Term",IF('Facility Master'!Z28="","No Maturity",IF(H27&lt;=180,"Maturing (&lt;=180d)",IF(H27&lt;=365,"Maturing (&lt;=1yr)","TL, On Schedule"))),IF('Facility Master'!AB28="","No Validity",IF(H27&lt;=30,"Expiring (&lt;=30d)",IF(H27&lt;=60,"Due for Review (&lt;=60d)","OK")))),"")</f>
        <v>OK</v>
      </c>
    </row>
    <row r="28" spans="1:9" ht="19.5" customHeight="1" x14ac:dyDescent="0.3">
      <c r="A28" s="679">
        <f>IFERROR('Facility Master'!A29,"")</f>
        <v>25</v>
      </c>
      <c r="B28" s="761"/>
      <c r="C28" s="758" t="str">
        <f>IFERROR('Facility Master'!C29,"")</f>
        <v>Post-Shipment Buyer Loan / DPF / LAI (Uncommitted)</v>
      </c>
      <c r="D28" s="759">
        <f>IFERROR('Facility Master'!K29,0)</f>
        <v>26.08</v>
      </c>
      <c r="E28" s="759">
        <f>IFERROR('Facility Master'!M29,0)</f>
        <v>26.08</v>
      </c>
      <c r="F28" s="760">
        <f>IFERROR('Facility Master'!N29,0)</f>
        <v>1</v>
      </c>
      <c r="G28" s="747" t="str">
        <f t="shared" si="0"/>
        <v>High (&gt;90%)</v>
      </c>
      <c r="H28" s="683">
        <f>IFERROR(IF('Facility Master'!D29="FB-Term",IF('Facility Master'!Z29="","-",'Facility Master'!Z29-AsOfDate),IF('Facility Master'!AB29="","-",'Facility Master'!AB29-AsOfDate)),"-")</f>
        <v>111</v>
      </c>
      <c r="I28" s="248" t="str">
        <f>IFERROR(IF('Facility Master'!D29="FB-Term",IF('Facility Master'!Z29="","No Maturity",IF(H28&lt;=180,"Maturing (&lt;=180d)",IF(H28&lt;=365,"Maturing (&lt;=1yr)","TL, On Schedule"))),IF('Facility Master'!AB29="","No Validity",IF(H28&lt;=30,"Expiring (&lt;=30d)",IF(H28&lt;=60,"Due for Review (&lt;=60d)","OK")))),"")</f>
        <v>OK</v>
      </c>
    </row>
    <row r="29" spans="1:9" ht="19.5" customHeight="1" x14ac:dyDescent="0.3">
      <c r="A29" s="508">
        <f>IFERROR('Facility Master'!A30,"")</f>
        <v>26</v>
      </c>
      <c r="B29" s="536"/>
      <c r="C29" s="531" t="str">
        <f>IFERROR('Facility Master'!C30,"")</f>
        <v>Export Controlling line (Uncommitted)</v>
      </c>
      <c r="D29" s="512">
        <f>IFERROR('Facility Master'!K30,0)</f>
        <v>26.08</v>
      </c>
      <c r="E29" s="512">
        <f>IFERROR('Facility Master'!M30,0)</f>
        <v>26.08</v>
      </c>
      <c r="F29" s="513">
        <f>IFERROR('Facility Master'!N30,0)</f>
        <v>1</v>
      </c>
      <c r="G29" s="747" t="str">
        <f t="shared" si="0"/>
        <v>High (&gt;90%)</v>
      </c>
      <c r="H29" s="688">
        <f>IFERROR(IF('Facility Master'!D30="FB-Term",IF('Facility Master'!Z30="","-",'Facility Master'!Z30-AsOfDate),IF('Facility Master'!AB30="","-",'Facility Master'!AB30-AsOfDate)),"-")</f>
        <v>111</v>
      </c>
      <c r="I29" s="248" t="str">
        <f>IFERROR(IF('Facility Master'!D30="FB-Term",IF('Facility Master'!Z30="","No Maturity",IF(H29&lt;=180,"Maturing (&lt;=180d)",IF(H29&lt;=365,"Maturing (&lt;=1yr)","TL, On Schedule"))),IF('Facility Master'!AB30="","No Validity",IF(H29&lt;=30,"Expiring (&lt;=30d)",IF(H29&lt;=60,"Due for Review (&lt;=60d)","OK")))),"")</f>
        <v>OK</v>
      </c>
    </row>
    <row r="30" spans="1:9" ht="19.5" customHeight="1" x14ac:dyDescent="0.3">
      <c r="A30" s="679">
        <f>IFERROR('Facility Master'!A31,"")</f>
        <v>27</v>
      </c>
      <c r="B30" s="761"/>
      <c r="C30" s="758" t="str">
        <f>IFERROR('Facility Master'!C31,"")</f>
        <v>Pre-shipment Seller Loan (Uncommitted)</v>
      </c>
      <c r="D30" s="759">
        <f>IFERROR('Facility Master'!K31,0)</f>
        <v>26.08</v>
      </c>
      <c r="E30" s="759">
        <f>IFERROR('Facility Master'!M31,0)</f>
        <v>26.08</v>
      </c>
      <c r="F30" s="760">
        <f>IFERROR('Facility Master'!N31,0)</f>
        <v>1</v>
      </c>
      <c r="G30" s="747" t="str">
        <f t="shared" si="0"/>
        <v>High (&gt;90%)</v>
      </c>
      <c r="H30" s="683">
        <f>IFERROR(IF('Facility Master'!D31="FB-Term",IF('Facility Master'!Z31="","-",'Facility Master'!Z31-AsOfDate),IF('Facility Master'!AB31="","-",'Facility Master'!AB31-AsOfDate)),"-")</f>
        <v>111</v>
      </c>
      <c r="I30" s="248" t="str">
        <f>IFERROR(IF('Facility Master'!D31="FB-Term",IF('Facility Master'!Z31="","No Maturity",IF(H30&lt;=180,"Maturing (&lt;=180d)",IF(H30&lt;=365,"Maturing (&lt;=1yr)","TL, On Schedule"))),IF('Facility Master'!AB31="","No Validity",IF(H30&lt;=30,"Expiring (&lt;=30d)",IF(H30&lt;=60,"Due for Review (&lt;=60d)","OK")))),"")</f>
        <v>OK</v>
      </c>
    </row>
    <row r="31" spans="1:9" ht="19.5" customHeight="1" x14ac:dyDescent="0.3">
      <c r="A31" s="508">
        <f>IFERROR('Facility Master'!A32,"")</f>
        <v>28</v>
      </c>
      <c r="B31" s="536"/>
      <c r="C31" s="531" t="str">
        <f>IFERROR('Facility Master'!C32,"")</f>
        <v>Post-Shipment Seller Loan, Open Account (Uncommitted)</v>
      </c>
      <c r="D31" s="512">
        <f>IFERROR('Facility Master'!K32,0)</f>
        <v>26.08</v>
      </c>
      <c r="E31" s="512">
        <f>IFERROR('Facility Master'!M32,0)</f>
        <v>26.08</v>
      </c>
      <c r="F31" s="513">
        <f>IFERROR('Facility Master'!N32,0)</f>
        <v>1</v>
      </c>
      <c r="G31" s="747" t="str">
        <f t="shared" si="0"/>
        <v>High (&gt;90%)</v>
      </c>
      <c r="H31" s="688">
        <f>IFERROR(IF('Facility Master'!D32="FB-Term",IF('Facility Master'!Z32="","-",'Facility Master'!Z32-AsOfDate),IF('Facility Master'!AB32="","-",'Facility Master'!AB32-AsOfDate)),"-")</f>
        <v>111</v>
      </c>
      <c r="I31" s="248" t="str">
        <f>IFERROR(IF('Facility Master'!D32="FB-Term",IF('Facility Master'!Z32="","No Maturity",IF(H31&lt;=180,"Maturing (&lt;=180d)",IF(H31&lt;=365,"Maturing (&lt;=1yr)","TL, On Schedule"))),IF('Facility Master'!AB32="","No Validity",IF(H31&lt;=30,"Expiring (&lt;=30d)",IF(H31&lt;=60,"Due for Review (&lt;=60d)","OK")))),"")</f>
        <v>OK</v>
      </c>
    </row>
    <row r="32" spans="1:9" ht="19.5" customHeight="1" x14ac:dyDescent="0.3">
      <c r="A32" s="679">
        <f>IFERROR('Facility Master'!A33,"")</f>
        <v>29</v>
      </c>
      <c r="B32" s="761"/>
      <c r="C32" s="758" t="str">
        <f>IFERROR('Facility Master'!C33,"")</f>
        <v>Import Controlling line - 2 (Uncommitted)</v>
      </c>
      <c r="D32" s="759">
        <f>IFERROR('Facility Master'!K33,0)</f>
        <v>154.58000000000001</v>
      </c>
      <c r="E32" s="759">
        <f>IFERROR('Facility Master'!M33,0)</f>
        <v>154.58000000000001</v>
      </c>
      <c r="F32" s="760">
        <f>IFERROR('Facility Master'!N33,0)</f>
        <v>1</v>
      </c>
      <c r="G32" s="747" t="str">
        <f t="shared" si="0"/>
        <v>High (&gt;90%)</v>
      </c>
      <c r="H32" s="683">
        <f>IFERROR(IF('Facility Master'!D33="FB-Term",IF('Facility Master'!Z33="","-",'Facility Master'!Z33-AsOfDate),IF('Facility Master'!AB33="","-",'Facility Master'!AB33-AsOfDate)),"-")</f>
        <v>111</v>
      </c>
      <c r="I32" s="248" t="str">
        <f>IFERROR(IF('Facility Master'!D33="FB-Term",IF('Facility Master'!Z33="","No Maturity",IF(H32&lt;=180,"Maturing (&lt;=180d)",IF(H32&lt;=365,"Maturing (&lt;=1yr)","TL, On Schedule"))),IF('Facility Master'!AB33="","No Validity",IF(H32&lt;=30,"Expiring (&lt;=30d)",IF(H32&lt;=60,"Due for Review (&lt;=60d)","OK")))),"")</f>
        <v>OK</v>
      </c>
    </row>
    <row r="33" spans="1:9" ht="19.5" customHeight="1" x14ac:dyDescent="0.3">
      <c r="A33" s="508">
        <f>IFERROR('Facility Master'!A34,"")</f>
        <v>30</v>
      </c>
      <c r="B33" s="536"/>
      <c r="C33" s="531" t="str">
        <f>IFERROR('Facility Master'!C34,"")</f>
        <v>Import Documentary Credit - 12 (Uncommitted)</v>
      </c>
      <c r="D33" s="512">
        <f>IFERROR('Facility Master'!K34,0)</f>
        <v>154.58000000000001</v>
      </c>
      <c r="E33" s="512">
        <f>IFERROR('Facility Master'!M34,0)</f>
        <v>154.58000000000001</v>
      </c>
      <c r="F33" s="513">
        <f>IFERROR('Facility Master'!N34,0)</f>
        <v>1</v>
      </c>
      <c r="G33" s="747" t="str">
        <f t="shared" si="0"/>
        <v>High (&gt;90%)</v>
      </c>
      <c r="H33" s="688">
        <f>IFERROR(IF('Facility Master'!D34="FB-Term",IF('Facility Master'!Z34="","-",'Facility Master'!Z34-AsOfDate),IF('Facility Master'!AB34="","-",'Facility Master'!AB34-AsOfDate)),"-")</f>
        <v>111</v>
      </c>
      <c r="I33" s="248" t="str">
        <f>IFERROR(IF('Facility Master'!D34="FB-Term",IF('Facility Master'!Z34="","No Maturity",IF(H33&lt;=180,"Maturing (&lt;=180d)",IF(H33&lt;=365,"Maturing (&lt;=1yr)","TL, On Schedule"))),IF('Facility Master'!AB34="","No Validity",IF(H33&lt;=30,"Expiring (&lt;=30d)",IF(H33&lt;=60,"Due for Review (&lt;=60d)","OK")))),"")</f>
        <v>OK</v>
      </c>
    </row>
    <row r="34" spans="1:9" ht="19.5" customHeight="1" x14ac:dyDescent="0.3">
      <c r="A34" s="679">
        <f>IFERROR('Facility Master'!A35,"")</f>
        <v>31</v>
      </c>
      <c r="B34" s="761"/>
      <c r="C34" s="758" t="str">
        <f>IFERROR('Facility Master'!C35,"")</f>
        <v>Import Documentary Credit - 13 (Uncommitted)</v>
      </c>
      <c r="D34" s="759">
        <f>IFERROR('Facility Master'!K35,0)</f>
        <v>10</v>
      </c>
      <c r="E34" s="759">
        <f>IFERROR('Facility Master'!M35,0)</f>
        <v>10</v>
      </c>
      <c r="F34" s="760">
        <f>IFERROR('Facility Master'!N35,0)</f>
        <v>1</v>
      </c>
      <c r="G34" s="747" t="str">
        <f t="shared" si="0"/>
        <v>High (&gt;90%)</v>
      </c>
      <c r="H34" s="683">
        <f>IFERROR(IF('Facility Master'!D35="FB-Term",IF('Facility Master'!Z35="","-",'Facility Master'!Z35-AsOfDate),IF('Facility Master'!AB35="","-",'Facility Master'!AB35-AsOfDate)),"-")</f>
        <v>111</v>
      </c>
      <c r="I34" s="248" t="str">
        <f>IFERROR(IF('Facility Master'!D35="FB-Term",IF('Facility Master'!Z35="","No Maturity",IF(H34&lt;=180,"Maturing (&lt;=180d)",IF(H34&lt;=365,"Maturing (&lt;=1yr)","TL, On Schedule"))),IF('Facility Master'!AB35="","No Validity",IF(H34&lt;=30,"Expiring (&lt;=30d)",IF(H34&lt;=60,"Due for Review (&lt;=60d)","OK")))),"")</f>
        <v>OK</v>
      </c>
    </row>
    <row r="35" spans="1:9" ht="19.5" customHeight="1" x14ac:dyDescent="0.3">
      <c r="A35" s="508">
        <f>IFERROR('Facility Master'!A36,"")</f>
        <v>32</v>
      </c>
      <c r="B35" s="536"/>
      <c r="C35" s="531" t="str">
        <f>IFERROR('Facility Master'!C36,"")</f>
        <v>Guarantees/Bonds Non-Financial (Uncommitted)</v>
      </c>
      <c r="D35" s="512">
        <f>IFERROR('Facility Master'!K36,0)</f>
        <v>17.399999999999999</v>
      </c>
      <c r="E35" s="512">
        <f>IFERROR('Facility Master'!M36,0)</f>
        <v>17.399999999999999</v>
      </c>
      <c r="F35" s="513">
        <f>IFERROR('Facility Master'!N36,0)</f>
        <v>1</v>
      </c>
      <c r="G35" s="747" t="str">
        <f t="shared" si="0"/>
        <v>High (&gt;90%)</v>
      </c>
      <c r="H35" s="688">
        <f>IFERROR(IF('Facility Master'!D36="FB-Term",IF('Facility Master'!Z36="","-",'Facility Master'!Z36-AsOfDate),IF('Facility Master'!AB36="","-",'Facility Master'!AB36-AsOfDate)),"-")</f>
        <v>111</v>
      </c>
      <c r="I35" s="248" t="str">
        <f>IFERROR(IF('Facility Master'!D36="FB-Term",IF('Facility Master'!Z36="","No Maturity",IF(H35&lt;=180,"Maturing (&lt;=180d)",IF(H35&lt;=365,"Maturing (&lt;=1yr)","TL, On Schedule"))),IF('Facility Master'!AB36="","No Validity",IF(H35&lt;=30,"Expiring (&lt;=30d)",IF(H35&lt;=60,"Due for Review (&lt;=60d)","OK")))),"")</f>
        <v>OK</v>
      </c>
    </row>
    <row r="36" spans="1:9" ht="19.5" customHeight="1" x14ac:dyDescent="0.3">
      <c r="A36" s="679">
        <f>IFERROR('Facility Master'!A37,"")</f>
        <v>33</v>
      </c>
      <c r="B36" s="761"/>
      <c r="C36" s="758" t="str">
        <f>IFERROR('Facility Master'!C37,"")</f>
        <v>Guarantees/Bonds Financial (Uncommitted)</v>
      </c>
      <c r="D36" s="759">
        <f>IFERROR('Facility Master'!K37,0)</f>
        <v>1.94</v>
      </c>
      <c r="E36" s="759">
        <f>IFERROR('Facility Master'!M37,0)</f>
        <v>1.94</v>
      </c>
      <c r="F36" s="760">
        <f>IFERROR('Facility Master'!N37,0)</f>
        <v>1</v>
      </c>
      <c r="G36" s="747" t="str">
        <f t="shared" si="0"/>
        <v>High (&gt;90%)</v>
      </c>
      <c r="H36" s="683">
        <f>IFERROR(IF('Facility Master'!D37="FB-Term",IF('Facility Master'!Z37="","-",'Facility Master'!Z37-AsOfDate),IF('Facility Master'!AB37="","-",'Facility Master'!AB37-AsOfDate)),"-")</f>
        <v>111</v>
      </c>
      <c r="I36" s="248" t="str">
        <f>IFERROR(IF('Facility Master'!D37="FB-Term",IF('Facility Master'!Z37="","No Maturity",IF(H36&lt;=180,"Maturing (&lt;=180d)",IF(H36&lt;=365,"Maturing (&lt;=1yr)","TL, On Schedule"))),IF('Facility Master'!AB37="","No Validity",IF(H36&lt;=30,"Expiring (&lt;=30d)",IF(H36&lt;=60,"Due for Review (&lt;=60d)","OK")))),"")</f>
        <v>OK</v>
      </c>
    </row>
    <row r="37" spans="1:9" ht="19.5" customHeight="1" x14ac:dyDescent="0.3">
      <c r="A37" s="601">
        <f>IFERROR('Facility Master'!A38,"")</f>
        <v>34</v>
      </c>
      <c r="B37" s="602" t="str">
        <f>IFERROR('Facility Master'!B38,"")</f>
        <v>HDFC Bank</v>
      </c>
      <c r="C37" s="603" t="str">
        <f>IFERROR('Facility Master'!C38,"")</f>
        <v>Letter of Credit (WC parent)</v>
      </c>
      <c r="D37" s="605">
        <f>IFERROR('Facility Master'!K38,0)</f>
        <v>250</v>
      </c>
      <c r="E37" s="605">
        <f>IFERROR('Facility Master'!M38,0)</f>
        <v>250</v>
      </c>
      <c r="F37" s="751">
        <f>IFERROR('Facility Master'!N38,0)</f>
        <v>1</v>
      </c>
      <c r="G37" s="747" t="str">
        <f t="shared" si="0"/>
        <v>High (&gt;90%)</v>
      </c>
      <c r="H37" s="661">
        <f>IFERROR(IF('Facility Master'!D38="FB-Term",IF('Facility Master'!Z38="","-",'Facility Master'!Z38-AsOfDate),IF('Facility Master'!AB38="","-",'Facility Master'!AB38-AsOfDate)),"-")</f>
        <v>111</v>
      </c>
      <c r="I37" s="248" t="str">
        <f>IFERROR(IF('Facility Master'!D38="FB-Term",IF('Facility Master'!Z38="","No Maturity",IF(H37&lt;=180,"Maturing (&lt;=180d)",IF(H37&lt;=365,"Maturing (&lt;=1yr)","TL, On Schedule"))),IF('Facility Master'!AB38="","No Validity",IF(H37&lt;=30,"Expiring (&lt;=30d)",IF(H37&lt;=60,"Due for Review (&lt;=60d)","OK")))),"")</f>
        <v>OK</v>
      </c>
    </row>
    <row r="38" spans="1:9" ht="19.5" customHeight="1" x14ac:dyDescent="0.3">
      <c r="A38" s="501">
        <f>IFERROR('Facility Master'!A39,"")</f>
        <v>35</v>
      </c>
      <c r="B38" s="243"/>
      <c r="C38" s="244" t="str">
        <f>IFERROR('Facility Master'!C39,"")</f>
        <v>Post Shipment Finance (sub of LC)</v>
      </c>
      <c r="D38" s="503">
        <f>IFERROR('Facility Master'!K39,0)</f>
        <v>100</v>
      </c>
      <c r="E38" s="503">
        <f>IFERROR('Facility Master'!M39,0)</f>
        <v>100</v>
      </c>
      <c r="F38" s="504">
        <f>IFERROR('Facility Master'!N39,0)</f>
        <v>1</v>
      </c>
      <c r="G38" s="747" t="str">
        <f t="shared" si="0"/>
        <v>High (&gt;90%)</v>
      </c>
      <c r="H38" s="260">
        <f>IFERROR(IF('Facility Master'!D39="FB-Term",IF('Facility Master'!Z39="","-",'Facility Master'!Z39-AsOfDate),IF('Facility Master'!AB39="","-",'Facility Master'!AB39-AsOfDate)),"-")</f>
        <v>111</v>
      </c>
      <c r="I38" s="248" t="str">
        <f>IFERROR(IF('Facility Master'!D39="FB-Term",IF('Facility Master'!Z39="","No Maturity",IF(H38&lt;=180,"Maturing (&lt;=180d)",IF(H38&lt;=365,"Maturing (&lt;=1yr)","TL, On Schedule"))),IF('Facility Master'!AB39="","No Validity",IF(H38&lt;=30,"Expiring (&lt;=30d)",IF(H38&lt;=60,"Due for Review (&lt;=60d)","OK")))),"")</f>
        <v>OK</v>
      </c>
    </row>
    <row r="39" spans="1:9" ht="19.5" customHeight="1" x14ac:dyDescent="0.3">
      <c r="A39" s="611">
        <f>IFERROR('Facility Master'!A40,"")</f>
        <v>36</v>
      </c>
      <c r="B39" s="612"/>
      <c r="C39" s="613" t="str">
        <f>IFERROR('Facility Master'!C40,"")</f>
        <v>Pre-shipment Finance (sub of LC)</v>
      </c>
      <c r="D39" s="615">
        <f>IFERROR('Facility Master'!K40,0)</f>
        <v>200</v>
      </c>
      <c r="E39" s="615">
        <f>IFERROR('Facility Master'!M40,0)</f>
        <v>200</v>
      </c>
      <c r="F39" s="756">
        <f>IFERROR('Facility Master'!N40,0)</f>
        <v>1</v>
      </c>
      <c r="G39" s="747" t="str">
        <f t="shared" si="0"/>
        <v>High (&gt;90%)</v>
      </c>
      <c r="H39" s="674">
        <f>IFERROR(IF('Facility Master'!D40="FB-Term",IF('Facility Master'!Z40="","-",'Facility Master'!Z40-AsOfDate),IF('Facility Master'!AB40="","-",'Facility Master'!AB40-AsOfDate)),"-")</f>
        <v>111</v>
      </c>
      <c r="I39" s="248" t="str">
        <f>IFERROR(IF('Facility Master'!D40="FB-Term",IF('Facility Master'!Z40="","No Maturity",IF(H39&lt;=180,"Maturing (&lt;=180d)",IF(H39&lt;=365,"Maturing (&lt;=1yr)","TL, On Schedule"))),IF('Facility Master'!AB40="","No Validity",IF(H39&lt;=30,"Expiring (&lt;=30d)",IF(H39&lt;=60,"Due for Review (&lt;=60d)","OK")))),"")</f>
        <v>OK</v>
      </c>
    </row>
    <row r="40" spans="1:9" ht="19.5" customHeight="1" x14ac:dyDescent="0.3">
      <c r="A40" s="501">
        <f>IFERROR('Facility Master'!A41,"")</f>
        <v>37</v>
      </c>
      <c r="B40" s="243"/>
      <c r="C40" s="244" t="str">
        <f>IFERROR('Facility Master'!C41,"")</f>
        <v>SBLC (sub of LC)</v>
      </c>
      <c r="D40" s="503">
        <f>IFERROR('Facility Master'!K41,0)</f>
        <v>250</v>
      </c>
      <c r="E40" s="503">
        <f>IFERROR('Facility Master'!M41,0)</f>
        <v>250</v>
      </c>
      <c r="F40" s="504">
        <f>IFERROR('Facility Master'!N41,0)</f>
        <v>1</v>
      </c>
      <c r="G40" s="747" t="str">
        <f t="shared" si="0"/>
        <v>High (&gt;90%)</v>
      </c>
      <c r="H40" s="260">
        <f>IFERROR(IF('Facility Master'!D41="FB-Term",IF('Facility Master'!Z41="","-",'Facility Master'!Z41-AsOfDate),IF('Facility Master'!AB41="","-",'Facility Master'!AB41-AsOfDate)),"-")</f>
        <v>111</v>
      </c>
      <c r="I40" s="248" t="str">
        <f>IFERROR(IF('Facility Master'!D41="FB-Term",IF('Facility Master'!Z41="","No Maturity",IF(H40&lt;=180,"Maturing (&lt;=180d)",IF(H40&lt;=365,"Maturing (&lt;=1yr)","TL, On Schedule"))),IF('Facility Master'!AB41="","No Validity",IF(H40&lt;=30,"Expiring (&lt;=30d)",IF(H40&lt;=60,"Due for Review (&lt;=60d)","OK")))),"")</f>
        <v>OK</v>
      </c>
    </row>
    <row r="41" spans="1:9" ht="19.5" customHeight="1" x14ac:dyDescent="0.3">
      <c r="A41" s="611">
        <f>IFERROR('Facility Master'!A42,"")</f>
        <v>38</v>
      </c>
      <c r="B41" s="612"/>
      <c r="C41" s="613" t="str">
        <f>IFERROR('Facility Master'!C42,"")</f>
        <v>Cash Credit (sub of LC)</v>
      </c>
      <c r="D41" s="615">
        <f>IFERROR('Facility Master'!K42,0)</f>
        <v>50</v>
      </c>
      <c r="E41" s="615">
        <f>IFERROR('Facility Master'!M42,0)</f>
        <v>50</v>
      </c>
      <c r="F41" s="756">
        <f>IFERROR('Facility Master'!N42,0)</f>
        <v>1</v>
      </c>
      <c r="G41" s="747" t="str">
        <f t="shared" si="0"/>
        <v>High (&gt;90%)</v>
      </c>
      <c r="H41" s="674">
        <f>IFERROR(IF('Facility Master'!D42="FB-Term",IF('Facility Master'!Z42="","-",'Facility Master'!Z42-AsOfDate),IF('Facility Master'!AB42="","-",'Facility Master'!AB42-AsOfDate)),"-")</f>
        <v>111</v>
      </c>
      <c r="I41" s="248" t="str">
        <f>IFERROR(IF('Facility Master'!D42="FB-Term",IF('Facility Master'!Z42="","No Maturity",IF(H41&lt;=180,"Maturing (&lt;=180d)",IF(H41&lt;=365,"Maturing (&lt;=1yr)","TL, On Schedule"))),IF('Facility Master'!AB42="","No Validity",IF(H41&lt;=30,"Expiring (&lt;=30d)",IF(H41&lt;=60,"Due for Review (&lt;=60d)","OK")))),"")</f>
        <v>OK</v>
      </c>
    </row>
    <row r="42" spans="1:9" ht="19.5" customHeight="1" x14ac:dyDescent="0.3">
      <c r="A42" s="501">
        <f>IFERROR('Facility Master'!A43,"")</f>
        <v>39</v>
      </c>
      <c r="B42" s="243"/>
      <c r="C42" s="244" t="str">
        <f>IFERROR('Facility Master'!C43,"")</f>
        <v>WCDL (sub of LC)</v>
      </c>
      <c r="D42" s="503">
        <f>IFERROR('Facility Master'!K43,0)</f>
        <v>50</v>
      </c>
      <c r="E42" s="503">
        <f>IFERROR('Facility Master'!M43,0)</f>
        <v>50</v>
      </c>
      <c r="F42" s="504">
        <f>IFERROR('Facility Master'!N43,0)</f>
        <v>1</v>
      </c>
      <c r="G42" s="747" t="str">
        <f t="shared" si="0"/>
        <v>High (&gt;90%)</v>
      </c>
      <c r="H42" s="260">
        <f>IFERROR(IF('Facility Master'!D43="FB-Term",IF('Facility Master'!Z43="","-",'Facility Master'!Z43-AsOfDate),IF('Facility Master'!AB43="","-",'Facility Master'!AB43-AsOfDate)),"-")</f>
        <v>111</v>
      </c>
      <c r="I42" s="248" t="str">
        <f>IFERROR(IF('Facility Master'!D43="FB-Term",IF('Facility Master'!Z43="","No Maturity",IF(H42&lt;=180,"Maturing (&lt;=180d)",IF(H42&lt;=365,"Maturing (&lt;=1yr)","TL, On Schedule"))),IF('Facility Master'!AB43="","No Validity",IF(H42&lt;=30,"Expiring (&lt;=30d)",IF(H42&lt;=60,"Due for Review (&lt;=60d)","OK")))),"")</f>
        <v>OK</v>
      </c>
    </row>
    <row r="43" spans="1:9" ht="19.5" customHeight="1" x14ac:dyDescent="0.3">
      <c r="A43" s="611">
        <f>IFERROR('Facility Master'!A44,"")</f>
        <v>40</v>
      </c>
      <c r="B43" s="612"/>
      <c r="C43" s="613" t="str">
        <f>IFERROR('Facility Master'!C44,"")</f>
        <v>FD-OD (FD-Backed)</v>
      </c>
      <c r="D43" s="615">
        <f>IFERROR('Facility Master'!K44,0)</f>
        <v>50</v>
      </c>
      <c r="E43" s="615">
        <f>IFERROR('Facility Master'!M44,0)</f>
        <v>50</v>
      </c>
      <c r="F43" s="756">
        <f>IFERROR('Facility Master'!N44,0)</f>
        <v>1</v>
      </c>
      <c r="G43" s="747" t="str">
        <f t="shared" si="0"/>
        <v>High (&gt;90%)</v>
      </c>
      <c r="H43" s="674">
        <f>IFERROR(IF('Facility Master'!D44="FB-Term",IF('Facility Master'!Z44="","-",'Facility Master'!Z44-AsOfDate),IF('Facility Master'!AB44="","-",'Facility Master'!AB44-AsOfDate)),"-")</f>
        <v>111</v>
      </c>
      <c r="I43" s="248" t="str">
        <f>IFERROR(IF('Facility Master'!D44="FB-Term",IF('Facility Master'!Z44="","No Maturity",IF(H43&lt;=180,"Maturing (&lt;=180d)",IF(H43&lt;=365,"Maturing (&lt;=1yr)","TL, On Schedule"))),IF('Facility Master'!AB44="","No Validity",IF(H43&lt;=30,"Expiring (&lt;=30d)",IF(H43&lt;=60,"Due for Review (&lt;=60d)","OK")))),"")</f>
        <v>OK</v>
      </c>
    </row>
    <row r="44" spans="1:9" ht="19.5" customHeight="1" x14ac:dyDescent="0.3">
      <c r="A44" s="501">
        <f>IFERROR('Facility Master'!A45,"")</f>
        <v>41</v>
      </c>
      <c r="B44" s="243"/>
      <c r="C44" s="244" t="str">
        <f>IFERROR('Facility Master'!C45,"")</f>
        <v>BG (sub of FD-OD)</v>
      </c>
      <c r="D44" s="503">
        <f>IFERROR('Facility Master'!K45,0)</f>
        <v>50</v>
      </c>
      <c r="E44" s="503">
        <f>IFERROR('Facility Master'!M45,0)</f>
        <v>50</v>
      </c>
      <c r="F44" s="504">
        <f>IFERROR('Facility Master'!N45,0)</f>
        <v>1</v>
      </c>
      <c r="G44" s="747" t="str">
        <f t="shared" si="0"/>
        <v>High (&gt;90%)</v>
      </c>
      <c r="H44" s="260">
        <f>IFERROR(IF('Facility Master'!D45="FB-Term",IF('Facility Master'!Z45="","-",'Facility Master'!Z45-AsOfDate),IF('Facility Master'!AB45="","-",'Facility Master'!AB45-AsOfDate)),"-")</f>
        <v>111</v>
      </c>
      <c r="I44" s="248" t="str">
        <f>IFERROR(IF('Facility Master'!D45="FB-Term",IF('Facility Master'!Z45="","No Maturity",IF(H44&lt;=180,"Maturing (&lt;=180d)",IF(H44&lt;=365,"Maturing (&lt;=1yr)","TL, On Schedule"))),IF('Facility Master'!AB45="","No Validity",IF(H44&lt;=30,"Expiring (&lt;=30d)",IF(H44&lt;=60,"Due for Review (&lt;=60d)","OK")))),"")</f>
        <v>OK</v>
      </c>
    </row>
    <row r="45" spans="1:9" ht="19.5" customHeight="1" x14ac:dyDescent="0.3">
      <c r="A45" s="481">
        <f>IFERROR('Facility Master'!A46,"")</f>
        <v>42</v>
      </c>
      <c r="B45" s="482" t="str">
        <f>IFERROR('Facility Master'!B46,"")</f>
        <v>ICICI Bank (TL)</v>
      </c>
      <c r="C45" s="483" t="str">
        <f>IFERROR('Facility Master'!C46,"")</f>
        <v>Term Loan, TAKEOVER of disbursed consortium</v>
      </c>
      <c r="D45" s="485">
        <f>IFERROR('Facility Master'!K46,0)</f>
        <v>840</v>
      </c>
      <c r="E45" s="485">
        <f>IFERROR('Facility Master'!M46,0)</f>
        <v>840</v>
      </c>
      <c r="F45" s="486">
        <f>IFERROR('Facility Master'!N46,0)</f>
        <v>1</v>
      </c>
      <c r="G45" s="747" t="str">
        <f t="shared" si="0"/>
        <v>High (&gt;90%)</v>
      </c>
      <c r="H45" s="762">
        <f>IFERROR(IF('Facility Master'!D46="FB-Term",IF('Facility Master'!Z46="","-",'Facility Master'!Z46-AsOfDate),IF('Facility Master'!AB46="","-",'Facility Master'!AB46-AsOfDate)),"-")</f>
        <v>4706</v>
      </c>
      <c r="I45" s="749" t="str">
        <f>IFERROR(IF('Facility Master'!D46="FB-Term",IF('Facility Master'!Z46="","No Maturity",IF(H45&lt;=180,"Maturing (&lt;=180d)",IF(H45&lt;=365,"Maturing (&lt;=1yr)","TL, On Schedule"))),IF('Facility Master'!AB46="","No Validity",IF(H45&lt;=30,"Expiring (&lt;=30d)",IF(H45&lt;=60,"Due for Review (&lt;=60d)","OK")))),"")</f>
        <v>TL, On Schedule</v>
      </c>
    </row>
    <row r="46" spans="1:9" ht="19.5" customHeight="1" x14ac:dyDescent="0.3">
      <c r="A46" s="501">
        <f>IFERROR('Facility Master'!A47,"")</f>
        <v>43</v>
      </c>
      <c r="B46" s="243"/>
      <c r="C46" s="244" t="str">
        <f>IFERROR('Facility Master'!C47,"")</f>
        <v>BG Financial (sub of RTL)</v>
      </c>
      <c r="D46" s="503">
        <f>IFERROR('Facility Master'!K47,0)</f>
        <v>20</v>
      </c>
      <c r="E46" s="503">
        <f>IFERROR('Facility Master'!M47,0)</f>
        <v>20</v>
      </c>
      <c r="F46" s="504">
        <f>IFERROR('Facility Master'!N47,0)</f>
        <v>1</v>
      </c>
      <c r="G46" s="747" t="str">
        <f t="shared" si="0"/>
        <v>High (&gt;90%)</v>
      </c>
      <c r="H46" s="754">
        <f>IFERROR(IF('Facility Master'!D47="FB-Term",IF('Facility Master'!Z47="","-",'Facility Master'!Z47-AsOfDate),IF('Facility Master'!AB47="","-",'Facility Master'!AB47-AsOfDate)),"-")</f>
        <v>1050</v>
      </c>
      <c r="I46" s="755" t="str">
        <f>IFERROR(IF('Facility Master'!D47="FB-Term",IF('Facility Master'!Z47="","No Maturity",IF(H46&lt;=180,"Maturing (&lt;=180d)",IF(H46&lt;=365,"Maturing (&lt;=1yr)","TL, On Schedule"))),IF('Facility Master'!AB47="","No Validity",IF(H46&lt;=30,"Expiring (&lt;=30d)",IF(H46&lt;=60,"Due for Review (&lt;=60d)","OK")))),"")</f>
        <v>OK</v>
      </c>
    </row>
    <row r="47" spans="1:9" ht="19.5" customHeight="1" x14ac:dyDescent="0.3">
      <c r="A47" s="481">
        <f>IFERROR('Facility Master'!A48,"")</f>
        <v>44</v>
      </c>
      <c r="B47" s="539"/>
      <c r="C47" s="483" t="str">
        <f>IFERROR('Facility Master'!C48,"")</f>
        <v>SBLC Buyers Credit (sub of RTL)</v>
      </c>
      <c r="D47" s="485">
        <f>IFERROR('Facility Master'!K48,0)</f>
        <v>20</v>
      </c>
      <c r="E47" s="485">
        <f>IFERROR('Facility Master'!M48,0)</f>
        <v>20</v>
      </c>
      <c r="F47" s="486">
        <f>IFERROR('Facility Master'!N48,0)</f>
        <v>1</v>
      </c>
      <c r="G47" s="747" t="str">
        <f t="shared" si="0"/>
        <v>High (&gt;90%)</v>
      </c>
      <c r="H47" s="763">
        <f>IFERROR(IF('Facility Master'!D48="FB-Term",IF('Facility Master'!Z48="","-",'Facility Master'!Z48-AsOfDate),IF('Facility Master'!AB48="","-",'Facility Master'!AB48-AsOfDate)),"-")</f>
        <v>1050</v>
      </c>
      <c r="I47" s="755" t="str">
        <f>IFERROR(IF('Facility Master'!D48="FB-Term",IF('Facility Master'!Z48="","No Maturity",IF(H47&lt;=180,"Maturing (&lt;=180d)",IF(H47&lt;=365,"Maturing (&lt;=1yr)","TL, On Schedule"))),IF('Facility Master'!AB48="","No Validity",IF(H47&lt;=30,"Expiring (&lt;=30d)",IF(H47&lt;=60,"Due for Review (&lt;=60d)","OK")))),"")</f>
        <v>OK</v>
      </c>
    </row>
    <row r="48" spans="1:9" ht="21.75" customHeight="1" x14ac:dyDescent="0.3">
      <c r="A48" s="191" t="s">
        <v>592</v>
      </c>
      <c r="B48" s="336"/>
      <c r="C48" s="336"/>
      <c r="D48" s="518">
        <f>SUM(D4:D47)</f>
        <v>8251.0719999999983</v>
      </c>
      <c r="E48" s="518">
        <f>SUM(E4:E47)</f>
        <v>8251.0719999999983</v>
      </c>
      <c r="F48" s="336"/>
      <c r="G48" s="336"/>
      <c r="H48" s="336"/>
      <c r="I48" s="336"/>
    </row>
    <row r="49" spans="1:9" ht="19.5" customHeight="1" x14ac:dyDescent="0.3">
      <c r="A49" s="520" t="s">
        <v>778</v>
      </c>
      <c r="B49" s="520"/>
      <c r="C49" s="520"/>
      <c r="D49" s="520"/>
      <c r="E49" s="520"/>
      <c r="F49" s="520"/>
      <c r="G49" s="520"/>
      <c r="H49" s="520"/>
      <c r="I49" s="520"/>
    </row>
    <row r="50" spans="1:9" ht="7.5" customHeight="1" x14ac:dyDescent="0.3">
      <c r="A50" s="320"/>
      <c r="B50" s="320"/>
      <c r="C50" s="320"/>
      <c r="D50" s="320"/>
      <c r="E50" s="320"/>
      <c r="F50" s="320"/>
      <c r="G50" s="320"/>
      <c r="H50" s="320"/>
      <c r="I50" s="320"/>
    </row>
    <row r="51" spans="1:9" ht="21.75" customHeight="1" x14ac:dyDescent="0.3">
      <c r="A51" s="336" t="s">
        <v>779</v>
      </c>
      <c r="B51" s="336"/>
      <c r="C51" s="336"/>
      <c r="D51" s="336"/>
      <c r="E51" s="336"/>
      <c r="F51" s="336"/>
      <c r="G51" s="336"/>
      <c r="H51" s="336"/>
      <c r="I51" s="336"/>
    </row>
    <row r="52" spans="1:9" ht="19.5" customHeight="1" x14ac:dyDescent="0.3">
      <c r="B52" s="764" t="s">
        <v>780</v>
      </c>
      <c r="C52" s="765" t="s">
        <v>781</v>
      </c>
      <c r="D52" s="766"/>
      <c r="E52" s="766"/>
      <c r="F52" s="766"/>
      <c r="G52" s="766"/>
      <c r="H52" s="766"/>
      <c r="I52" s="766"/>
    </row>
    <row r="53" spans="1:9" ht="19.5" customHeight="1" x14ac:dyDescent="0.3">
      <c r="B53" s="767" t="s">
        <v>782</v>
      </c>
      <c r="C53" s="768" t="s">
        <v>783</v>
      </c>
      <c r="D53" s="480"/>
      <c r="E53" s="480"/>
      <c r="F53" s="480"/>
      <c r="G53" s="480"/>
      <c r="H53" s="480"/>
      <c r="I53" s="480"/>
    </row>
    <row r="54" spans="1:9" ht="19.5" customHeight="1" x14ac:dyDescent="0.3">
      <c r="B54" s="769" t="s">
        <v>784</v>
      </c>
      <c r="C54" s="770" t="s">
        <v>785</v>
      </c>
      <c r="D54" s="737"/>
      <c r="E54" s="737"/>
      <c r="F54" s="737"/>
      <c r="G54" s="737"/>
      <c r="H54" s="737"/>
      <c r="I54" s="737"/>
    </row>
    <row r="55" spans="1:9" ht="19.5" customHeight="1" x14ac:dyDescent="0.3">
      <c r="B55" s="771" t="s">
        <v>786</v>
      </c>
      <c r="C55" s="772" t="s">
        <v>787</v>
      </c>
      <c r="D55" s="773"/>
      <c r="E55" s="773"/>
      <c r="F55" s="773"/>
      <c r="G55" s="773"/>
      <c r="H55" s="773"/>
      <c r="I55" s="773"/>
    </row>
    <row r="56" spans="1:9" ht="19.5" customHeight="1" x14ac:dyDescent="0.3">
      <c r="B56" s="774" t="s">
        <v>788</v>
      </c>
      <c r="C56" s="775" t="s">
        <v>789</v>
      </c>
      <c r="D56" s="776"/>
      <c r="E56" s="776"/>
      <c r="F56" s="776"/>
      <c r="G56" s="776"/>
      <c r="H56" s="776"/>
      <c r="I56" s="776"/>
    </row>
    <row r="57" spans="1:9" ht="14.25" hidden="1" customHeight="1" x14ac:dyDescent="0.3"/>
    <row r="58" spans="1:9" ht="14.25" hidden="1" customHeight="1" x14ac:dyDescent="0.3"/>
    <row r="59" spans="1:9" ht="14.25" hidden="1" customHeight="1" x14ac:dyDescent="0.3"/>
    <row r="60" spans="1:9" ht="14.25" hidden="1" customHeight="1" x14ac:dyDescent="0.3"/>
    <row r="61" spans="1:9" ht="14.25" hidden="1" customHeight="1" x14ac:dyDescent="0.3"/>
    <row r="62" spans="1:9" ht="14.25" hidden="1" customHeight="1" x14ac:dyDescent="0.3"/>
    <row r="63" spans="1:9" ht="14.25" hidden="1" customHeight="1" x14ac:dyDescent="0.3"/>
    <row r="64" spans="1:9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AD47"/>
  </sheetPr>
  <dimension ref="A1:J200"/>
  <sheetViews>
    <sheetView showGridLines="0" zoomScaleNormal="100" workbookViewId="0">
      <pane xSplit="2" ySplit="3" topLeftCell="C8" activePane="bottomRight" state="frozen"/>
      <selection pane="topRight" activeCell="C1" sqref="C1"/>
      <selection pane="bottomLeft" activeCell="A25" sqref="A25"/>
      <selection pane="bottomRight" activeCell="H15" sqref="H15"/>
    </sheetView>
  </sheetViews>
  <sheetFormatPr defaultColWidth="8.6640625" defaultRowHeight="14.4" x14ac:dyDescent="0.3"/>
  <cols>
    <col min="1" max="1" width="88.33203125" bestFit="1" customWidth="1"/>
    <col min="2" max="2" width="20.33203125" customWidth="1"/>
    <col min="3" max="3" width="38.88671875" customWidth="1"/>
    <col min="4" max="4" width="14.77734375" customWidth="1"/>
    <col min="5" max="5" width="16.33203125" customWidth="1"/>
    <col min="6" max="6" width="9.6640625" customWidth="1"/>
    <col min="7" max="7" width="26.88671875" customWidth="1"/>
    <col min="8" max="8" width="29.6640625" customWidth="1"/>
    <col min="9" max="10" width="11.5546875" hidden="1" customWidth="1"/>
  </cols>
  <sheetData>
    <row r="1" spans="1:8" ht="28.05" customHeight="1" x14ac:dyDescent="0.3">
      <c r="A1" s="940" t="s">
        <v>790</v>
      </c>
      <c r="B1" s="940"/>
      <c r="C1" s="940"/>
      <c r="D1" s="940"/>
      <c r="E1" s="940"/>
      <c r="F1" s="940"/>
      <c r="G1" s="940"/>
      <c r="H1" s="940"/>
    </row>
    <row r="2" spans="1:8" ht="16.05" customHeight="1" x14ac:dyDescent="0.3">
      <c r="A2" s="941" t="s">
        <v>791</v>
      </c>
      <c r="B2" s="941"/>
      <c r="C2" s="941"/>
      <c r="D2" s="941"/>
      <c r="E2" s="941"/>
      <c r="F2" s="941"/>
      <c r="G2" s="941"/>
      <c r="H2" s="941"/>
    </row>
    <row r="3" spans="1:8" ht="19.95" customHeight="1" thickBot="1" x14ac:dyDescent="0.35">
      <c r="A3" s="972" t="s">
        <v>121</v>
      </c>
      <c r="B3" s="973" t="s">
        <v>72</v>
      </c>
      <c r="C3" s="973" t="s">
        <v>334</v>
      </c>
      <c r="D3" s="972" t="s">
        <v>356</v>
      </c>
      <c r="E3" s="972" t="s">
        <v>792</v>
      </c>
      <c r="F3" s="994" t="s">
        <v>793</v>
      </c>
      <c r="G3" s="972" t="s">
        <v>126</v>
      </c>
      <c r="H3" s="972" t="s">
        <v>794</v>
      </c>
    </row>
    <row r="4" spans="1:8" x14ac:dyDescent="0.3">
      <c r="A4" s="968">
        <f>IFERROR('Facility Master'!A5,"")</f>
        <v>1</v>
      </c>
      <c r="B4" s="992" t="str">
        <f>IFERROR('Facility Master'!B5,"")</f>
        <v>UBI</v>
      </c>
      <c r="C4" s="969" t="str">
        <f>IFERROR('Facility Master'!C5,"")</f>
        <v>RTL-I (renewal)</v>
      </c>
      <c r="D4" s="970">
        <f>IFERROR('Facility Master'!AA5,"")</f>
        <v>45920</v>
      </c>
      <c r="E4" s="970">
        <f>IFERROR(IF('Facility Master'!D5="FB-Term",'Facility Master'!Z5,'Facility Master'!AB5),"")</f>
        <v>50860</v>
      </c>
      <c r="F4" s="971">
        <f>IFERROR(IF('Facility Master'!D5="FB-Term",IF('Facility Master'!Z5="","-",'Facility Master'!Z5-AsOfDate),IF('Facility Master'!AB5="","-",'Facility Master'!AB5-AsOfDate)),"-")</f>
        <v>4706</v>
      </c>
      <c r="G4" s="968" t="str">
        <f>IFERROR(IF('Facility Master'!D5="FB-Term",IF('Facility Master'!Z5="","No Maturity",IF(F4&lt;=180,"Maturing &lt;=180d",IF(F4&lt;=365,"Maturing &lt;=1yr","Term Loan, On Schedule"))),IF('Facility Master'!AB5="","No Validity Date",IF(F4&lt;0,"Validity passed, confirm renewal",IF(F4&lt;=30,"Expiring &lt;=30d",IF(F4&lt;=60,"Due &lt;=60d","Valid"))))),"")</f>
        <v>Term Loan, On Schedule</v>
      </c>
      <c r="H4" s="969" t="str">
        <f t="shared" ref="H4:H47" si="0">IF(G4="Validity passed, confirm renewal","Confirm renewal with RM immediately",IF(LEFT(G4,8)="Expiring","Initiate renewal, 30 days",IF(G4="Due &lt;=60d","Begin renewal preparation",IF(G4="Maturing &lt;=180d","Plan refinance",IF(G4="Maturing &lt;=1yr","Begin refinance discussion","-")))))</f>
        <v>-</v>
      </c>
    </row>
    <row r="5" spans="1:8" x14ac:dyDescent="0.3">
      <c r="A5" s="964">
        <f>IFERROR('Facility Master'!A6,"")</f>
        <v>2</v>
      </c>
      <c r="B5" s="965"/>
      <c r="C5" s="950" t="str">
        <f>IFERROR('Facility Master'!C6,"")</f>
        <v>RTL-II (fresh)</v>
      </c>
      <c r="D5" s="966">
        <f>IFERROR('Facility Master'!AA6,"")</f>
        <v>45920</v>
      </c>
      <c r="E5" s="966">
        <f>IFERROR(IF('Facility Master'!D6="FB-Term",'Facility Master'!Z6,'Facility Master'!AB6),"")</f>
        <v>50860</v>
      </c>
      <c r="F5" s="967">
        <f>IFERROR(IF('Facility Master'!D6="FB-Term",IF('Facility Master'!Z6="","-",'Facility Master'!Z6-AsOfDate),IF('Facility Master'!AB6="","-",'Facility Master'!AB6-AsOfDate)),"-")</f>
        <v>4706</v>
      </c>
      <c r="G5" s="964" t="str">
        <f>IFERROR(IF('Facility Master'!D6="FB-Term",IF('Facility Master'!Z6="","No Maturity",IF(F5&lt;=180,"Maturing &lt;=180d",IF(F5&lt;=365,"Maturing &lt;=1yr","Term Loan, On Schedule"))),IF('Facility Master'!AB6="","No Validity Date",IF(F5&lt;0,"Validity passed, confirm renewal",IF(F5&lt;=30,"Expiring &lt;=30d",IF(F5&lt;=60,"Due &lt;=60d","Valid"))))),"")</f>
        <v>Term Loan, On Schedule</v>
      </c>
      <c r="H5" s="950" t="str">
        <f t="shared" si="0"/>
        <v>-</v>
      </c>
    </row>
    <row r="6" spans="1:8" x14ac:dyDescent="0.3">
      <c r="A6" s="959">
        <f>IFERROR('Facility Master'!A7,"")</f>
        <v>3</v>
      </c>
      <c r="B6" s="960"/>
      <c r="C6" s="961" t="str">
        <f>IFERROR('Facility Master'!C7,"")</f>
        <v>Letter of Credit (Capex LC/UPAS/SBLC)</v>
      </c>
      <c r="D6" s="962">
        <f>IFERROR('Facility Master'!AA7,"")</f>
        <v>45920</v>
      </c>
      <c r="E6" s="962">
        <f>IFERROR(IF('Facility Master'!D7="FB-Term",'Facility Master'!Z7,'Facility Master'!AB7),"")</f>
        <v>46284</v>
      </c>
      <c r="F6" s="963">
        <f>IFERROR(IF('Facility Master'!D7="FB-Term",IF('Facility Master'!Z7="","-",'Facility Master'!Z7-AsOfDate),IF('Facility Master'!AB7="","-",'Facility Master'!AB7-AsOfDate)),"-")</f>
        <v>130</v>
      </c>
      <c r="G6" s="959" t="str">
        <f>IFERROR(IF('Facility Master'!D7="FB-Term",IF('Facility Master'!Z7="","No Maturity",IF(F6&lt;=180,"Maturing &lt;=180d",IF(F6&lt;=365,"Maturing &lt;=1yr","Term Loan, On Schedule"))),IF('Facility Master'!AB7="","No Validity Date",IF(F6&lt;0,"Validity passed, confirm renewal",IF(F6&lt;=30,"Expiring &lt;=30d",IF(F6&lt;=60,"Due &lt;=60d","Valid"))))),"")</f>
        <v>Valid</v>
      </c>
      <c r="H6" s="961" t="str">
        <f t="shared" si="0"/>
        <v>-</v>
      </c>
    </row>
    <row r="7" spans="1:8" x14ac:dyDescent="0.3">
      <c r="A7" s="964">
        <f>IFERROR('Facility Master'!A8,"")</f>
        <v>4</v>
      </c>
      <c r="B7" s="965"/>
      <c r="C7" s="950" t="str">
        <f>IFERROR('Facility Master'!C8,"")</f>
        <v>Bank Guarantee</v>
      </c>
      <c r="D7" s="966">
        <f>IFERROR('Facility Master'!AA8,"")</f>
        <v>45920</v>
      </c>
      <c r="E7" s="966">
        <f>IFERROR(IF('Facility Master'!D8="FB-Term",'Facility Master'!Z8,'Facility Master'!AB8),"")</f>
        <v>46284</v>
      </c>
      <c r="F7" s="967">
        <f>IFERROR(IF('Facility Master'!D8="FB-Term",IF('Facility Master'!Z8="","-",'Facility Master'!Z8-AsOfDate),IF('Facility Master'!AB8="","-",'Facility Master'!AB8-AsOfDate)),"-")</f>
        <v>130</v>
      </c>
      <c r="G7" s="964" t="str">
        <f>IFERROR(IF('Facility Master'!D8="FB-Term",IF('Facility Master'!Z8="","No Maturity",IF(F7&lt;=180,"Maturing &lt;=180d",IF(F7&lt;=365,"Maturing &lt;=1yr","Term Loan, On Schedule"))),IF('Facility Master'!AB8="","No Validity Date",IF(F7&lt;0,"Validity passed, confirm renewal",IF(F7&lt;=30,"Expiring &lt;=30d",IF(F7&lt;=60,"Due &lt;=60d","Valid"))))),"")</f>
        <v>Valid</v>
      </c>
      <c r="H7" s="950" t="str">
        <f t="shared" si="0"/>
        <v>-</v>
      </c>
    </row>
    <row r="8" spans="1:8" x14ac:dyDescent="0.3">
      <c r="A8" s="959">
        <f>IFERROR('Facility Master'!A9,"")</f>
        <v>5</v>
      </c>
      <c r="B8" s="960"/>
      <c r="C8" s="961" t="str">
        <f>IFERROR('Facility Master'!C9,"")</f>
        <v>Forward Contract (credit equivalent)</v>
      </c>
      <c r="D8" s="962">
        <f>IFERROR('Facility Master'!AA9,"")</f>
        <v>45920</v>
      </c>
      <c r="E8" s="962">
        <f>IFERROR(IF('Facility Master'!D9="FB-Term",'Facility Master'!Z9,'Facility Master'!AB9),"")</f>
        <v>46284</v>
      </c>
      <c r="F8" s="963">
        <f>IFERROR(IF('Facility Master'!D9="FB-Term",IF('Facility Master'!Z9="","-",'Facility Master'!Z9-AsOfDate),IF('Facility Master'!AB9="","-",'Facility Master'!AB9-AsOfDate)),"-")</f>
        <v>130</v>
      </c>
      <c r="G8" s="959" t="str">
        <f>IFERROR(IF('Facility Master'!D9="FB-Term",IF('Facility Master'!Z9="","No Maturity",IF(F8&lt;=180,"Maturing &lt;=180d",IF(F8&lt;=365,"Maturing &lt;=1yr","Term Loan, On Schedule"))),IF('Facility Master'!AB9="","No Validity Date",IF(F8&lt;0,"Validity passed, confirm renewal",IF(F8&lt;=30,"Expiring &lt;=30d",IF(F8&lt;=60,"Due &lt;=60d","Valid"))))),"")</f>
        <v>Valid</v>
      </c>
      <c r="H8" s="961" t="str">
        <f t="shared" si="0"/>
        <v>-</v>
      </c>
    </row>
    <row r="9" spans="1:8" x14ac:dyDescent="0.3">
      <c r="A9" s="964">
        <f>IFERROR('Facility Master'!A10,"")</f>
        <v>6</v>
      </c>
      <c r="B9" s="955" t="str">
        <f>IFERROR('Facility Master'!B10,"")</f>
        <v>Indian Bank</v>
      </c>
      <c r="C9" s="950" t="str">
        <f>IFERROR('Facility Master'!C10,"")</f>
        <v>Term Loan (per amendment ticket)</v>
      </c>
      <c r="D9" s="966">
        <f>IFERROR('Facility Master'!AA10,"")</f>
        <v>45926</v>
      </c>
      <c r="E9" s="966">
        <f>IFERROR(IF('Facility Master'!D10="FB-Term",'Facility Master'!Z10,'Facility Master'!AB10),"")</f>
        <v>50770</v>
      </c>
      <c r="F9" s="967">
        <f>IFERROR(IF('Facility Master'!D10="FB-Term",IF('Facility Master'!Z10="","-",'Facility Master'!Z10-AsOfDate),IF('Facility Master'!AB10="","-",'Facility Master'!AB10-AsOfDate)),"-")</f>
        <v>4616</v>
      </c>
      <c r="G9" s="964" t="str">
        <f>IFERROR(IF('Facility Master'!D10="FB-Term",IF('Facility Master'!Z10="","No Maturity",IF(F9&lt;=180,"Maturing &lt;=180d",IF(F9&lt;=365,"Maturing &lt;=1yr","Term Loan, On Schedule"))),IF('Facility Master'!AB10="","No Validity Date",IF(F9&lt;0,"Validity passed, confirm renewal",IF(F9&lt;=30,"Expiring &lt;=30d",IF(F9&lt;=60,"Due &lt;=60d","Valid"))))),"")</f>
        <v>Term Loan, On Schedule</v>
      </c>
      <c r="H9" s="950" t="str">
        <f t="shared" si="0"/>
        <v>-</v>
      </c>
    </row>
    <row r="10" spans="1:8" x14ac:dyDescent="0.3">
      <c r="A10" s="959">
        <f>IFERROR('Facility Master'!A11,"")</f>
        <v>7</v>
      </c>
      <c r="B10" s="993" t="str">
        <f>IFERROR('Facility Master'!B11,"")</f>
        <v>RBL Bank</v>
      </c>
      <c r="C10" s="961" t="str">
        <f>IFERROR('Facility Master'!C11,"")</f>
        <v>Term Loan (12-month bullet bridge)</v>
      </c>
      <c r="D10" s="962">
        <f>IFERROR('Facility Master'!AA11,"")</f>
        <v>45974</v>
      </c>
      <c r="E10" s="962">
        <f>IFERROR(IF('Facility Master'!D11="FB-Term",'Facility Master'!Z11,'Facility Master'!AB11),"")</f>
        <v>46339</v>
      </c>
      <c r="F10" s="963">
        <f>IFERROR(IF('Facility Master'!D11="FB-Term",IF('Facility Master'!Z11="","-",'Facility Master'!Z11-AsOfDate),IF('Facility Master'!AB11="","-",'Facility Master'!AB11-AsOfDate)),"-")</f>
        <v>185</v>
      </c>
      <c r="G10" s="959" t="str">
        <f>IFERROR(IF('Facility Master'!D11="FB-Term",IF('Facility Master'!Z11="","No Maturity",IF(F10&lt;=180,"Maturing &lt;=180d",IF(F10&lt;=365,"Maturing &lt;=1yr","Term Loan, On Schedule"))),IF('Facility Master'!AB11="","No Validity Date",IF(F10&lt;0,"Validity passed, confirm renewal",IF(F10&lt;=30,"Expiring &lt;=30d",IF(F10&lt;=60,"Due &lt;=60d","Valid"))))),"")</f>
        <v>Maturing &lt;=1yr</v>
      </c>
      <c r="H10" s="961" t="str">
        <f t="shared" si="0"/>
        <v>Begin refinance discussion</v>
      </c>
    </row>
    <row r="11" spans="1:8" x14ac:dyDescent="0.3">
      <c r="A11" s="964">
        <f>IFERROR('Facility Master'!A12,"")</f>
        <v>8</v>
      </c>
      <c r="B11" s="965"/>
      <c r="C11" s="950" t="str">
        <f>IFERROR('Facility Master'!C12,"")</f>
        <v>Letter of Credit (sub-limit of TL)</v>
      </c>
      <c r="D11" s="966">
        <f>IFERROR('Facility Master'!AA12,"")</f>
        <v>45974</v>
      </c>
      <c r="E11" s="966">
        <f>IFERROR(IF('Facility Master'!D12="FB-Term",'Facility Master'!Z12,'Facility Master'!AB12),"")</f>
        <v>46265</v>
      </c>
      <c r="F11" s="967">
        <f>IFERROR(IF('Facility Master'!D12="FB-Term",IF('Facility Master'!Z12="","-",'Facility Master'!Z12-AsOfDate),IF('Facility Master'!AB12="","-",'Facility Master'!AB12-AsOfDate)),"-")</f>
        <v>111</v>
      </c>
      <c r="G11" s="964" t="str">
        <f>IFERROR(IF('Facility Master'!D12="FB-Term",IF('Facility Master'!Z12="","No Maturity",IF(F11&lt;=180,"Maturing &lt;=180d",IF(F11&lt;=365,"Maturing &lt;=1yr","Term Loan, On Schedule"))),IF('Facility Master'!AB12="","No Validity Date",IF(F11&lt;0,"Validity passed, confirm renewal",IF(F11&lt;=30,"Expiring &lt;=30d",IF(F11&lt;=60,"Due &lt;=60d","Valid"))))),"")</f>
        <v>Valid</v>
      </c>
      <c r="H11" s="950" t="str">
        <f t="shared" si="0"/>
        <v>-</v>
      </c>
    </row>
    <row r="12" spans="1:8" x14ac:dyDescent="0.3">
      <c r="A12" s="959">
        <f>IFERROR('Facility Master'!A13,"")</f>
        <v>9</v>
      </c>
      <c r="B12" s="960"/>
      <c r="C12" s="961" t="str">
        <f>IFERROR('Facility Master'!C13,"")</f>
        <v>FDOD (Overdraft against FD)</v>
      </c>
      <c r="D12" s="962">
        <f>IFERROR('Facility Master'!AA13,"")</f>
        <v>45974</v>
      </c>
      <c r="E12" s="962">
        <f>IFERROR(IF('Facility Master'!D13="FB-Term",'Facility Master'!Z13,'Facility Master'!AB13),"")</f>
        <v>46265</v>
      </c>
      <c r="F12" s="963">
        <f>IFERROR(IF('Facility Master'!D13="FB-Term",IF('Facility Master'!Z13="","-",'Facility Master'!Z13-AsOfDate),IF('Facility Master'!AB13="","-",'Facility Master'!AB13-AsOfDate)),"-")</f>
        <v>111</v>
      </c>
      <c r="G12" s="959" t="str">
        <f>IFERROR(IF('Facility Master'!D13="FB-Term",IF('Facility Master'!Z13="","No Maturity",IF(F12&lt;=180,"Maturing &lt;=180d",IF(F12&lt;=365,"Maturing &lt;=1yr","Term Loan, On Schedule"))),IF('Facility Master'!AB13="","No Validity Date",IF(F12&lt;0,"Validity passed, confirm renewal",IF(F12&lt;=30,"Expiring &lt;=30d",IF(F12&lt;=60,"Due &lt;=60d","Valid"))))),"")</f>
        <v>Valid</v>
      </c>
      <c r="H12" s="961" t="str">
        <f t="shared" si="0"/>
        <v>-</v>
      </c>
    </row>
    <row r="13" spans="1:8" x14ac:dyDescent="0.3">
      <c r="A13" s="964">
        <f>IFERROR('Facility Master'!A14,"")</f>
        <v>10</v>
      </c>
      <c r="B13" s="955" t="str">
        <f>IFERROR('Facility Master'!B14,"")</f>
        <v>YES Bank</v>
      </c>
      <c r="C13" s="950" t="str">
        <f>IFERROR('Facility Master'!C14,"")</f>
        <v>Term Loan (project, new consortium joiner)</v>
      </c>
      <c r="D13" s="966">
        <f>IFERROR('Facility Master'!AA14,"")</f>
        <v>46020</v>
      </c>
      <c r="E13" s="966">
        <f>IFERROR(IF('Facility Master'!D14="FB-Term",'Facility Master'!Z14,'Facility Master'!AB14),"")</f>
        <v>50860</v>
      </c>
      <c r="F13" s="967">
        <f>IFERROR(IF('Facility Master'!D14="FB-Term",IF('Facility Master'!Z14="","-",'Facility Master'!Z14-AsOfDate),IF('Facility Master'!AB14="","-",'Facility Master'!AB14-AsOfDate)),"-")</f>
        <v>4706</v>
      </c>
      <c r="G13" s="964" t="str">
        <f>IFERROR(IF('Facility Master'!D14="FB-Term",IF('Facility Master'!Z14="","No Maturity",IF(F13&lt;=180,"Maturing &lt;=180d",IF(F13&lt;=365,"Maturing &lt;=1yr","Term Loan, On Schedule"))),IF('Facility Master'!AB14="","No Validity Date",IF(F13&lt;0,"Validity passed, confirm renewal",IF(F13&lt;=30,"Expiring &lt;=30d",IF(F13&lt;=60,"Due &lt;=60d","Valid"))))),"")</f>
        <v>Term Loan, On Schedule</v>
      </c>
      <c r="H13" s="950" t="str">
        <f t="shared" si="0"/>
        <v>-</v>
      </c>
    </row>
    <row r="14" spans="1:8" x14ac:dyDescent="0.3">
      <c r="A14" s="959">
        <f>IFERROR('Facility Master'!A15,"")</f>
        <v>11</v>
      </c>
      <c r="B14" s="960"/>
      <c r="C14" s="961" t="str">
        <f>IFERROR('Facility Master'!C15,"")</f>
        <v>Capex LC (sub-limit of TL)</v>
      </c>
      <c r="D14" s="962">
        <f>IFERROR('Facility Master'!AA15,"")</f>
        <v>46020</v>
      </c>
      <c r="E14" s="962">
        <f>IFERROR(IF('Facility Master'!D15="FB-Term",'Facility Master'!Z15,'Facility Master'!AB15),"")</f>
        <v>47116</v>
      </c>
      <c r="F14" s="963">
        <f>IFERROR(IF('Facility Master'!D15="FB-Term",IF('Facility Master'!Z15="","-",'Facility Master'!Z15-AsOfDate),IF('Facility Master'!AB15="","-",'Facility Master'!AB15-AsOfDate)),"-")</f>
        <v>962</v>
      </c>
      <c r="G14" s="959" t="str">
        <f>IFERROR(IF('Facility Master'!D15="FB-Term",IF('Facility Master'!Z15="","No Maturity",IF(F14&lt;=180,"Maturing &lt;=180d",IF(F14&lt;=365,"Maturing &lt;=1yr","Term Loan, On Schedule"))),IF('Facility Master'!AB15="","No Validity Date",IF(F14&lt;0,"Validity passed, confirm renewal",IF(F14&lt;=30,"Expiring &lt;=30d",IF(F14&lt;=60,"Due &lt;=60d","Valid"))))),"")</f>
        <v>Valid</v>
      </c>
      <c r="H14" s="961" t="str">
        <f t="shared" si="0"/>
        <v>-</v>
      </c>
    </row>
    <row r="15" spans="1:8" x14ac:dyDescent="0.3">
      <c r="A15" s="964">
        <f>IFERROR('Facility Master'!A16,"")</f>
        <v>12</v>
      </c>
      <c r="B15" s="955" t="str">
        <f>IFERROR('Facility Master'!B16,"")</f>
        <v>IDFC First Bank</v>
      </c>
      <c r="C15" s="950" t="str">
        <f>IFERROR('Facility Master'!C16,"")</f>
        <v>RTL (project, new consortium joiner)</v>
      </c>
      <c r="D15" s="966">
        <f>IFERROR('Facility Master'!AA16,"")</f>
        <v>46031</v>
      </c>
      <c r="E15" s="966">
        <f>IFERROR(IF('Facility Master'!D16="FB-Term",'Facility Master'!Z16,'Facility Master'!AB16),"")</f>
        <v>50860</v>
      </c>
      <c r="F15" s="967">
        <f>IFERROR(IF('Facility Master'!D16="FB-Term",IF('Facility Master'!Z16="","-",'Facility Master'!Z16-AsOfDate),IF('Facility Master'!AB16="","-",'Facility Master'!AB16-AsOfDate)),"-")</f>
        <v>4706</v>
      </c>
      <c r="G15" s="964" t="str">
        <f>IFERROR(IF('Facility Master'!D16="FB-Term",IF('Facility Master'!Z16="","No Maturity",IF(F15&lt;=180,"Maturing &lt;=180d",IF(F15&lt;=365,"Maturing &lt;=1yr","Term Loan, On Schedule"))),IF('Facility Master'!AB16="","No Validity Date",IF(F15&lt;0,"Validity passed, confirm renewal",IF(F15&lt;=30,"Expiring &lt;=30d",IF(F15&lt;=60,"Due &lt;=60d","Valid"))))),"")</f>
        <v>Term Loan, On Schedule</v>
      </c>
      <c r="H15" s="950" t="str">
        <f t="shared" si="0"/>
        <v>-</v>
      </c>
    </row>
    <row r="16" spans="1:8" x14ac:dyDescent="0.3">
      <c r="A16" s="959">
        <f>IFERROR('Facility Master'!A17,"")</f>
        <v>13</v>
      </c>
      <c r="B16" s="960"/>
      <c r="C16" s="961" t="str">
        <f>IFERROR('Facility Master'!C17,"")</f>
        <v>NFB, Capex LC/SBLC (A)</v>
      </c>
      <c r="D16" s="962">
        <f>IFERROR('Facility Master'!AA17,"")</f>
        <v>46031</v>
      </c>
      <c r="E16" s="962">
        <f>IFERROR(IF('Facility Master'!D17="FB-Term",'Facility Master'!Z17,'Facility Master'!AB17),"")</f>
        <v>46295</v>
      </c>
      <c r="F16" s="963">
        <f>IFERROR(IF('Facility Master'!D17="FB-Term",IF('Facility Master'!Z17="","-",'Facility Master'!Z17-AsOfDate),IF('Facility Master'!AB17="","-",'Facility Master'!AB17-AsOfDate)),"-")</f>
        <v>141</v>
      </c>
      <c r="G16" s="959" t="str">
        <f>IFERROR(IF('Facility Master'!D17="FB-Term",IF('Facility Master'!Z17="","No Maturity",IF(F16&lt;=180,"Maturing &lt;=180d",IF(F16&lt;=365,"Maturing &lt;=1yr","Term Loan, On Schedule"))),IF('Facility Master'!AB17="","No Validity Date",IF(F16&lt;0,"Validity passed, confirm renewal",IF(F16&lt;=30,"Expiring &lt;=30d",IF(F16&lt;=60,"Due &lt;=60d","Valid"))))),"")</f>
        <v>Valid</v>
      </c>
      <c r="H16" s="961" t="str">
        <f t="shared" si="0"/>
        <v>-</v>
      </c>
    </row>
    <row r="17" spans="1:8" ht="26.4" x14ac:dyDescent="0.3">
      <c r="A17" s="964">
        <f>IFERROR('Facility Master'!A18,"")</f>
        <v>14</v>
      </c>
      <c r="B17" s="965"/>
      <c r="C17" s="950" t="str">
        <f>IFERROR('Facility Master'!C18,"")</f>
        <v>NFB, BG / SBLC (B, sub-limit within ₹400 cap)</v>
      </c>
      <c r="D17" s="966">
        <f>IFERROR('Facility Master'!AA18,"")</f>
        <v>46031</v>
      </c>
      <c r="E17" s="966">
        <f>IFERROR(IF('Facility Master'!D18="FB-Term",'Facility Master'!Z18,'Facility Master'!AB18),"")</f>
        <v>46295</v>
      </c>
      <c r="F17" s="967">
        <f>IFERROR(IF('Facility Master'!D18="FB-Term",IF('Facility Master'!Z18="","-",'Facility Master'!Z18-AsOfDate),IF('Facility Master'!AB18="","-",'Facility Master'!AB18-AsOfDate)),"-")</f>
        <v>141</v>
      </c>
      <c r="G17" s="964" t="str">
        <f>IFERROR(IF('Facility Master'!D18="FB-Term",IF('Facility Master'!Z18="","No Maturity",IF(F17&lt;=180,"Maturing &lt;=180d",IF(F17&lt;=365,"Maturing &lt;=1yr","Term Loan, On Schedule"))),IF('Facility Master'!AB18="","No Validity Date",IF(F17&lt;0,"Validity passed, confirm renewal",IF(F17&lt;=30,"Expiring &lt;=30d",IF(F17&lt;=60,"Due &lt;=60d","Valid"))))),"")</f>
        <v>Valid</v>
      </c>
      <c r="H17" s="950" t="str">
        <f t="shared" si="0"/>
        <v>-</v>
      </c>
    </row>
    <row r="18" spans="1:8" x14ac:dyDescent="0.3">
      <c r="A18" s="959">
        <f>IFERROR('Facility Master'!A19,"")</f>
        <v>15</v>
      </c>
      <c r="B18" s="993" t="str">
        <f>IFERROR('Facility Master'!B19,"")</f>
        <v>ICICI Bank</v>
      </c>
      <c r="C18" s="961" t="str">
        <f>IFERROR('Facility Master'!C19,"")</f>
        <v>Cash Credit (WC)</v>
      </c>
      <c r="D18" s="962">
        <f>IFERROR('Facility Master'!AA19,"")</f>
        <v>46065</v>
      </c>
      <c r="E18" s="962">
        <f>IFERROR(IF('Facility Master'!D19="FB-Term",'Facility Master'!Z19,'Facility Master'!AB19),"")</f>
        <v>46421</v>
      </c>
      <c r="F18" s="963">
        <f>IFERROR(IF('Facility Master'!D19="FB-Term",IF('Facility Master'!Z19="","-",'Facility Master'!Z19-AsOfDate),IF('Facility Master'!AB19="","-",'Facility Master'!AB19-AsOfDate)),"-")</f>
        <v>267</v>
      </c>
      <c r="G18" s="959" t="str">
        <f>IFERROR(IF('Facility Master'!D19="FB-Term",IF('Facility Master'!Z19="","No Maturity",IF(F18&lt;=180,"Maturing &lt;=180d",IF(F18&lt;=365,"Maturing &lt;=1yr","Term Loan, On Schedule"))),IF('Facility Master'!AB19="","No Validity Date",IF(F18&lt;0,"Validity passed, confirm renewal",IF(F18&lt;=30,"Expiring &lt;=30d",IF(F18&lt;=60,"Due &lt;=60d","Valid"))))),"")</f>
        <v>Valid</v>
      </c>
      <c r="H18" s="961" t="str">
        <f t="shared" si="0"/>
        <v>-</v>
      </c>
    </row>
    <row r="19" spans="1:8" x14ac:dyDescent="0.3">
      <c r="A19" s="964">
        <f>IFERROR('Facility Master'!A20,"")</f>
        <v>16</v>
      </c>
      <c r="B19" s="965"/>
      <c r="C19" s="950" t="str">
        <f>IFERROR('Facility Master'!C20,"")</f>
        <v>WCDL (sub-limit of CC)</v>
      </c>
      <c r="D19" s="966">
        <f>IFERROR('Facility Master'!AA20,"")</f>
        <v>46065</v>
      </c>
      <c r="E19" s="966">
        <f>IFERROR(IF('Facility Master'!D20="FB-Term",'Facility Master'!Z20,'Facility Master'!AB20),"")</f>
        <v>46421</v>
      </c>
      <c r="F19" s="967">
        <f>IFERROR(IF('Facility Master'!D20="FB-Term",IF('Facility Master'!Z20="","-",'Facility Master'!Z20-AsOfDate),IF('Facility Master'!AB20="","-",'Facility Master'!AB20-AsOfDate)),"-")</f>
        <v>267</v>
      </c>
      <c r="G19" s="964" t="str">
        <f>IFERROR(IF('Facility Master'!D20="FB-Term",IF('Facility Master'!Z20="","No Maturity",IF(F19&lt;=180,"Maturing &lt;=180d",IF(F19&lt;=365,"Maturing &lt;=1yr","Term Loan, On Schedule"))),IF('Facility Master'!AB20="","No Validity Date",IF(F19&lt;0,"Validity passed, confirm renewal",IF(F19&lt;=30,"Expiring &lt;=30d",IF(F19&lt;=60,"Due &lt;=60d","Valid"))))),"")</f>
        <v>Valid</v>
      </c>
      <c r="H19" s="950" t="str">
        <f t="shared" si="0"/>
        <v>-</v>
      </c>
    </row>
    <row r="20" spans="1:8" x14ac:dyDescent="0.3">
      <c r="A20" s="959">
        <f>IFERROR('Facility Master'!A21,"")</f>
        <v>17</v>
      </c>
      <c r="B20" s="960"/>
      <c r="C20" s="961" t="str">
        <f>IFERROR('Facility Master'!C21,"")</f>
        <v>Letter of Credit (WC)</v>
      </c>
      <c r="D20" s="962">
        <f>IFERROR('Facility Master'!AA21,"")</f>
        <v>46065</v>
      </c>
      <c r="E20" s="962">
        <f>IFERROR(IF('Facility Master'!D21="FB-Term",'Facility Master'!Z21,'Facility Master'!AB21),"")</f>
        <v>46421</v>
      </c>
      <c r="F20" s="963">
        <f>IFERROR(IF('Facility Master'!D21="FB-Term",IF('Facility Master'!Z21="","-",'Facility Master'!Z21-AsOfDate),IF('Facility Master'!AB21="","-",'Facility Master'!AB21-AsOfDate)),"-")</f>
        <v>267</v>
      </c>
      <c r="G20" s="959" t="str">
        <f>IFERROR(IF('Facility Master'!D21="FB-Term",IF('Facility Master'!Z21="","No Maturity",IF(F20&lt;=180,"Maturing &lt;=180d",IF(F20&lt;=365,"Maturing &lt;=1yr","Term Loan, On Schedule"))),IF('Facility Master'!AB21="","No Validity Date",IF(F20&lt;0,"Validity passed, confirm renewal",IF(F20&lt;=30,"Expiring &lt;=30d",IF(F20&lt;=60,"Due &lt;=60d","Valid"))))),"")</f>
        <v>Valid</v>
      </c>
      <c r="H20" s="961" t="str">
        <f t="shared" si="0"/>
        <v>-</v>
      </c>
    </row>
    <row r="21" spans="1:8" x14ac:dyDescent="0.3">
      <c r="A21" s="964">
        <f>IFERROR('Facility Master'!A22,"")</f>
        <v>18</v>
      </c>
      <c r="B21" s="965"/>
      <c r="C21" s="950" t="str">
        <f>IFERROR('Facility Master'!C22,"")</f>
        <v>BG (F+P, sub-limit of LC)</v>
      </c>
      <c r="D21" s="966">
        <f>IFERROR('Facility Master'!AA22,"")</f>
        <v>46065</v>
      </c>
      <c r="E21" s="966">
        <f>IFERROR(IF('Facility Master'!D22="FB-Term",'Facility Master'!Z22,'Facility Master'!AB22),"")</f>
        <v>46421</v>
      </c>
      <c r="F21" s="967">
        <f>IFERROR(IF('Facility Master'!D22="FB-Term",IF('Facility Master'!Z22="","-",'Facility Master'!Z22-AsOfDate),IF('Facility Master'!AB22="","-",'Facility Master'!AB22-AsOfDate)),"-")</f>
        <v>267</v>
      </c>
      <c r="G21" s="964" t="str">
        <f>IFERROR(IF('Facility Master'!D22="FB-Term",IF('Facility Master'!Z22="","No Maturity",IF(F21&lt;=180,"Maturing &lt;=180d",IF(F21&lt;=365,"Maturing &lt;=1yr","Term Loan, On Schedule"))),IF('Facility Master'!AB22="","No Validity Date",IF(F21&lt;0,"Validity passed, confirm renewal",IF(F21&lt;=30,"Expiring &lt;=30d",IF(F21&lt;=60,"Due &lt;=60d","Valid"))))),"")</f>
        <v>Valid</v>
      </c>
      <c r="H21" s="950" t="str">
        <f t="shared" si="0"/>
        <v>-</v>
      </c>
    </row>
    <row r="22" spans="1:8" x14ac:dyDescent="0.3">
      <c r="A22" s="959">
        <f>IFERROR('Facility Master'!A23,"")</f>
        <v>19</v>
      </c>
      <c r="B22" s="993" t="str">
        <f>IFERROR('Facility Master'!B23,"")</f>
        <v>HSBC</v>
      </c>
      <c r="C22" s="961" t="str">
        <f>IFERROR('Facility Master'!C23,"")</f>
        <v>Combined Limit (Uncommitted)</v>
      </c>
      <c r="D22" s="962">
        <f>IFERROR('Facility Master'!AA23,"")</f>
        <v>46080</v>
      </c>
      <c r="E22" s="962">
        <f>IFERROR(IF('Facility Master'!D23="FB-Term",'Facility Master'!Z23,'Facility Master'!AB23),"")</f>
        <v>46265</v>
      </c>
      <c r="F22" s="963">
        <f>IFERROR(IF('Facility Master'!D23="FB-Term",IF('Facility Master'!Z23="","-",'Facility Master'!Z23-AsOfDate),IF('Facility Master'!AB23="","-",'Facility Master'!AB23-AsOfDate)),"-")</f>
        <v>111</v>
      </c>
      <c r="G22" s="959" t="str">
        <f>IFERROR(IF('Facility Master'!D23="FB-Term",IF('Facility Master'!Z23="","No Maturity",IF(F22&lt;=180,"Maturing &lt;=180d",IF(F22&lt;=365,"Maturing &lt;=1yr","Term Loan, On Schedule"))),IF('Facility Master'!AB23="","No Validity Date",IF(F22&lt;0,"Validity passed, confirm renewal",IF(F22&lt;=30,"Expiring &lt;=30d",IF(F22&lt;=60,"Due &lt;=60d","Valid"))))),"")</f>
        <v>Valid</v>
      </c>
      <c r="H22" s="961" t="str">
        <f t="shared" si="0"/>
        <v>-</v>
      </c>
    </row>
    <row r="23" spans="1:8" ht="26.4" x14ac:dyDescent="0.3">
      <c r="A23" s="964">
        <f>IFERROR('Facility Master'!A24,"")</f>
        <v>20</v>
      </c>
      <c r="B23" s="965"/>
      <c r="C23" s="950" t="str">
        <f>IFERROR('Facility Master'!C24,"")</f>
        <v>Working Capital Loan (Uncommitted, sub of #1)</v>
      </c>
      <c r="D23" s="966">
        <f>IFERROR('Facility Master'!AA24,"")</f>
        <v>46080</v>
      </c>
      <c r="E23" s="966">
        <f>IFERROR(IF('Facility Master'!D24="FB-Term",'Facility Master'!Z24,'Facility Master'!AB24),"")</f>
        <v>46265</v>
      </c>
      <c r="F23" s="967">
        <f>IFERROR(IF('Facility Master'!D24="FB-Term",IF('Facility Master'!Z24="","-",'Facility Master'!Z24-AsOfDate),IF('Facility Master'!AB24="","-",'Facility Master'!AB24-AsOfDate)),"-")</f>
        <v>111</v>
      </c>
      <c r="G23" s="964" t="str">
        <f>IFERROR(IF('Facility Master'!D24="FB-Term",IF('Facility Master'!Z24="","No Maturity",IF(F23&lt;=180,"Maturing &lt;=180d",IF(F23&lt;=365,"Maturing &lt;=1yr","Term Loan, On Schedule"))),IF('Facility Master'!AB24="","No Validity Date",IF(F23&lt;0,"Validity passed, confirm renewal",IF(F23&lt;=30,"Expiring &lt;=30d",IF(F23&lt;=60,"Due &lt;=60d","Valid"))))),"")</f>
        <v>Valid</v>
      </c>
      <c r="H23" s="950" t="str">
        <f t="shared" si="0"/>
        <v>-</v>
      </c>
    </row>
    <row r="24" spans="1:8" x14ac:dyDescent="0.3">
      <c r="A24" s="959">
        <f>IFERROR('Facility Master'!A25,"")</f>
        <v>21</v>
      </c>
      <c r="B24" s="960"/>
      <c r="C24" s="961" t="str">
        <f>IFERROR('Facility Master'!C25,"")</f>
        <v>Overdraft (Uncommitted, sub of WCL)</v>
      </c>
      <c r="D24" s="962">
        <f>IFERROR('Facility Master'!AA25,"")</f>
        <v>46080</v>
      </c>
      <c r="E24" s="962">
        <f>IFERROR(IF('Facility Master'!D25="FB-Term",'Facility Master'!Z25,'Facility Master'!AB25),"")</f>
        <v>46265</v>
      </c>
      <c r="F24" s="963">
        <f>IFERROR(IF('Facility Master'!D25="FB-Term",IF('Facility Master'!Z25="","-",'Facility Master'!Z25-AsOfDate),IF('Facility Master'!AB25="","-",'Facility Master'!AB25-AsOfDate)),"-")</f>
        <v>111</v>
      </c>
      <c r="G24" s="959" t="str">
        <f>IFERROR(IF('Facility Master'!D25="FB-Term",IF('Facility Master'!Z25="","No Maturity",IF(F24&lt;=180,"Maturing &lt;=180d",IF(F24&lt;=365,"Maturing &lt;=1yr","Term Loan, On Schedule"))),IF('Facility Master'!AB25="","No Validity Date",IF(F24&lt;0,"Validity passed, confirm renewal",IF(F24&lt;=30,"Expiring &lt;=30d",IF(F24&lt;=60,"Due &lt;=60d","Valid"))))),"")</f>
        <v>Valid</v>
      </c>
      <c r="H24" s="961" t="str">
        <f t="shared" si="0"/>
        <v>-</v>
      </c>
    </row>
    <row r="25" spans="1:8" x14ac:dyDescent="0.3">
      <c r="A25" s="964">
        <f>IFERROR('Facility Master'!A26,"")</f>
        <v>22</v>
      </c>
      <c r="B25" s="965"/>
      <c r="C25" s="950" t="str">
        <f>IFERROR('Facility Master'!C26,"")</f>
        <v>Import Controlling line - 1 (Uncommitted)</v>
      </c>
      <c r="D25" s="966">
        <f>IFERROR('Facility Master'!AA26,"")</f>
        <v>46080</v>
      </c>
      <c r="E25" s="966">
        <f>IFERROR(IF('Facility Master'!D26="FB-Term",'Facility Master'!Z26,'Facility Master'!AB26),"")</f>
        <v>46265</v>
      </c>
      <c r="F25" s="967">
        <f>IFERROR(IF('Facility Master'!D26="FB-Term",IF('Facility Master'!Z26="","-",'Facility Master'!Z26-AsOfDate),IF('Facility Master'!AB26="","-",'Facility Master'!AB26-AsOfDate)),"-")</f>
        <v>111</v>
      </c>
      <c r="G25" s="964" t="str">
        <f>IFERROR(IF('Facility Master'!D26="FB-Term",IF('Facility Master'!Z26="","No Maturity",IF(F25&lt;=180,"Maturing &lt;=180d",IF(F25&lt;=365,"Maturing &lt;=1yr","Term Loan, On Schedule"))),IF('Facility Master'!AB26="","No Validity Date",IF(F25&lt;0,"Validity passed, confirm renewal",IF(F25&lt;=30,"Expiring &lt;=30d",IF(F25&lt;=60,"Due &lt;=60d","Valid"))))),"")</f>
        <v>Valid</v>
      </c>
      <c r="H25" s="950" t="str">
        <f t="shared" si="0"/>
        <v>-</v>
      </c>
    </row>
    <row r="26" spans="1:8" x14ac:dyDescent="0.3">
      <c r="A26" s="959">
        <f>IFERROR('Facility Master'!A27,"")</f>
        <v>23</v>
      </c>
      <c r="B26" s="960"/>
      <c r="C26" s="961" t="str">
        <f>IFERROR('Facility Master'!C27,"")</f>
        <v>TradePay Domestic/Import (Uncommitted)</v>
      </c>
      <c r="D26" s="962">
        <f>IFERROR('Facility Master'!AA27,"")</f>
        <v>46080</v>
      </c>
      <c r="E26" s="962">
        <f>IFERROR(IF('Facility Master'!D27="FB-Term",'Facility Master'!Z27,'Facility Master'!AB27),"")</f>
        <v>46265</v>
      </c>
      <c r="F26" s="963">
        <f>IFERROR(IF('Facility Master'!D27="FB-Term",IF('Facility Master'!Z27="","-",'Facility Master'!Z27-AsOfDate),IF('Facility Master'!AB27="","-",'Facility Master'!AB27-AsOfDate)),"-")</f>
        <v>111</v>
      </c>
      <c r="G26" s="959" t="str">
        <f>IFERROR(IF('Facility Master'!D27="FB-Term",IF('Facility Master'!Z27="","No Maturity",IF(F26&lt;=180,"Maturing &lt;=180d",IF(F26&lt;=365,"Maturing &lt;=1yr","Term Loan, On Schedule"))),IF('Facility Master'!AB27="","No Validity Date",IF(F26&lt;0,"Validity passed, confirm renewal",IF(F26&lt;=30,"Expiring &lt;=30d",IF(F26&lt;=60,"Due &lt;=60d","Valid"))))),"")</f>
        <v>Valid</v>
      </c>
      <c r="H26" s="961" t="str">
        <f t="shared" si="0"/>
        <v>-</v>
      </c>
    </row>
    <row r="27" spans="1:8" x14ac:dyDescent="0.3">
      <c r="A27" s="964">
        <f>IFERROR('Facility Master'!A28,"")</f>
        <v>24</v>
      </c>
      <c r="B27" s="965"/>
      <c r="C27" s="950" t="str">
        <f>IFERROR('Facility Master'!C28,"")</f>
        <v>Pre-shipment Buyer Loan (Uncommitted)</v>
      </c>
      <c r="D27" s="966">
        <f>IFERROR('Facility Master'!AA28,"")</f>
        <v>46080</v>
      </c>
      <c r="E27" s="966">
        <f>IFERROR(IF('Facility Master'!D28="FB-Term",'Facility Master'!Z28,'Facility Master'!AB28),"")</f>
        <v>46265</v>
      </c>
      <c r="F27" s="967">
        <f>IFERROR(IF('Facility Master'!D28="FB-Term",IF('Facility Master'!Z28="","-",'Facility Master'!Z28-AsOfDate),IF('Facility Master'!AB28="","-",'Facility Master'!AB28-AsOfDate)),"-")</f>
        <v>111</v>
      </c>
      <c r="G27" s="964" t="str">
        <f>IFERROR(IF('Facility Master'!D28="FB-Term",IF('Facility Master'!Z28="","No Maturity",IF(F27&lt;=180,"Maturing &lt;=180d",IF(F27&lt;=365,"Maturing &lt;=1yr","Term Loan, On Schedule"))),IF('Facility Master'!AB28="","No Validity Date",IF(F27&lt;0,"Validity passed, confirm renewal",IF(F27&lt;=30,"Expiring &lt;=30d",IF(F27&lt;=60,"Due &lt;=60d","Valid"))))),"")</f>
        <v>Valid</v>
      </c>
      <c r="H27" s="950" t="str">
        <f t="shared" si="0"/>
        <v>-</v>
      </c>
    </row>
    <row r="28" spans="1:8" ht="26.4" x14ac:dyDescent="0.3">
      <c r="A28" s="959">
        <f>IFERROR('Facility Master'!A29,"")</f>
        <v>25</v>
      </c>
      <c r="B28" s="960"/>
      <c r="C28" s="961" t="str">
        <f>IFERROR('Facility Master'!C29,"")</f>
        <v>Post-Shipment Buyer Loan / DPF / LAI (Uncommitted)</v>
      </c>
      <c r="D28" s="962">
        <f>IFERROR('Facility Master'!AA29,"")</f>
        <v>46080</v>
      </c>
      <c r="E28" s="962">
        <f>IFERROR(IF('Facility Master'!D29="FB-Term",'Facility Master'!Z29,'Facility Master'!AB29),"")</f>
        <v>46265</v>
      </c>
      <c r="F28" s="963">
        <f>IFERROR(IF('Facility Master'!D29="FB-Term",IF('Facility Master'!Z29="","-",'Facility Master'!Z29-AsOfDate),IF('Facility Master'!AB29="","-",'Facility Master'!AB29-AsOfDate)),"-")</f>
        <v>111</v>
      </c>
      <c r="G28" s="959" t="str">
        <f>IFERROR(IF('Facility Master'!D29="FB-Term",IF('Facility Master'!Z29="","No Maturity",IF(F28&lt;=180,"Maturing &lt;=180d",IF(F28&lt;=365,"Maturing &lt;=1yr","Term Loan, On Schedule"))),IF('Facility Master'!AB29="","No Validity Date",IF(F28&lt;0,"Validity passed, confirm renewal",IF(F28&lt;=30,"Expiring &lt;=30d",IF(F28&lt;=60,"Due &lt;=60d","Valid"))))),"")</f>
        <v>Valid</v>
      </c>
      <c r="H28" s="961" t="str">
        <f t="shared" si="0"/>
        <v>-</v>
      </c>
    </row>
    <row r="29" spans="1:8" x14ac:dyDescent="0.3">
      <c r="A29" s="964">
        <f>IFERROR('Facility Master'!A30,"")</f>
        <v>26</v>
      </c>
      <c r="B29" s="965"/>
      <c r="C29" s="950" t="str">
        <f>IFERROR('Facility Master'!C30,"")</f>
        <v>Export Controlling line (Uncommitted)</v>
      </c>
      <c r="D29" s="966">
        <f>IFERROR('Facility Master'!AA30,"")</f>
        <v>46080</v>
      </c>
      <c r="E29" s="966">
        <f>IFERROR(IF('Facility Master'!D30="FB-Term",'Facility Master'!Z30,'Facility Master'!AB30),"")</f>
        <v>46265</v>
      </c>
      <c r="F29" s="967">
        <f>IFERROR(IF('Facility Master'!D30="FB-Term",IF('Facility Master'!Z30="","-",'Facility Master'!Z30-AsOfDate),IF('Facility Master'!AB30="","-",'Facility Master'!AB30-AsOfDate)),"-")</f>
        <v>111</v>
      </c>
      <c r="G29" s="964" t="str">
        <f>IFERROR(IF('Facility Master'!D30="FB-Term",IF('Facility Master'!Z30="","No Maturity",IF(F29&lt;=180,"Maturing &lt;=180d",IF(F29&lt;=365,"Maturing &lt;=1yr","Term Loan, On Schedule"))),IF('Facility Master'!AB30="","No Validity Date",IF(F29&lt;0,"Validity passed, confirm renewal",IF(F29&lt;=30,"Expiring &lt;=30d",IF(F29&lt;=60,"Due &lt;=60d","Valid"))))),"")</f>
        <v>Valid</v>
      </c>
      <c r="H29" s="950" t="str">
        <f t="shared" si="0"/>
        <v>-</v>
      </c>
    </row>
    <row r="30" spans="1:8" x14ac:dyDescent="0.3">
      <c r="A30" s="959">
        <f>IFERROR('Facility Master'!A31,"")</f>
        <v>27</v>
      </c>
      <c r="B30" s="960"/>
      <c r="C30" s="961" t="str">
        <f>IFERROR('Facility Master'!C31,"")</f>
        <v>Pre-shipment Seller Loan (Uncommitted)</v>
      </c>
      <c r="D30" s="962">
        <f>IFERROR('Facility Master'!AA31,"")</f>
        <v>46080</v>
      </c>
      <c r="E30" s="962">
        <f>IFERROR(IF('Facility Master'!D31="FB-Term",'Facility Master'!Z31,'Facility Master'!AB31),"")</f>
        <v>46265</v>
      </c>
      <c r="F30" s="963">
        <f>IFERROR(IF('Facility Master'!D31="FB-Term",IF('Facility Master'!Z31="","-",'Facility Master'!Z31-AsOfDate),IF('Facility Master'!AB31="","-",'Facility Master'!AB31-AsOfDate)),"-")</f>
        <v>111</v>
      </c>
      <c r="G30" s="959" t="str">
        <f>IFERROR(IF('Facility Master'!D31="FB-Term",IF('Facility Master'!Z31="","No Maturity",IF(F30&lt;=180,"Maturing &lt;=180d",IF(F30&lt;=365,"Maturing &lt;=1yr","Term Loan, On Schedule"))),IF('Facility Master'!AB31="","No Validity Date",IF(F30&lt;0,"Validity passed, confirm renewal",IF(F30&lt;=30,"Expiring &lt;=30d",IF(F30&lt;=60,"Due &lt;=60d","Valid"))))),"")</f>
        <v>Valid</v>
      </c>
      <c r="H30" s="961" t="str">
        <f t="shared" si="0"/>
        <v>-</v>
      </c>
    </row>
    <row r="31" spans="1:8" ht="26.4" x14ac:dyDescent="0.3">
      <c r="A31" s="964">
        <f>IFERROR('Facility Master'!A32,"")</f>
        <v>28</v>
      </c>
      <c r="B31" s="965"/>
      <c r="C31" s="950" t="str">
        <f>IFERROR('Facility Master'!C32,"")</f>
        <v>Post-Shipment Seller Loan, Open Account (Uncommitted)</v>
      </c>
      <c r="D31" s="966">
        <f>IFERROR('Facility Master'!AA32,"")</f>
        <v>46080</v>
      </c>
      <c r="E31" s="966">
        <f>IFERROR(IF('Facility Master'!D32="FB-Term",'Facility Master'!Z32,'Facility Master'!AB32),"")</f>
        <v>46265</v>
      </c>
      <c r="F31" s="967">
        <f>IFERROR(IF('Facility Master'!D32="FB-Term",IF('Facility Master'!Z32="","-",'Facility Master'!Z32-AsOfDate),IF('Facility Master'!AB32="","-",'Facility Master'!AB32-AsOfDate)),"-")</f>
        <v>111</v>
      </c>
      <c r="G31" s="964" t="str">
        <f>IFERROR(IF('Facility Master'!D32="FB-Term",IF('Facility Master'!Z32="","No Maturity",IF(F31&lt;=180,"Maturing &lt;=180d",IF(F31&lt;=365,"Maturing &lt;=1yr","Term Loan, On Schedule"))),IF('Facility Master'!AB32="","No Validity Date",IF(F31&lt;0,"Validity passed, confirm renewal",IF(F31&lt;=30,"Expiring &lt;=30d",IF(F31&lt;=60,"Due &lt;=60d","Valid"))))),"")</f>
        <v>Valid</v>
      </c>
      <c r="H31" s="950" t="str">
        <f t="shared" si="0"/>
        <v>-</v>
      </c>
    </row>
    <row r="32" spans="1:8" x14ac:dyDescent="0.3">
      <c r="A32" s="959">
        <f>IFERROR('Facility Master'!A33,"")</f>
        <v>29</v>
      </c>
      <c r="B32" s="960"/>
      <c r="C32" s="961" t="str">
        <f>IFERROR('Facility Master'!C33,"")</f>
        <v>Import Controlling line - 2 (Uncommitted)</v>
      </c>
      <c r="D32" s="962">
        <f>IFERROR('Facility Master'!AA33,"")</f>
        <v>46080</v>
      </c>
      <c r="E32" s="962">
        <f>IFERROR(IF('Facility Master'!D33="FB-Term",'Facility Master'!Z33,'Facility Master'!AB33),"")</f>
        <v>46265</v>
      </c>
      <c r="F32" s="963">
        <f>IFERROR(IF('Facility Master'!D33="FB-Term",IF('Facility Master'!Z33="","-",'Facility Master'!Z33-AsOfDate),IF('Facility Master'!AB33="","-",'Facility Master'!AB33-AsOfDate)),"-")</f>
        <v>111</v>
      </c>
      <c r="G32" s="959" t="str">
        <f>IFERROR(IF('Facility Master'!D33="FB-Term",IF('Facility Master'!Z33="","No Maturity",IF(F32&lt;=180,"Maturing &lt;=180d",IF(F32&lt;=365,"Maturing &lt;=1yr","Term Loan, On Schedule"))),IF('Facility Master'!AB33="","No Validity Date",IF(F32&lt;0,"Validity passed, confirm renewal",IF(F32&lt;=30,"Expiring &lt;=30d",IF(F32&lt;=60,"Due &lt;=60d","Valid"))))),"")</f>
        <v>Valid</v>
      </c>
      <c r="H32" s="961" t="str">
        <f t="shared" si="0"/>
        <v>-</v>
      </c>
    </row>
    <row r="33" spans="1:8" ht="26.4" x14ac:dyDescent="0.3">
      <c r="A33" s="964">
        <f>IFERROR('Facility Master'!A34,"")</f>
        <v>30</v>
      </c>
      <c r="B33" s="965"/>
      <c r="C33" s="950" t="str">
        <f>IFERROR('Facility Master'!C34,"")</f>
        <v>Import Documentary Credit - 12 (Uncommitted)</v>
      </c>
      <c r="D33" s="966">
        <f>IFERROR('Facility Master'!AA34,"")</f>
        <v>46080</v>
      </c>
      <c r="E33" s="966">
        <f>IFERROR(IF('Facility Master'!D34="FB-Term",'Facility Master'!Z34,'Facility Master'!AB34),"")</f>
        <v>46265</v>
      </c>
      <c r="F33" s="967">
        <f>IFERROR(IF('Facility Master'!D34="FB-Term",IF('Facility Master'!Z34="","-",'Facility Master'!Z34-AsOfDate),IF('Facility Master'!AB34="","-",'Facility Master'!AB34-AsOfDate)),"-")</f>
        <v>111</v>
      </c>
      <c r="G33" s="964" t="str">
        <f>IFERROR(IF('Facility Master'!D34="FB-Term",IF('Facility Master'!Z34="","No Maturity",IF(F33&lt;=180,"Maturing &lt;=180d",IF(F33&lt;=365,"Maturing &lt;=1yr","Term Loan, On Schedule"))),IF('Facility Master'!AB34="","No Validity Date",IF(F33&lt;0,"Validity passed, confirm renewal",IF(F33&lt;=30,"Expiring &lt;=30d",IF(F33&lt;=60,"Due &lt;=60d","Valid"))))),"")</f>
        <v>Valid</v>
      </c>
      <c r="H33" s="950" t="str">
        <f t="shared" si="0"/>
        <v>-</v>
      </c>
    </row>
    <row r="34" spans="1:8" ht="26.4" x14ac:dyDescent="0.3">
      <c r="A34" s="959">
        <f>IFERROR('Facility Master'!A35,"")</f>
        <v>31</v>
      </c>
      <c r="B34" s="960"/>
      <c r="C34" s="961" t="str">
        <f>IFERROR('Facility Master'!C35,"")</f>
        <v>Import Documentary Credit - 13 (Uncommitted)</v>
      </c>
      <c r="D34" s="962">
        <f>IFERROR('Facility Master'!AA35,"")</f>
        <v>46080</v>
      </c>
      <c r="E34" s="962">
        <f>IFERROR(IF('Facility Master'!D35="FB-Term",'Facility Master'!Z35,'Facility Master'!AB35),"")</f>
        <v>46265</v>
      </c>
      <c r="F34" s="963">
        <f>IFERROR(IF('Facility Master'!D35="FB-Term",IF('Facility Master'!Z35="","-",'Facility Master'!Z35-AsOfDate),IF('Facility Master'!AB35="","-",'Facility Master'!AB35-AsOfDate)),"-")</f>
        <v>111</v>
      </c>
      <c r="G34" s="959" t="str">
        <f>IFERROR(IF('Facility Master'!D35="FB-Term",IF('Facility Master'!Z35="","No Maturity",IF(F34&lt;=180,"Maturing &lt;=180d",IF(F34&lt;=365,"Maturing &lt;=1yr","Term Loan, On Schedule"))),IF('Facility Master'!AB35="","No Validity Date",IF(F34&lt;0,"Validity passed, confirm renewal",IF(F34&lt;=30,"Expiring &lt;=30d",IF(F34&lt;=60,"Due &lt;=60d","Valid"))))),"")</f>
        <v>Valid</v>
      </c>
      <c r="H34" s="961" t="str">
        <f t="shared" si="0"/>
        <v>-</v>
      </c>
    </row>
    <row r="35" spans="1:8" ht="26.4" x14ac:dyDescent="0.3">
      <c r="A35" s="964">
        <f>IFERROR('Facility Master'!A36,"")</f>
        <v>32</v>
      </c>
      <c r="B35" s="965"/>
      <c r="C35" s="950" t="str">
        <f>IFERROR('Facility Master'!C36,"")</f>
        <v>Guarantees/Bonds Non-Financial (Uncommitted)</v>
      </c>
      <c r="D35" s="966">
        <f>IFERROR('Facility Master'!AA36,"")</f>
        <v>46080</v>
      </c>
      <c r="E35" s="966">
        <f>IFERROR(IF('Facility Master'!D36="FB-Term",'Facility Master'!Z36,'Facility Master'!AB36),"")</f>
        <v>46265</v>
      </c>
      <c r="F35" s="967">
        <f>IFERROR(IF('Facility Master'!D36="FB-Term",IF('Facility Master'!Z36="","-",'Facility Master'!Z36-AsOfDate),IF('Facility Master'!AB36="","-",'Facility Master'!AB36-AsOfDate)),"-")</f>
        <v>111</v>
      </c>
      <c r="G35" s="964" t="str">
        <f>IFERROR(IF('Facility Master'!D36="FB-Term",IF('Facility Master'!Z36="","No Maturity",IF(F35&lt;=180,"Maturing &lt;=180d",IF(F35&lt;=365,"Maturing &lt;=1yr","Term Loan, On Schedule"))),IF('Facility Master'!AB36="","No Validity Date",IF(F35&lt;0,"Validity passed, confirm renewal",IF(F35&lt;=30,"Expiring &lt;=30d",IF(F35&lt;=60,"Due &lt;=60d","Valid"))))),"")</f>
        <v>Valid</v>
      </c>
      <c r="H35" s="950" t="str">
        <f t="shared" si="0"/>
        <v>-</v>
      </c>
    </row>
    <row r="36" spans="1:8" x14ac:dyDescent="0.3">
      <c r="A36" s="959">
        <f>IFERROR('Facility Master'!A37,"")</f>
        <v>33</v>
      </c>
      <c r="B36" s="960"/>
      <c r="C36" s="961" t="str">
        <f>IFERROR('Facility Master'!C37,"")</f>
        <v>Guarantees/Bonds Financial (Uncommitted)</v>
      </c>
      <c r="D36" s="962">
        <f>IFERROR('Facility Master'!AA37,"")</f>
        <v>46080</v>
      </c>
      <c r="E36" s="962">
        <f>IFERROR(IF('Facility Master'!D37="FB-Term",'Facility Master'!Z37,'Facility Master'!AB37),"")</f>
        <v>46265</v>
      </c>
      <c r="F36" s="963">
        <f>IFERROR(IF('Facility Master'!D37="FB-Term",IF('Facility Master'!Z37="","-",'Facility Master'!Z37-AsOfDate),IF('Facility Master'!AB37="","-",'Facility Master'!AB37-AsOfDate)),"-")</f>
        <v>111</v>
      </c>
      <c r="G36" s="959" t="str">
        <f>IFERROR(IF('Facility Master'!D37="FB-Term",IF('Facility Master'!Z37="","No Maturity",IF(F36&lt;=180,"Maturing &lt;=180d",IF(F36&lt;=365,"Maturing &lt;=1yr","Term Loan, On Schedule"))),IF('Facility Master'!AB37="","No Validity Date",IF(F36&lt;0,"Validity passed, confirm renewal",IF(F36&lt;=30,"Expiring &lt;=30d",IF(F36&lt;=60,"Due &lt;=60d","Valid"))))),"")</f>
        <v>Valid</v>
      </c>
      <c r="H36" s="961" t="str">
        <f t="shared" si="0"/>
        <v>-</v>
      </c>
    </row>
    <row r="37" spans="1:8" x14ac:dyDescent="0.3">
      <c r="A37" s="964">
        <f>IFERROR('Facility Master'!A38,"")</f>
        <v>34</v>
      </c>
      <c r="B37" s="955" t="str">
        <f>IFERROR('Facility Master'!B38,"")</f>
        <v>HDFC Bank</v>
      </c>
      <c r="C37" s="950" t="str">
        <f>IFERROR('Facility Master'!C38,"")</f>
        <v>Letter of Credit (WC parent)</v>
      </c>
      <c r="D37" s="966">
        <f>IFERROR('Facility Master'!AA38,"")</f>
        <v>46107</v>
      </c>
      <c r="E37" s="966">
        <f>IFERROR(IF('Facility Master'!D38="FB-Term",'Facility Master'!Z38,'Facility Master'!AB38),"")</f>
        <v>46265</v>
      </c>
      <c r="F37" s="967">
        <f>IFERROR(IF('Facility Master'!D38="FB-Term",IF('Facility Master'!Z38="","-",'Facility Master'!Z38-AsOfDate),IF('Facility Master'!AB38="","-",'Facility Master'!AB38-AsOfDate)),"-")</f>
        <v>111</v>
      </c>
      <c r="G37" s="964" t="str">
        <f>IFERROR(IF('Facility Master'!D38="FB-Term",IF('Facility Master'!Z38="","No Maturity",IF(F37&lt;=180,"Maturing &lt;=180d",IF(F37&lt;=365,"Maturing &lt;=1yr","Term Loan, On Schedule"))),IF('Facility Master'!AB38="","No Validity Date",IF(F37&lt;0,"Validity passed, confirm renewal",IF(F37&lt;=30,"Expiring &lt;=30d",IF(F37&lt;=60,"Due &lt;=60d","Valid"))))),"")</f>
        <v>Valid</v>
      </c>
      <c r="H37" s="950" t="str">
        <f t="shared" si="0"/>
        <v>-</v>
      </c>
    </row>
    <row r="38" spans="1:8" x14ac:dyDescent="0.3">
      <c r="A38" s="959">
        <f>IFERROR('Facility Master'!A39,"")</f>
        <v>35</v>
      </c>
      <c r="B38" s="960"/>
      <c r="C38" s="961" t="str">
        <f>IFERROR('Facility Master'!C39,"")</f>
        <v>Post Shipment Finance (sub of LC)</v>
      </c>
      <c r="D38" s="962">
        <f>IFERROR('Facility Master'!AA39,"")</f>
        <v>46107</v>
      </c>
      <c r="E38" s="962">
        <f>IFERROR(IF('Facility Master'!D39="FB-Term",'Facility Master'!Z39,'Facility Master'!AB39),"")</f>
        <v>46265</v>
      </c>
      <c r="F38" s="963">
        <f>IFERROR(IF('Facility Master'!D39="FB-Term",IF('Facility Master'!Z39="","-",'Facility Master'!Z39-AsOfDate),IF('Facility Master'!AB39="","-",'Facility Master'!AB39-AsOfDate)),"-")</f>
        <v>111</v>
      </c>
      <c r="G38" s="959" t="str">
        <f>IFERROR(IF('Facility Master'!D39="FB-Term",IF('Facility Master'!Z39="","No Maturity",IF(F38&lt;=180,"Maturing &lt;=180d",IF(F38&lt;=365,"Maturing &lt;=1yr","Term Loan, On Schedule"))),IF('Facility Master'!AB39="","No Validity Date",IF(F38&lt;0,"Validity passed, confirm renewal",IF(F38&lt;=30,"Expiring &lt;=30d",IF(F38&lt;=60,"Due &lt;=60d","Valid"))))),"")</f>
        <v>Valid</v>
      </c>
      <c r="H38" s="961" t="str">
        <f t="shared" si="0"/>
        <v>-</v>
      </c>
    </row>
    <row r="39" spans="1:8" x14ac:dyDescent="0.3">
      <c r="A39" s="964">
        <f>IFERROR('Facility Master'!A40,"")</f>
        <v>36</v>
      </c>
      <c r="B39" s="965"/>
      <c r="C39" s="950" t="str">
        <f>IFERROR('Facility Master'!C40,"")</f>
        <v>Pre-shipment Finance (sub of LC)</v>
      </c>
      <c r="D39" s="966">
        <f>IFERROR('Facility Master'!AA40,"")</f>
        <v>46107</v>
      </c>
      <c r="E39" s="966">
        <f>IFERROR(IF('Facility Master'!D40="FB-Term",'Facility Master'!Z40,'Facility Master'!AB40),"")</f>
        <v>46265</v>
      </c>
      <c r="F39" s="967">
        <f>IFERROR(IF('Facility Master'!D40="FB-Term",IF('Facility Master'!Z40="","-",'Facility Master'!Z40-AsOfDate),IF('Facility Master'!AB40="","-",'Facility Master'!AB40-AsOfDate)),"-")</f>
        <v>111</v>
      </c>
      <c r="G39" s="964" t="str">
        <f>IFERROR(IF('Facility Master'!D40="FB-Term",IF('Facility Master'!Z40="","No Maturity",IF(F39&lt;=180,"Maturing &lt;=180d",IF(F39&lt;=365,"Maturing &lt;=1yr","Term Loan, On Schedule"))),IF('Facility Master'!AB40="","No Validity Date",IF(F39&lt;0,"Validity passed, confirm renewal",IF(F39&lt;=30,"Expiring &lt;=30d",IF(F39&lt;=60,"Due &lt;=60d","Valid"))))),"")</f>
        <v>Valid</v>
      </c>
      <c r="H39" s="950" t="str">
        <f t="shared" si="0"/>
        <v>-</v>
      </c>
    </row>
    <row r="40" spans="1:8" x14ac:dyDescent="0.3">
      <c r="A40" s="959">
        <f>IFERROR('Facility Master'!A41,"")</f>
        <v>37</v>
      </c>
      <c r="B40" s="960"/>
      <c r="C40" s="961" t="str">
        <f>IFERROR('Facility Master'!C41,"")</f>
        <v>SBLC (sub of LC)</v>
      </c>
      <c r="D40" s="962">
        <f>IFERROR('Facility Master'!AA41,"")</f>
        <v>46107</v>
      </c>
      <c r="E40" s="962">
        <f>IFERROR(IF('Facility Master'!D41="FB-Term",'Facility Master'!Z41,'Facility Master'!AB41),"")</f>
        <v>46265</v>
      </c>
      <c r="F40" s="963">
        <f>IFERROR(IF('Facility Master'!D41="FB-Term",IF('Facility Master'!Z41="","-",'Facility Master'!Z41-AsOfDate),IF('Facility Master'!AB41="","-",'Facility Master'!AB41-AsOfDate)),"-")</f>
        <v>111</v>
      </c>
      <c r="G40" s="959" t="str">
        <f>IFERROR(IF('Facility Master'!D41="FB-Term",IF('Facility Master'!Z41="","No Maturity",IF(F40&lt;=180,"Maturing &lt;=180d",IF(F40&lt;=365,"Maturing &lt;=1yr","Term Loan, On Schedule"))),IF('Facility Master'!AB41="","No Validity Date",IF(F40&lt;0,"Validity passed, confirm renewal",IF(F40&lt;=30,"Expiring &lt;=30d",IF(F40&lt;=60,"Due &lt;=60d","Valid"))))),"")</f>
        <v>Valid</v>
      </c>
      <c r="H40" s="961" t="str">
        <f t="shared" si="0"/>
        <v>-</v>
      </c>
    </row>
    <row r="41" spans="1:8" x14ac:dyDescent="0.3">
      <c r="A41" s="964">
        <f>IFERROR('Facility Master'!A42,"")</f>
        <v>38</v>
      </c>
      <c r="B41" s="965"/>
      <c r="C41" s="950" t="str">
        <f>IFERROR('Facility Master'!C42,"")</f>
        <v>Cash Credit (sub of LC)</v>
      </c>
      <c r="D41" s="966">
        <f>IFERROR('Facility Master'!AA42,"")</f>
        <v>46107</v>
      </c>
      <c r="E41" s="966">
        <f>IFERROR(IF('Facility Master'!D42="FB-Term",'Facility Master'!Z42,'Facility Master'!AB42),"")</f>
        <v>46265</v>
      </c>
      <c r="F41" s="967">
        <f>IFERROR(IF('Facility Master'!D42="FB-Term",IF('Facility Master'!Z42="","-",'Facility Master'!Z42-AsOfDate),IF('Facility Master'!AB42="","-",'Facility Master'!AB42-AsOfDate)),"-")</f>
        <v>111</v>
      </c>
      <c r="G41" s="964" t="str">
        <f>IFERROR(IF('Facility Master'!D42="FB-Term",IF('Facility Master'!Z42="","No Maturity",IF(F41&lt;=180,"Maturing &lt;=180d",IF(F41&lt;=365,"Maturing &lt;=1yr","Term Loan, On Schedule"))),IF('Facility Master'!AB42="","No Validity Date",IF(F41&lt;0,"Validity passed, confirm renewal",IF(F41&lt;=30,"Expiring &lt;=30d",IF(F41&lt;=60,"Due &lt;=60d","Valid"))))),"")</f>
        <v>Valid</v>
      </c>
      <c r="H41" s="950" t="str">
        <f t="shared" si="0"/>
        <v>-</v>
      </c>
    </row>
    <row r="42" spans="1:8" x14ac:dyDescent="0.3">
      <c r="A42" s="959">
        <f>IFERROR('Facility Master'!A43,"")</f>
        <v>39</v>
      </c>
      <c r="B42" s="960"/>
      <c r="C42" s="961" t="str">
        <f>IFERROR('Facility Master'!C43,"")</f>
        <v>WCDL (sub of LC)</v>
      </c>
      <c r="D42" s="962">
        <f>IFERROR('Facility Master'!AA43,"")</f>
        <v>46107</v>
      </c>
      <c r="E42" s="962">
        <f>IFERROR(IF('Facility Master'!D43="FB-Term",'Facility Master'!Z43,'Facility Master'!AB43),"")</f>
        <v>46265</v>
      </c>
      <c r="F42" s="963">
        <f>IFERROR(IF('Facility Master'!D43="FB-Term",IF('Facility Master'!Z43="","-",'Facility Master'!Z43-AsOfDate),IF('Facility Master'!AB43="","-",'Facility Master'!AB43-AsOfDate)),"-")</f>
        <v>111</v>
      </c>
      <c r="G42" s="959" t="str">
        <f>IFERROR(IF('Facility Master'!D43="FB-Term",IF('Facility Master'!Z43="","No Maturity",IF(F42&lt;=180,"Maturing &lt;=180d",IF(F42&lt;=365,"Maturing &lt;=1yr","Term Loan, On Schedule"))),IF('Facility Master'!AB43="","No Validity Date",IF(F42&lt;0,"Validity passed, confirm renewal",IF(F42&lt;=30,"Expiring &lt;=30d",IF(F42&lt;=60,"Due &lt;=60d","Valid"))))),"")</f>
        <v>Valid</v>
      </c>
      <c r="H42" s="961" t="str">
        <f t="shared" si="0"/>
        <v>-</v>
      </c>
    </row>
    <row r="43" spans="1:8" x14ac:dyDescent="0.3">
      <c r="A43" s="964">
        <f>IFERROR('Facility Master'!A44,"")</f>
        <v>40</v>
      </c>
      <c r="B43" s="965"/>
      <c r="C43" s="950" t="str">
        <f>IFERROR('Facility Master'!C44,"")</f>
        <v>FD-OD (FD-Backed)</v>
      </c>
      <c r="D43" s="966">
        <f>IFERROR('Facility Master'!AA44,"")</f>
        <v>46107</v>
      </c>
      <c r="E43" s="966">
        <f>IFERROR(IF('Facility Master'!D44="FB-Term",'Facility Master'!Z44,'Facility Master'!AB44),"")</f>
        <v>46265</v>
      </c>
      <c r="F43" s="967">
        <f>IFERROR(IF('Facility Master'!D44="FB-Term",IF('Facility Master'!Z44="","-",'Facility Master'!Z44-AsOfDate),IF('Facility Master'!AB44="","-",'Facility Master'!AB44-AsOfDate)),"-")</f>
        <v>111</v>
      </c>
      <c r="G43" s="964" t="str">
        <f>IFERROR(IF('Facility Master'!D44="FB-Term",IF('Facility Master'!Z44="","No Maturity",IF(F43&lt;=180,"Maturing &lt;=180d",IF(F43&lt;=365,"Maturing &lt;=1yr","Term Loan, On Schedule"))),IF('Facility Master'!AB44="","No Validity Date",IF(F43&lt;0,"Validity passed, confirm renewal",IF(F43&lt;=30,"Expiring &lt;=30d",IF(F43&lt;=60,"Due &lt;=60d","Valid"))))),"")</f>
        <v>Valid</v>
      </c>
      <c r="H43" s="950" t="str">
        <f t="shared" si="0"/>
        <v>-</v>
      </c>
    </row>
    <row r="44" spans="1:8" x14ac:dyDescent="0.3">
      <c r="A44" s="959">
        <f>IFERROR('Facility Master'!A45,"")</f>
        <v>41</v>
      </c>
      <c r="B44" s="960"/>
      <c r="C44" s="961" t="str">
        <f>IFERROR('Facility Master'!C45,"")</f>
        <v>BG (sub of FD-OD)</v>
      </c>
      <c r="D44" s="962">
        <f>IFERROR('Facility Master'!AA45,"")</f>
        <v>46107</v>
      </c>
      <c r="E44" s="962">
        <f>IFERROR(IF('Facility Master'!D45="FB-Term",'Facility Master'!Z45,'Facility Master'!AB45),"")</f>
        <v>46265</v>
      </c>
      <c r="F44" s="963">
        <f>IFERROR(IF('Facility Master'!D45="FB-Term",IF('Facility Master'!Z45="","-",'Facility Master'!Z45-AsOfDate),IF('Facility Master'!AB45="","-",'Facility Master'!AB45-AsOfDate)),"-")</f>
        <v>111</v>
      </c>
      <c r="G44" s="959" t="str">
        <f>IFERROR(IF('Facility Master'!D45="FB-Term",IF('Facility Master'!Z45="","No Maturity",IF(F44&lt;=180,"Maturing &lt;=180d",IF(F44&lt;=365,"Maturing &lt;=1yr","Term Loan, On Schedule"))),IF('Facility Master'!AB45="","No Validity Date",IF(F44&lt;0,"Validity passed, confirm renewal",IF(F44&lt;=30,"Expiring &lt;=30d",IF(F44&lt;=60,"Due &lt;=60d","Valid"))))),"")</f>
        <v>Valid</v>
      </c>
      <c r="H44" s="961" t="str">
        <f t="shared" si="0"/>
        <v>-</v>
      </c>
    </row>
    <row r="45" spans="1:8" ht="26.4" x14ac:dyDescent="0.3">
      <c r="A45" s="964">
        <f>IFERROR('Facility Master'!A46,"")</f>
        <v>42</v>
      </c>
      <c r="B45" s="955" t="str">
        <f>IFERROR('Facility Master'!B46,"")</f>
        <v>ICICI Bank (TL)</v>
      </c>
      <c r="C45" s="950" t="str">
        <f>IFERROR('Facility Master'!C46,"")</f>
        <v>Term Loan, TAKEOVER of disbursed consortium</v>
      </c>
      <c r="D45" s="966">
        <f>IFERROR('Facility Master'!AA46,"")</f>
        <v>46108</v>
      </c>
      <c r="E45" s="966">
        <f>IFERROR(IF('Facility Master'!D46="FB-Term",'Facility Master'!Z46,'Facility Master'!AB46),"")</f>
        <v>50860</v>
      </c>
      <c r="F45" s="967">
        <f>IFERROR(IF('Facility Master'!D46="FB-Term",IF('Facility Master'!Z46="","-",'Facility Master'!Z46-AsOfDate),IF('Facility Master'!AB46="","-",'Facility Master'!AB46-AsOfDate)),"-")</f>
        <v>4706</v>
      </c>
      <c r="G45" s="964" t="str">
        <f>IFERROR(IF('Facility Master'!D46="FB-Term",IF('Facility Master'!Z46="","No Maturity",IF(F45&lt;=180,"Maturing &lt;=180d",IF(F45&lt;=365,"Maturing &lt;=1yr","Term Loan, On Schedule"))),IF('Facility Master'!AB46="","No Validity Date",IF(F45&lt;0,"Validity passed, confirm renewal",IF(F45&lt;=30,"Expiring &lt;=30d",IF(F45&lt;=60,"Due &lt;=60d","Valid"))))),"")</f>
        <v>Term Loan, On Schedule</v>
      </c>
      <c r="H45" s="950" t="str">
        <f t="shared" si="0"/>
        <v>-</v>
      </c>
    </row>
    <row r="46" spans="1:8" x14ac:dyDescent="0.3">
      <c r="A46" s="959">
        <f>IFERROR('Facility Master'!A47,"")</f>
        <v>43</v>
      </c>
      <c r="B46" s="960"/>
      <c r="C46" s="961" t="str">
        <f>IFERROR('Facility Master'!C47,"")</f>
        <v>BG Financial (sub of RTL)</v>
      </c>
      <c r="D46" s="962">
        <f>IFERROR('Facility Master'!AA47,"")</f>
        <v>46108</v>
      </c>
      <c r="E46" s="962">
        <f>IFERROR(IF('Facility Master'!D47="FB-Term",'Facility Master'!Z47,'Facility Master'!AB47),"")</f>
        <v>47204</v>
      </c>
      <c r="F46" s="963">
        <f>IFERROR(IF('Facility Master'!D47="FB-Term",IF('Facility Master'!Z47="","-",'Facility Master'!Z47-AsOfDate),IF('Facility Master'!AB47="","-",'Facility Master'!AB47-AsOfDate)),"-")</f>
        <v>1050</v>
      </c>
      <c r="G46" s="959" t="str">
        <f>IFERROR(IF('Facility Master'!D47="FB-Term",IF('Facility Master'!Z47="","No Maturity",IF(F46&lt;=180,"Maturing &lt;=180d",IF(F46&lt;=365,"Maturing &lt;=1yr","Term Loan, On Schedule"))),IF('Facility Master'!AB47="","No Validity Date",IF(F46&lt;0,"Validity passed, confirm renewal",IF(F46&lt;=30,"Expiring &lt;=30d",IF(F46&lt;=60,"Due &lt;=60d","Valid"))))),"")</f>
        <v>Valid</v>
      </c>
      <c r="H46" s="961" t="str">
        <f t="shared" si="0"/>
        <v>-</v>
      </c>
    </row>
    <row r="47" spans="1:8" x14ac:dyDescent="0.3">
      <c r="A47" s="964">
        <f>IFERROR('Facility Master'!A48,"")</f>
        <v>44</v>
      </c>
      <c r="B47" s="965"/>
      <c r="C47" s="950" t="str">
        <f>IFERROR('Facility Master'!C48,"")</f>
        <v>SBLC Buyers Credit (sub of RTL)</v>
      </c>
      <c r="D47" s="966">
        <f>IFERROR('Facility Master'!AA48,"")</f>
        <v>46108</v>
      </c>
      <c r="E47" s="966">
        <f>IFERROR(IF('Facility Master'!D48="FB-Term",'Facility Master'!Z48,'Facility Master'!AB48),"")</f>
        <v>47204</v>
      </c>
      <c r="F47" s="967">
        <f>IFERROR(IF('Facility Master'!D48="FB-Term",IF('Facility Master'!Z48="","-",'Facility Master'!Z48-AsOfDate),IF('Facility Master'!AB48="","-",'Facility Master'!AB48-AsOfDate)),"-")</f>
        <v>1050</v>
      </c>
      <c r="G47" s="964" t="str">
        <f>IFERROR(IF('Facility Master'!D48="FB-Term",IF('Facility Master'!Z48="","No Maturity",IF(F47&lt;=180,"Maturing &lt;=180d",IF(F47&lt;=365,"Maturing &lt;=1yr","Term Loan, On Schedule"))),IF('Facility Master'!AB48="","No Validity Date",IF(F47&lt;0,"Validity passed, confirm renewal",IF(F47&lt;=30,"Expiring &lt;=30d",IF(F47&lt;=60,"Due &lt;=60d","Valid"))))),"")</f>
        <v>Valid</v>
      </c>
      <c r="H47" s="950" t="str">
        <f t="shared" si="0"/>
        <v>-</v>
      </c>
    </row>
    <row r="48" spans="1:8" ht="10.050000000000001" customHeight="1" x14ac:dyDescent="0.3">
      <c r="A48" s="942"/>
      <c r="B48" s="942"/>
      <c r="C48" s="942"/>
      <c r="D48" s="942"/>
      <c r="E48" s="942"/>
      <c r="F48" s="942"/>
      <c r="G48" s="942"/>
      <c r="H48" s="942"/>
    </row>
    <row r="49" spans="1:8" ht="22.05" customHeight="1" x14ac:dyDescent="0.3">
      <c r="A49" s="974" t="s">
        <v>795</v>
      </c>
      <c r="B49" s="974"/>
      <c r="C49" s="974"/>
      <c r="D49" s="974"/>
      <c r="E49" s="974"/>
      <c r="F49" s="974"/>
      <c r="G49" s="974"/>
      <c r="H49" s="974"/>
    </row>
    <row r="50" spans="1:8" ht="18" customHeight="1" x14ac:dyDescent="0.3">
      <c r="A50" s="975" t="str">
        <f>IF(COUNTIF(F4:F47, "Validity passed*")=0, "✅ No urgent renewals at this time.", "See rows above for facilities with negative days remaining.")</f>
        <v>✅ No urgent renewals at this time.</v>
      </c>
      <c r="B50" s="975"/>
      <c r="C50" s="975"/>
      <c r="D50" s="975"/>
      <c r="E50" s="975"/>
      <c r="F50" s="975"/>
      <c r="G50" s="975"/>
      <c r="H50" s="975"/>
    </row>
    <row r="51" spans="1:8" ht="4.95" customHeight="1" x14ac:dyDescent="0.3">
      <c r="A51" s="942"/>
      <c r="B51" s="942"/>
      <c r="C51" s="942"/>
      <c r="D51" s="942"/>
      <c r="E51" s="942"/>
      <c r="F51" s="942"/>
      <c r="G51" s="942"/>
      <c r="H51" s="942"/>
    </row>
    <row r="52" spans="1:8" ht="4.95" customHeight="1" x14ac:dyDescent="0.3">
      <c r="A52" s="942"/>
      <c r="B52" s="942"/>
      <c r="C52" s="942"/>
      <c r="D52" s="942"/>
      <c r="E52" s="942"/>
      <c r="F52" s="942"/>
      <c r="G52" s="942"/>
      <c r="H52" s="942"/>
    </row>
    <row r="53" spans="1:8" ht="19.95" customHeight="1" x14ac:dyDescent="0.3">
      <c r="A53" s="976" t="s">
        <v>796</v>
      </c>
      <c r="B53" s="976"/>
      <c r="C53" s="976"/>
      <c r="D53" s="976"/>
      <c r="E53" s="976"/>
      <c r="F53" s="976"/>
      <c r="G53" s="976"/>
      <c r="H53" s="976"/>
    </row>
    <row r="54" spans="1:8" ht="7.95" customHeight="1" x14ac:dyDescent="0.3">
      <c r="A54" s="942"/>
      <c r="B54" s="942"/>
      <c r="C54" s="942"/>
      <c r="D54" s="942"/>
      <c r="E54" s="942"/>
      <c r="F54" s="942"/>
      <c r="G54" s="942"/>
      <c r="H54" s="942"/>
    </row>
    <row r="55" spans="1:8" ht="19.95" customHeight="1" x14ac:dyDescent="0.3">
      <c r="A55" s="977" t="s">
        <v>779</v>
      </c>
      <c r="B55" s="978"/>
      <c r="C55" s="978"/>
      <c r="D55" s="978"/>
      <c r="E55" s="978"/>
      <c r="F55" s="978"/>
      <c r="G55" s="978"/>
      <c r="H55" s="979"/>
    </row>
    <row r="56" spans="1:8" ht="18" customHeight="1" x14ac:dyDescent="0.3">
      <c r="A56" s="980" t="s">
        <v>1169</v>
      </c>
      <c r="B56" s="981" t="s">
        <v>1173</v>
      </c>
      <c r="C56" s="981"/>
      <c r="D56" s="981"/>
      <c r="E56" s="981"/>
      <c r="F56" s="981"/>
      <c r="G56" s="981"/>
      <c r="H56" s="982"/>
    </row>
    <row r="57" spans="1:8" ht="18" customHeight="1" x14ac:dyDescent="0.3">
      <c r="A57" s="983" t="s">
        <v>1170</v>
      </c>
      <c r="B57" s="984" t="s">
        <v>1174</v>
      </c>
      <c r="C57" s="984"/>
      <c r="D57" s="984"/>
      <c r="E57" s="984"/>
      <c r="F57" s="984"/>
      <c r="G57" s="984"/>
      <c r="H57" s="985"/>
    </row>
    <row r="58" spans="1:8" ht="18" customHeight="1" x14ac:dyDescent="0.3">
      <c r="A58" s="986" t="s">
        <v>1171</v>
      </c>
      <c r="B58" s="987" t="s">
        <v>1175</v>
      </c>
      <c r="C58" s="987"/>
      <c r="D58" s="987"/>
      <c r="E58" s="987"/>
      <c r="F58" s="987"/>
      <c r="G58" s="987"/>
      <c r="H58" s="988"/>
    </row>
    <row r="59" spans="1:8" ht="18" customHeight="1" x14ac:dyDescent="0.3">
      <c r="A59" s="989" t="s">
        <v>1172</v>
      </c>
      <c r="B59" s="990" t="s">
        <v>1176</v>
      </c>
      <c r="C59" s="990"/>
      <c r="D59" s="990"/>
      <c r="E59" s="990"/>
      <c r="F59" s="990"/>
      <c r="G59" s="990"/>
      <c r="H59" s="991"/>
    </row>
    <row r="60" spans="1:8" ht="14.25" hidden="1" customHeight="1" x14ac:dyDescent="0.3"/>
    <row r="61" spans="1:8" ht="14.25" hidden="1" customHeight="1" x14ac:dyDescent="0.3"/>
    <row r="62" spans="1:8" ht="14.25" hidden="1" customHeight="1" x14ac:dyDescent="0.3"/>
    <row r="63" spans="1:8" ht="14.25" hidden="1" customHeight="1" x14ac:dyDescent="0.3"/>
    <row r="64" spans="1:8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conditionalFormatting sqref="G4:G47">
    <cfRule type="containsText" dxfId="6" priority="1" operator="containsText" text="Validity passed">
      <formula>NOT(ISERROR(SEARCH("Validity passed",G4)))</formula>
    </cfRule>
  </conditionalFormatting>
  <conditionalFormatting sqref="G4:G47">
    <cfRule type="containsText" dxfId="5" priority="2" operator="containsText" text="Maturing &lt;=180d">
      <formula>NOT(ISERROR(SEARCH("Maturing &lt;=180d",G4)))</formula>
    </cfRule>
  </conditionalFormatting>
  <conditionalFormatting sqref="G4:G47">
    <cfRule type="containsText" dxfId="4" priority="3" operator="containsText" text="Maturing &lt;=1yr">
      <formula>NOT(ISERROR(SEARCH("Maturing &lt;=1yr",G4)))</formula>
    </cfRule>
  </conditionalFormatting>
  <conditionalFormatting sqref="G4:G47">
    <cfRule type="containsText" dxfId="3" priority="4" operator="containsText" text="Expiring &lt;=30d">
      <formula>NOT(ISERROR(SEARCH("Expiring &lt;=30d",G4)))</formula>
    </cfRule>
  </conditionalFormatting>
  <conditionalFormatting sqref="G4:G47">
    <cfRule type="containsText" dxfId="2" priority="5" operator="containsText" text="Due &lt;=60d">
      <formula>NOT(ISERROR(SEARCH("Due &lt;=60d",G4)))</formula>
    </cfRule>
  </conditionalFormatting>
  <conditionalFormatting sqref="G4:G47">
    <cfRule type="containsText" dxfId="1" priority="6" operator="containsText" text="Valid">
      <formula>NOT(ISERROR(SEARCH("Valid",G4)))</formula>
    </cfRule>
  </conditionalFormatting>
  <conditionalFormatting sqref="G4:G47">
    <cfRule type="containsText" dxfId="0" priority="7" operator="containsText" text="Term Loan">
      <formula>NOT(ISERROR(SEARCH("Term Loan",G4)))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7D31"/>
  </sheetPr>
  <dimension ref="A1:E33"/>
  <sheetViews>
    <sheetView showGridLines="0" zoomScaleNormal="100" workbookViewId="0">
      <selection activeCell="I26" sqref="I26"/>
    </sheetView>
  </sheetViews>
  <sheetFormatPr defaultColWidth="8.6640625" defaultRowHeight="14.4" x14ac:dyDescent="0.3"/>
  <cols>
    <col min="1" max="1" width="40" customWidth="1"/>
    <col min="2" max="2" width="4" customWidth="1"/>
    <col min="3" max="5" width="16" customWidth="1"/>
  </cols>
  <sheetData>
    <row r="1" spans="1:5" ht="27.75" customHeight="1" x14ac:dyDescent="0.3">
      <c r="A1" s="921" t="s">
        <v>797</v>
      </c>
      <c r="B1" s="921"/>
      <c r="C1" s="921"/>
      <c r="D1" s="921"/>
      <c r="E1" s="921"/>
    </row>
    <row r="2" spans="1:5" ht="23.25" customHeight="1" x14ac:dyDescent="0.3">
      <c r="A2" s="922" t="s">
        <v>798</v>
      </c>
      <c r="B2" s="922"/>
      <c r="C2" s="922"/>
      <c r="D2" s="922"/>
      <c r="E2" s="922"/>
    </row>
    <row r="3" spans="1:5" ht="15" customHeight="1" x14ac:dyDescent="0.3">
      <c r="A3" s="189"/>
      <c r="B3" s="189"/>
      <c r="C3" s="189"/>
      <c r="D3" s="189"/>
      <c r="E3" s="189"/>
    </row>
    <row r="4" spans="1:5" ht="15" customHeight="1" x14ac:dyDescent="0.3">
      <c r="A4" s="899" t="s">
        <v>799</v>
      </c>
      <c r="B4" s="899"/>
      <c r="C4" s="899"/>
      <c r="D4" s="899"/>
      <c r="E4" s="899"/>
    </row>
    <row r="5" spans="1:5" ht="15" customHeight="1" x14ac:dyDescent="0.3">
      <c r="A5" s="777" t="s">
        <v>800</v>
      </c>
      <c r="B5" s="777"/>
      <c r="C5" s="777" t="s">
        <v>801</v>
      </c>
      <c r="D5" s="777" t="s">
        <v>802</v>
      </c>
      <c r="E5" s="777" t="s">
        <v>803</v>
      </c>
    </row>
    <row r="6" spans="1:5" ht="15" customHeight="1" x14ac:dyDescent="0.3">
      <c r="A6" s="778" t="s">
        <v>804</v>
      </c>
      <c r="B6" s="189"/>
      <c r="C6" s="779">
        <v>0</v>
      </c>
      <c r="D6" s="779">
        <v>0.01</v>
      </c>
      <c r="E6" s="779">
        <v>0.02</v>
      </c>
    </row>
    <row r="7" spans="1:5" ht="15" customHeight="1" x14ac:dyDescent="0.3">
      <c r="A7" s="778" t="s">
        <v>805</v>
      </c>
      <c r="B7" s="189"/>
      <c r="C7" s="779">
        <v>0</v>
      </c>
      <c r="D7" s="779">
        <v>2.5000000000000001E-3</v>
      </c>
      <c r="E7" s="779">
        <v>5.0000000000000001E-3</v>
      </c>
    </row>
    <row r="8" spans="1:5" ht="15" customHeight="1" x14ac:dyDescent="0.3">
      <c r="A8" s="778" t="s">
        <v>806</v>
      </c>
      <c r="B8" s="189"/>
      <c r="C8" s="779">
        <v>0</v>
      </c>
      <c r="D8" s="779">
        <v>0.1</v>
      </c>
      <c r="E8" s="779">
        <v>0.2</v>
      </c>
    </row>
    <row r="9" spans="1:5" ht="15" customHeight="1" x14ac:dyDescent="0.3">
      <c r="A9" s="778" t="s">
        <v>807</v>
      </c>
      <c r="B9" s="189"/>
      <c r="C9" s="779">
        <v>0</v>
      </c>
      <c r="D9" s="779">
        <v>-0.15</v>
      </c>
      <c r="E9" s="779">
        <v>-0.3</v>
      </c>
    </row>
    <row r="10" spans="1:5" ht="15" customHeight="1" x14ac:dyDescent="0.3">
      <c r="A10" s="778" t="s">
        <v>808</v>
      </c>
      <c r="B10" s="189"/>
      <c r="C10" s="779">
        <v>0</v>
      </c>
      <c r="D10" s="779">
        <v>0.1</v>
      </c>
      <c r="E10" s="779">
        <v>0.25</v>
      </c>
    </row>
    <row r="11" spans="1:5" ht="15" customHeight="1" x14ac:dyDescent="0.3">
      <c r="A11" s="189"/>
      <c r="B11" s="189"/>
      <c r="C11" s="189"/>
      <c r="D11" s="189"/>
      <c r="E11" s="189"/>
    </row>
    <row r="12" spans="1:5" ht="15" customHeight="1" x14ac:dyDescent="0.3">
      <c r="A12" s="899" t="s">
        <v>809</v>
      </c>
      <c r="B12" s="899"/>
      <c r="C12" s="899"/>
      <c r="D12" s="899"/>
      <c r="E12" s="899"/>
    </row>
    <row r="13" spans="1:5" ht="15" customHeight="1" x14ac:dyDescent="0.3">
      <c r="A13" s="777" t="s">
        <v>810</v>
      </c>
      <c r="B13" s="777"/>
      <c r="C13" s="777" t="s">
        <v>801</v>
      </c>
      <c r="D13" s="777" t="s">
        <v>802</v>
      </c>
      <c r="E13" s="777" t="s">
        <v>803</v>
      </c>
    </row>
    <row r="14" spans="1:5" ht="15" customHeight="1" x14ac:dyDescent="0.3">
      <c r="A14" s="778" t="s">
        <v>811</v>
      </c>
      <c r="B14" s="189"/>
      <c r="C14" s="780">
        <f t="array" ref="C14">IFERROR(SUMPRODUCT(--('Facility Master'!H5:H48=1),'Facility Master'!K5:K48*(1+C8)*('Facility Master'!R5:R48+C6+C7)),0)</f>
        <v>376.61099999999999</v>
      </c>
      <c r="D14" s="780">
        <f t="array" ref="D14">IFERROR(SUMPRODUCT(--('Facility Master'!H5:H48=1),'Facility Master'!K5:K48*(1+D8)*('Facility Master'!R5:R48+D6+D7)),0)</f>
        <v>470.86710000000005</v>
      </c>
      <c r="E14" s="780">
        <f t="array" ref="E14">IFERROR(SUMPRODUCT(--('Facility Master'!H5:H48=1),'Facility Master'!K5:K48*(1+E8)*('Facility Master'!R5:R48+E6+E7)),0)</f>
        <v>575.41319999999996</v>
      </c>
    </row>
    <row r="15" spans="1:5" ht="23.25" customHeight="1" x14ac:dyDescent="0.3">
      <c r="A15" s="778" t="s">
        <v>812</v>
      </c>
      <c r="B15" s="189"/>
      <c r="C15" s="781">
        <f>IFERROR(('TEV Inputs'!I8-'TEV Inputs'!I11-'TEV Inputs'!I14)/(C14+'TEV Inputs'!I40),0)</f>
        <v>1.5036494658418342</v>
      </c>
      <c r="D15" s="781">
        <f>IFERROR(('TEV Inputs'!I8*(1+D9)-'TEV Inputs'!I14)/(D14+'TEV Inputs'!I40),0)</f>
        <v>1.0991692026200173</v>
      </c>
      <c r="E15" s="781">
        <f>IFERROR(('TEV Inputs'!I8*(1+E9)-'TEV Inputs'!I14)/(E14+'TEV Inputs'!I40),0)</f>
        <v>0.74920501450223154</v>
      </c>
    </row>
    <row r="16" spans="1:5" ht="15" customHeight="1" x14ac:dyDescent="0.3">
      <c r="A16" s="778" t="s">
        <v>813</v>
      </c>
      <c r="B16" s="189"/>
      <c r="C16" s="781">
        <f>IFERROR(('TEV Inputs'!I21+'TEV Inputs'!I23)/'TEV Inputs'!I8,0)</f>
        <v>2.8147740335777653</v>
      </c>
      <c r="D16" s="781">
        <f>IFERROR(('TEV Inputs'!I21+'TEV Inputs'!I23)*(1+D10)/('TEV Inputs'!I8*(1+D9)),0)</f>
        <v>3.6426487493359319</v>
      </c>
      <c r="E16" s="781">
        <f>IFERROR(('TEV Inputs'!I21+'TEV Inputs'!I23)*(1+E10)/('TEV Inputs'!I8*(1+E9)),0)</f>
        <v>5.0263822028174383</v>
      </c>
    </row>
    <row r="17" spans="1:5" ht="15" customHeight="1" x14ac:dyDescent="0.3">
      <c r="A17" s="778" t="s">
        <v>814</v>
      </c>
      <c r="B17" s="189"/>
      <c r="C17" s="781">
        <f>IFERROR('TEV Inputs'!I8/C14,0)</f>
        <v>2.5420454602474436</v>
      </c>
      <c r="D17" s="781">
        <f>IFERROR('TEV Inputs'!I8*(1+D9)/D14,0)</f>
        <v>1.7282115068240327</v>
      </c>
      <c r="E17" s="781">
        <f>IFERROR('TEV Inputs'!I8*(1+E9)/E14,0)</f>
        <v>1.1646475923396873</v>
      </c>
    </row>
    <row r="18" spans="1:5" ht="15" customHeight="1" x14ac:dyDescent="0.3">
      <c r="A18" s="189"/>
      <c r="B18" s="189"/>
      <c r="C18" s="189"/>
      <c r="D18" s="189"/>
      <c r="E18" s="189"/>
    </row>
    <row r="19" spans="1:5" ht="39.75" customHeight="1" x14ac:dyDescent="0.3">
      <c r="A19" s="923" t="s">
        <v>815</v>
      </c>
      <c r="B19" s="923"/>
      <c r="C19" s="923"/>
      <c r="D19" s="923"/>
      <c r="E19" s="923"/>
    </row>
    <row r="20" spans="1:5" ht="15" customHeight="1" x14ac:dyDescent="0.3">
      <c r="A20" s="189"/>
      <c r="B20" s="189"/>
      <c r="C20" s="189"/>
      <c r="D20" s="189"/>
      <c r="E20" s="189"/>
    </row>
    <row r="21" spans="1:5" ht="15" customHeight="1" x14ac:dyDescent="0.3">
      <c r="A21" s="899" t="s">
        <v>816</v>
      </c>
      <c r="B21" s="899"/>
      <c r="C21" s="899"/>
      <c r="D21" s="899"/>
      <c r="E21" s="899"/>
    </row>
    <row r="22" spans="1:5" ht="26.25" customHeight="1" x14ac:dyDescent="0.3">
      <c r="A22" s="777" t="s">
        <v>345</v>
      </c>
      <c r="B22" s="777"/>
      <c r="C22" s="777" t="s">
        <v>817</v>
      </c>
      <c r="D22" s="777"/>
      <c r="E22" s="777"/>
    </row>
    <row r="23" spans="1:5" ht="15" customHeight="1" x14ac:dyDescent="0.3">
      <c r="A23" s="782" t="s">
        <v>368</v>
      </c>
      <c r="B23" s="189"/>
      <c r="C23" s="780">
        <f>SUMIFS('Facility Master'!M:M,'Facility Master'!H:H,1,'Facility Master'!P:P,"1Y MCLR (UBI)")*0.01</f>
        <v>11.25</v>
      </c>
      <c r="D23" s="783"/>
      <c r="E23" s="783"/>
    </row>
    <row r="24" spans="1:5" ht="15" customHeight="1" x14ac:dyDescent="0.3">
      <c r="A24" s="782" t="s">
        <v>402</v>
      </c>
      <c r="B24" s="189"/>
      <c r="C24" s="780">
        <f>SUMIFS('Facility Master'!M:M,'Facility Master'!H:H,1,'Facility Master'!P:P,"1Y MCLR (Indian Bank)")*0.01</f>
        <v>2.35</v>
      </c>
      <c r="D24" s="783"/>
      <c r="E24" s="783"/>
    </row>
    <row r="25" spans="1:5" ht="15" customHeight="1" x14ac:dyDescent="0.3">
      <c r="A25" s="782" t="s">
        <v>426</v>
      </c>
      <c r="B25" s="189"/>
      <c r="C25" s="780">
        <f>SUMIFS('Facility Master'!M:M,'Facility Master'!H:H,1,'Facility Master'!P:P,"EBLR (YES Bank)")*0.01</f>
        <v>6.5</v>
      </c>
      <c r="D25" s="783"/>
      <c r="E25" s="783"/>
    </row>
    <row r="26" spans="1:5" ht="15" customHeight="1" x14ac:dyDescent="0.3">
      <c r="A26" s="782" t="s">
        <v>436</v>
      </c>
      <c r="B26" s="189"/>
      <c r="C26" s="780">
        <f>SUMIFS('Facility Master'!M:M,'Facility Master'!H:H,1,'Facility Master'!P:P,"EBLR (IDFC First)")*0.01</f>
        <v>5.3</v>
      </c>
      <c r="D26" s="783"/>
      <c r="E26" s="783"/>
    </row>
    <row r="27" spans="1:5" ht="15" customHeight="1" x14ac:dyDescent="0.3">
      <c r="A27" s="782" t="s">
        <v>536</v>
      </c>
      <c r="B27" s="189"/>
      <c r="C27" s="780">
        <f>SUMIFS('Facility Master'!M:M,'Facility Master'!H:H,1,'Facility Master'!P:P,"3M I-MCLR (ICICI)")*0.01</f>
        <v>8.4</v>
      </c>
      <c r="D27" s="783"/>
      <c r="E27" s="783"/>
    </row>
    <row r="28" spans="1:5" ht="15" customHeight="1" x14ac:dyDescent="0.3">
      <c r="A28" s="782" t="s">
        <v>449</v>
      </c>
      <c r="B28" s="189"/>
      <c r="C28" s="780">
        <f>SUMIFS('Facility Master'!M:M,'Facility Master'!H:H,1,'Facility Master'!P:P,"6M I-MCLR (ICICI)")*0.01</f>
        <v>1</v>
      </c>
      <c r="D28" s="783"/>
      <c r="E28" s="783"/>
    </row>
    <row r="29" spans="1:5" ht="15" customHeight="1" x14ac:dyDescent="0.3">
      <c r="A29" s="782" t="s">
        <v>455</v>
      </c>
      <c r="B29" s="189"/>
      <c r="C29" s="780">
        <f>SUMIFS('Facility Master'!M:M,'Facility Master'!H:H,1,'Facility Master'!P:P,"Repo Rate")*0.01</f>
        <v>0</v>
      </c>
      <c r="D29" s="783"/>
      <c r="E29" s="783"/>
    </row>
    <row r="30" spans="1:5" ht="15" customHeight="1" x14ac:dyDescent="0.3">
      <c r="A30" s="782" t="s">
        <v>522</v>
      </c>
      <c r="B30" s="189"/>
      <c r="C30" s="780">
        <f>SUMIFS('Facility Master'!M:M,'Facility Master'!H:H,1,'Facility Master'!P:P,"14-day Repo (HDFC)")*0.01</f>
        <v>0</v>
      </c>
      <c r="D30" s="783"/>
      <c r="E30" s="783"/>
    </row>
    <row r="31" spans="1:5" ht="15" customHeight="1" x14ac:dyDescent="0.3">
      <c r="A31" s="782" t="s">
        <v>527</v>
      </c>
      <c r="B31" s="189"/>
      <c r="C31" s="780">
        <f>SUMIFS('Facility Master'!M:M,'Facility Master'!H:H,1,'Facility Master'!P:P,"FD Rate (HDFC)")*0.01</f>
        <v>0</v>
      </c>
      <c r="D31" s="783"/>
      <c r="E31" s="783"/>
    </row>
    <row r="32" spans="1:5" ht="15" customHeight="1" x14ac:dyDescent="0.3">
      <c r="A32" s="782" t="s">
        <v>818</v>
      </c>
      <c r="B32" s="189"/>
      <c r="C32" s="780">
        <f>SUMIFS('Facility Master'!M:M,'Facility Master'!H:H,1,'Facility Master'!P:P,"Term SOFR (USD) 3M")*0.01</f>
        <v>0</v>
      </c>
      <c r="D32" s="783"/>
      <c r="E32" s="783"/>
    </row>
    <row r="33" spans="1:5" ht="15" customHeight="1" x14ac:dyDescent="0.3">
      <c r="A33" s="297" t="s">
        <v>819</v>
      </c>
      <c r="B33" s="189"/>
      <c r="C33" s="784">
        <f>SUM(C23:C32)</f>
        <v>34.800000000000004</v>
      </c>
      <c r="D33" s="189"/>
      <c r="E33" s="189"/>
    </row>
  </sheetData>
  <mergeCells count="6">
    <mergeCell ref="A21:E21"/>
    <mergeCell ref="A1:E1"/>
    <mergeCell ref="A2:E2"/>
    <mergeCell ref="A4:E4"/>
    <mergeCell ref="A12:E12"/>
    <mergeCell ref="A19:E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08080"/>
  </sheetPr>
  <dimension ref="A1:R52"/>
  <sheetViews>
    <sheetView topLeftCell="A30" zoomScaleNormal="100" workbookViewId="0">
      <selection activeCell="C8" sqref="C8"/>
    </sheetView>
  </sheetViews>
  <sheetFormatPr defaultColWidth="8.6640625" defaultRowHeight="14.4" x14ac:dyDescent="0.3"/>
  <cols>
    <col min="1" max="1" width="35" customWidth="1"/>
    <col min="2" max="2" width="14" customWidth="1"/>
    <col min="3" max="18" width="10" customWidth="1"/>
  </cols>
  <sheetData>
    <row r="1" spans="1:18" ht="15" customHeight="1" x14ac:dyDescent="0.3">
      <c r="A1" s="924" t="s">
        <v>820</v>
      </c>
      <c r="B1" s="924"/>
      <c r="C1" s="924"/>
      <c r="D1" s="924"/>
      <c r="E1" s="924"/>
      <c r="F1" s="924"/>
      <c r="G1" s="924"/>
      <c r="H1" s="924"/>
      <c r="I1" s="924"/>
      <c r="J1" s="924"/>
      <c r="K1" s="924"/>
      <c r="L1" s="924"/>
      <c r="M1" s="924"/>
      <c r="N1" s="924"/>
      <c r="O1" s="924"/>
      <c r="P1" s="924"/>
      <c r="Q1" s="924"/>
      <c r="R1" s="924"/>
    </row>
    <row r="2" spans="1:18" ht="34.5" customHeight="1" x14ac:dyDescent="0.3">
      <c r="A2" s="925" t="s">
        <v>821</v>
      </c>
      <c r="B2" s="925"/>
      <c r="C2" s="925"/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</row>
    <row r="3" spans="1:18" ht="15" customHeight="1" x14ac:dyDescent="0.3">
      <c r="A3" s="189"/>
      <c r="B3" s="189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</row>
    <row r="4" spans="1:18" ht="15" customHeight="1" x14ac:dyDescent="0.3">
      <c r="A4" s="785" t="s">
        <v>822</v>
      </c>
      <c r="B4" s="785" t="s">
        <v>823</v>
      </c>
      <c r="C4" s="785" t="s">
        <v>824</v>
      </c>
      <c r="D4" s="785" t="s">
        <v>91</v>
      </c>
      <c r="E4" s="785" t="s">
        <v>92</v>
      </c>
      <c r="F4" s="785" t="s">
        <v>93</v>
      </c>
      <c r="G4" s="785" t="s">
        <v>94</v>
      </c>
      <c r="H4" s="785" t="s">
        <v>95</v>
      </c>
      <c r="I4" s="785" t="s">
        <v>96</v>
      </c>
      <c r="J4" s="785" t="s">
        <v>97</v>
      </c>
      <c r="K4" s="785" t="s">
        <v>98</v>
      </c>
      <c r="L4" s="785" t="s">
        <v>99</v>
      </c>
      <c r="M4" s="785" t="s">
        <v>100</v>
      </c>
      <c r="N4" s="785" t="s">
        <v>101</v>
      </c>
      <c r="O4" s="785" t="s">
        <v>102</v>
      </c>
      <c r="P4" s="785" t="s">
        <v>103</v>
      </c>
      <c r="Q4" s="785" t="s">
        <v>104</v>
      </c>
      <c r="R4" s="785" t="s">
        <v>105</v>
      </c>
    </row>
    <row r="5" spans="1:18" ht="15" customHeight="1" x14ac:dyDescent="0.3">
      <c r="A5" s="926" t="s">
        <v>825</v>
      </c>
      <c r="B5" s="926"/>
      <c r="C5" s="926"/>
      <c r="D5" s="926"/>
      <c r="E5" s="926"/>
      <c r="F5" s="926"/>
      <c r="G5" s="926"/>
      <c r="H5" s="926"/>
      <c r="I5" s="926"/>
      <c r="J5" s="926"/>
      <c r="K5" s="926"/>
      <c r="L5" s="926"/>
      <c r="M5" s="926"/>
      <c r="N5" s="926"/>
      <c r="O5" s="926"/>
      <c r="P5" s="926"/>
      <c r="Q5" s="926"/>
      <c r="R5" s="926"/>
    </row>
    <row r="6" spans="1:18" ht="15" customHeight="1" x14ac:dyDescent="0.3">
      <c r="A6" s="786" t="s">
        <v>21</v>
      </c>
      <c r="B6" s="787" t="s">
        <v>826</v>
      </c>
      <c r="C6" s="788">
        <v>0</v>
      </c>
      <c r="D6" s="788">
        <v>0.20319999999999999</v>
      </c>
      <c r="E6" s="788">
        <v>0</v>
      </c>
      <c r="F6" s="788">
        <v>0</v>
      </c>
      <c r="G6" s="788">
        <v>6598.4050817766501</v>
      </c>
      <c r="H6" s="788">
        <v>6598.4050817766501</v>
      </c>
      <c r="I6" s="788">
        <v>7541.0343791733203</v>
      </c>
      <c r="J6" s="788">
        <v>7541.0343791733203</v>
      </c>
      <c r="K6" s="788">
        <v>7541.0343791733203</v>
      </c>
      <c r="L6" s="788">
        <v>7541.0343791733203</v>
      </c>
      <c r="M6" s="788">
        <v>7541.0343791733203</v>
      </c>
      <c r="N6" s="788">
        <v>7541.0343791733203</v>
      </c>
      <c r="O6" s="788">
        <v>7541.0343791733203</v>
      </c>
      <c r="P6" s="788">
        <v>7541.0343791733203</v>
      </c>
      <c r="Q6" s="788">
        <v>7541.0343791733203</v>
      </c>
      <c r="R6" s="788">
        <v>7541.0343791733203</v>
      </c>
    </row>
    <row r="7" spans="1:18" ht="15" customHeight="1" x14ac:dyDescent="0.3">
      <c r="A7" s="786" t="s">
        <v>827</v>
      </c>
      <c r="B7" s="787" t="s">
        <v>828</v>
      </c>
      <c r="C7" s="788">
        <v>6.2199999999999998E-2</v>
      </c>
      <c r="D7" s="788">
        <v>0.19570000000000001</v>
      </c>
      <c r="E7" s="788">
        <v>0</v>
      </c>
      <c r="F7" s="788">
        <v>0</v>
      </c>
      <c r="G7" s="788">
        <v>5776.0450066903104</v>
      </c>
      <c r="H7" s="788">
        <v>5780.9915873437403</v>
      </c>
      <c r="I7" s="788">
        <v>6583.6720963440703</v>
      </c>
      <c r="J7" s="788">
        <v>6583.5773142256403</v>
      </c>
      <c r="K7" s="788">
        <v>6583.5773142256403</v>
      </c>
      <c r="L7" s="788">
        <v>6583.5773142256403</v>
      </c>
      <c r="M7" s="788">
        <v>6583.5773142256403</v>
      </c>
      <c r="N7" s="788">
        <v>6583.5773142256403</v>
      </c>
      <c r="O7" s="788">
        <v>6583.5773142256403</v>
      </c>
      <c r="P7" s="788">
        <v>6583.5773142256403</v>
      </c>
      <c r="Q7" s="788">
        <v>6583.5773142256403</v>
      </c>
      <c r="R7" s="788">
        <v>6583.5773142256403</v>
      </c>
    </row>
    <row r="8" spans="1:18" ht="15" customHeight="1" x14ac:dyDescent="0.3">
      <c r="A8" s="786" t="s">
        <v>24</v>
      </c>
      <c r="B8" s="787" t="s">
        <v>829</v>
      </c>
      <c r="C8" s="788">
        <v>-6.2199999999999998E-2</v>
      </c>
      <c r="D8" s="788">
        <v>0</v>
      </c>
      <c r="E8" s="788">
        <v>0</v>
      </c>
      <c r="F8" s="788">
        <v>0</v>
      </c>
      <c r="G8" s="788">
        <v>822.36007508634395</v>
      </c>
      <c r="H8" s="788">
        <v>817.41349443291006</v>
      </c>
      <c r="I8" s="788">
        <v>957.36228282925003</v>
      </c>
      <c r="J8" s="788">
        <v>957.45706494767899</v>
      </c>
      <c r="K8" s="788">
        <v>957.45706494767899</v>
      </c>
      <c r="L8" s="788">
        <v>957.45706494767899</v>
      </c>
      <c r="M8" s="788">
        <v>957.45706494767899</v>
      </c>
      <c r="N8" s="788">
        <v>957.45706494767899</v>
      </c>
      <c r="O8" s="788">
        <v>957.45706494767899</v>
      </c>
      <c r="P8" s="788">
        <v>957.45706494767899</v>
      </c>
      <c r="Q8" s="788">
        <v>957.45706494767899</v>
      </c>
      <c r="R8" s="788">
        <v>957.45706494767899</v>
      </c>
    </row>
    <row r="9" spans="1:18" ht="15" customHeight="1" x14ac:dyDescent="0.3">
      <c r="A9" s="786" t="s">
        <v>830</v>
      </c>
      <c r="B9" s="787" t="s">
        <v>831</v>
      </c>
      <c r="C9" s="788">
        <v>0</v>
      </c>
      <c r="D9" s="788">
        <v>0</v>
      </c>
      <c r="E9" s="788">
        <v>0</v>
      </c>
      <c r="F9" s="788">
        <v>0</v>
      </c>
      <c r="G9" s="788">
        <v>222.967263494203</v>
      </c>
      <c r="H9" s="788">
        <v>227.337674392537</v>
      </c>
      <c r="I9" s="788">
        <v>231.70808529087199</v>
      </c>
      <c r="J9" s="788">
        <v>236.07849618920699</v>
      </c>
      <c r="K9" s="788">
        <v>240.44890708754201</v>
      </c>
      <c r="L9" s="788">
        <v>244.81931798587601</v>
      </c>
      <c r="M9" s="788">
        <v>245.04825719002699</v>
      </c>
      <c r="N9" s="788">
        <v>227.65084805746801</v>
      </c>
      <c r="O9" s="788">
        <v>209.20284166215501</v>
      </c>
      <c r="P9" s="788">
        <v>189.38447226117199</v>
      </c>
      <c r="Q9" s="788">
        <v>193.75488315950599</v>
      </c>
      <c r="R9" s="788">
        <v>198.12529405784099</v>
      </c>
    </row>
    <row r="10" spans="1:18" ht="15" customHeight="1" x14ac:dyDescent="0.3">
      <c r="A10" s="786" t="s">
        <v>832</v>
      </c>
      <c r="B10" s="787" t="s">
        <v>833</v>
      </c>
      <c r="C10" s="788">
        <v>-6.2199999999999998E-2</v>
      </c>
      <c r="D10" s="788">
        <v>0</v>
      </c>
      <c r="E10" s="788">
        <v>0</v>
      </c>
      <c r="F10" s="788">
        <v>0</v>
      </c>
      <c r="G10" s="788">
        <v>599.39281159214204</v>
      </c>
      <c r="H10" s="788">
        <v>590.07582004037295</v>
      </c>
      <c r="I10" s="788">
        <v>725.65419753837796</v>
      </c>
      <c r="J10" s="788">
        <v>721.37856875847206</v>
      </c>
      <c r="K10" s="788">
        <v>717.008157860138</v>
      </c>
      <c r="L10" s="788">
        <v>712.63774696180303</v>
      </c>
      <c r="M10" s="788">
        <v>712.40880775765299</v>
      </c>
      <c r="N10" s="788">
        <v>729.80621689021098</v>
      </c>
      <c r="O10" s="788">
        <v>748.25422328552395</v>
      </c>
      <c r="P10" s="788">
        <v>768.07259268650796</v>
      </c>
      <c r="Q10" s="788">
        <v>763.70218178817299</v>
      </c>
      <c r="R10" s="788">
        <v>759.33177088983803</v>
      </c>
    </row>
    <row r="11" spans="1:18" ht="15" customHeight="1" x14ac:dyDescent="0.3">
      <c r="A11" s="786" t="s">
        <v>834</v>
      </c>
      <c r="B11" s="787" t="s">
        <v>835</v>
      </c>
      <c r="C11" s="788">
        <v>0</v>
      </c>
      <c r="D11" s="788">
        <v>0</v>
      </c>
      <c r="E11" s="788">
        <v>0</v>
      </c>
      <c r="F11" s="788">
        <v>0</v>
      </c>
      <c r="G11" s="788">
        <v>25.223226468620499</v>
      </c>
      <c r="H11" s="788">
        <v>25.3157249862216</v>
      </c>
      <c r="I11" s="788">
        <v>28.830144926843499</v>
      </c>
      <c r="J11" s="788">
        <v>28.8311308370162</v>
      </c>
      <c r="K11" s="788">
        <v>28.8311308370162</v>
      </c>
      <c r="L11" s="788">
        <v>28.8311308370162</v>
      </c>
      <c r="M11" s="788">
        <v>28.8311308370162</v>
      </c>
      <c r="N11" s="788">
        <v>28.8311308370162</v>
      </c>
      <c r="O11" s="788">
        <v>28.8311308370162</v>
      </c>
      <c r="P11" s="788">
        <v>28.8311308370162</v>
      </c>
      <c r="Q11" s="788">
        <v>28.8311308370162</v>
      </c>
      <c r="R11" s="788">
        <v>28.8311308370162</v>
      </c>
    </row>
    <row r="12" spans="1:18" ht="15" customHeight="1" x14ac:dyDescent="0.3">
      <c r="A12" s="786" t="s">
        <v>836</v>
      </c>
      <c r="B12" s="787" t="s">
        <v>837</v>
      </c>
      <c r="C12" s="788">
        <v>0</v>
      </c>
      <c r="D12" s="788">
        <v>0</v>
      </c>
      <c r="E12" s="788">
        <v>0</v>
      </c>
      <c r="F12" s="788">
        <v>0</v>
      </c>
      <c r="G12" s="788">
        <v>255.41470996875</v>
      </c>
      <c r="H12" s="788">
        <v>246.22137925000001</v>
      </c>
      <c r="I12" s="788">
        <v>233.11089022499999</v>
      </c>
      <c r="J12" s="788">
        <v>212.96550465000001</v>
      </c>
      <c r="K12" s="788">
        <v>189.94220684999999</v>
      </c>
      <c r="L12" s="788">
        <v>166.91890905</v>
      </c>
      <c r="M12" s="788">
        <v>143.89561125</v>
      </c>
      <c r="N12" s="788">
        <v>120.87231344999999</v>
      </c>
      <c r="O12" s="788">
        <v>97.849015649999799</v>
      </c>
      <c r="P12" s="788">
        <v>74.825717849999805</v>
      </c>
      <c r="Q12" s="788">
        <v>51.802420049999803</v>
      </c>
      <c r="R12" s="788">
        <v>28.779122249999801</v>
      </c>
    </row>
    <row r="13" spans="1:18" ht="15" customHeight="1" x14ac:dyDescent="0.3">
      <c r="A13" s="786" t="s">
        <v>838</v>
      </c>
      <c r="B13" s="787" t="s">
        <v>839</v>
      </c>
      <c r="C13" s="788">
        <v>-6.2199999999999998E-2</v>
      </c>
      <c r="D13" s="788">
        <v>0</v>
      </c>
      <c r="E13" s="788">
        <v>0</v>
      </c>
      <c r="F13" s="788">
        <v>0</v>
      </c>
      <c r="G13" s="788">
        <v>318.75487515477101</v>
      </c>
      <c r="H13" s="788">
        <v>318.53871580415102</v>
      </c>
      <c r="I13" s="788">
        <v>463.71316238653498</v>
      </c>
      <c r="J13" s="788">
        <v>479.58193327145602</v>
      </c>
      <c r="K13" s="788">
        <v>498.23482017312102</v>
      </c>
      <c r="L13" s="788">
        <v>516.88770707478704</v>
      </c>
      <c r="M13" s="788">
        <v>539.68206567063703</v>
      </c>
      <c r="N13" s="788">
        <v>580.10277260319504</v>
      </c>
      <c r="O13" s="788">
        <v>621.57407679850803</v>
      </c>
      <c r="P13" s="788">
        <v>664.41574399949195</v>
      </c>
      <c r="Q13" s="788">
        <v>683.06863090115701</v>
      </c>
      <c r="R13" s="788">
        <v>701.72151780282195</v>
      </c>
    </row>
    <row r="14" spans="1:18" ht="15" customHeight="1" x14ac:dyDescent="0.3">
      <c r="A14" s="786" t="s">
        <v>840</v>
      </c>
      <c r="B14" s="787" t="s">
        <v>841</v>
      </c>
      <c r="C14" s="788">
        <v>0</v>
      </c>
      <c r="D14" s="788">
        <v>0</v>
      </c>
      <c r="E14" s="788">
        <v>0</v>
      </c>
      <c r="F14" s="788">
        <v>0</v>
      </c>
      <c r="G14" s="788">
        <v>80.216834086455904</v>
      </c>
      <c r="H14" s="788">
        <v>80.176194767904803</v>
      </c>
      <c r="I14" s="788">
        <v>116.71660297269101</v>
      </c>
      <c r="J14" s="788">
        <v>120.710772604426</v>
      </c>
      <c r="K14" s="788">
        <v>125.40570423757499</v>
      </c>
      <c r="L14" s="788">
        <v>130.10063587072401</v>
      </c>
      <c r="M14" s="788">
        <v>135.83797592929901</v>
      </c>
      <c r="N14" s="788">
        <v>146.011867864224</v>
      </c>
      <c r="O14" s="788">
        <v>156.45019513018499</v>
      </c>
      <c r="P14" s="788">
        <v>167.23344276467199</v>
      </c>
      <c r="Q14" s="788">
        <v>171.92837439782099</v>
      </c>
      <c r="R14" s="788">
        <v>176.62330603097001</v>
      </c>
    </row>
    <row r="15" spans="1:18" ht="15" customHeight="1" x14ac:dyDescent="0.3">
      <c r="A15" s="786" t="s">
        <v>31</v>
      </c>
      <c r="B15" s="787" t="s">
        <v>842</v>
      </c>
      <c r="C15" s="788">
        <v>-6.2199999999999998E-2</v>
      </c>
      <c r="D15" s="788">
        <v>0</v>
      </c>
      <c r="E15" s="788">
        <v>0</v>
      </c>
      <c r="F15" s="788">
        <v>0</v>
      </c>
      <c r="G15" s="788">
        <v>238.53804106831501</v>
      </c>
      <c r="H15" s="788">
        <v>238.36252103624599</v>
      </c>
      <c r="I15" s="788">
        <v>346.99655941384401</v>
      </c>
      <c r="J15" s="788">
        <v>358.87116066703101</v>
      </c>
      <c r="K15" s="788">
        <v>372.82911593554701</v>
      </c>
      <c r="L15" s="788">
        <v>386.78707120406301</v>
      </c>
      <c r="M15" s="788">
        <v>403.84408974133697</v>
      </c>
      <c r="N15" s="788">
        <v>434.09090473897101</v>
      </c>
      <c r="O15" s="788">
        <v>465.12388166832397</v>
      </c>
      <c r="P15" s="788">
        <v>497.18230123481999</v>
      </c>
      <c r="Q15" s="788">
        <v>511.14025650333599</v>
      </c>
      <c r="R15" s="788">
        <v>525.09821177185199</v>
      </c>
    </row>
    <row r="16" spans="1:18" ht="15" customHeight="1" x14ac:dyDescent="0.3">
      <c r="A16" s="189"/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</row>
    <row r="17" spans="1:18" ht="15" customHeight="1" x14ac:dyDescent="0.3">
      <c r="A17" s="926" t="s">
        <v>843</v>
      </c>
      <c r="B17" s="926"/>
      <c r="C17" s="926"/>
      <c r="D17" s="926"/>
      <c r="E17" s="926"/>
      <c r="F17" s="926"/>
      <c r="G17" s="926"/>
      <c r="H17" s="926"/>
      <c r="I17" s="926"/>
      <c r="J17" s="926"/>
      <c r="K17" s="926"/>
      <c r="L17" s="926"/>
      <c r="M17" s="926"/>
      <c r="N17" s="926"/>
      <c r="O17" s="926"/>
      <c r="P17" s="926"/>
      <c r="Q17" s="926"/>
      <c r="R17" s="926"/>
    </row>
    <row r="18" spans="1:18" ht="15" customHeight="1" x14ac:dyDescent="0.3">
      <c r="A18" s="786" t="s">
        <v>844</v>
      </c>
      <c r="B18" s="787" t="s">
        <v>845</v>
      </c>
      <c r="C18" s="788">
        <v>309</v>
      </c>
      <c r="D18" s="788">
        <v>875.06</v>
      </c>
      <c r="E18" s="788">
        <v>1362.5090525943101</v>
      </c>
      <c r="F18" s="788">
        <v>1362.5090525943101</v>
      </c>
      <c r="G18" s="788">
        <v>1362.5090525943101</v>
      </c>
      <c r="H18" s="788">
        <v>1362.5090525943101</v>
      </c>
      <c r="I18" s="788">
        <v>1362.5090525943101</v>
      </c>
      <c r="J18" s="788">
        <v>1362.5090525943101</v>
      </c>
      <c r="K18" s="788">
        <v>1362.5090525943101</v>
      </c>
      <c r="L18" s="788">
        <v>1362.5090525943101</v>
      </c>
      <c r="M18" s="788">
        <v>1362.5090525943101</v>
      </c>
      <c r="N18" s="788">
        <v>1362.5090525943101</v>
      </c>
      <c r="O18" s="788">
        <v>1362.5090525943101</v>
      </c>
      <c r="P18" s="788">
        <v>1362.5090525943101</v>
      </c>
      <c r="Q18" s="788">
        <v>1362.5090525943101</v>
      </c>
      <c r="R18" s="788">
        <v>1362.5090525943101</v>
      </c>
    </row>
    <row r="19" spans="1:18" ht="15" customHeight="1" x14ac:dyDescent="0.3">
      <c r="A19" s="786" t="s">
        <v>846</v>
      </c>
      <c r="B19" s="787" t="s">
        <v>847</v>
      </c>
      <c r="C19" s="788">
        <v>0</v>
      </c>
      <c r="D19" s="788">
        <v>-6.2199999999999998E-2</v>
      </c>
      <c r="E19" s="788">
        <v>-5.4699999999999901E-2</v>
      </c>
      <c r="F19" s="788">
        <v>-5.4699999999999901E-2</v>
      </c>
      <c r="G19" s="788">
        <v>238.48334106831501</v>
      </c>
      <c r="H19" s="788">
        <v>476.84586210456098</v>
      </c>
      <c r="I19" s="788">
        <v>823.84242151840499</v>
      </c>
      <c r="J19" s="788">
        <v>1182.7135821854399</v>
      </c>
      <c r="K19" s="788">
        <v>1555.54269812098</v>
      </c>
      <c r="L19" s="788">
        <v>1942.3297693250499</v>
      </c>
      <c r="M19" s="788">
        <v>2346.1738590663799</v>
      </c>
      <c r="N19" s="788">
        <v>2780.26476380535</v>
      </c>
      <c r="O19" s="788">
        <v>3245.3886454736798</v>
      </c>
      <c r="P19" s="788">
        <v>3742.5709467084998</v>
      </c>
      <c r="Q19" s="788">
        <v>4253.7112032118303</v>
      </c>
      <c r="R19" s="788">
        <v>4778.8094149836797</v>
      </c>
    </row>
    <row r="20" spans="1:18" ht="15" customHeight="1" x14ac:dyDescent="0.3">
      <c r="A20" s="786" t="s">
        <v>848</v>
      </c>
      <c r="B20" s="787" t="s">
        <v>849</v>
      </c>
      <c r="C20" s="788">
        <v>309</v>
      </c>
      <c r="D20" s="788">
        <v>874.99779999999998</v>
      </c>
      <c r="E20" s="788">
        <v>1362.45435259431</v>
      </c>
      <c r="F20" s="788">
        <v>1362.45435259431</v>
      </c>
      <c r="G20" s="788">
        <v>1600.9923936626301</v>
      </c>
      <c r="H20" s="788">
        <v>1839.3549146988701</v>
      </c>
      <c r="I20" s="788">
        <v>2186.3514741127201</v>
      </c>
      <c r="J20" s="788">
        <v>2545.22263477975</v>
      </c>
      <c r="K20" s="788">
        <v>2918.0517507152899</v>
      </c>
      <c r="L20" s="788">
        <v>3304.8388219193598</v>
      </c>
      <c r="M20" s="788">
        <v>3708.68291166069</v>
      </c>
      <c r="N20" s="788">
        <v>4142.7738163996601</v>
      </c>
      <c r="O20" s="788">
        <v>4607.8976980679899</v>
      </c>
      <c r="P20" s="788">
        <v>5105.0799993028104</v>
      </c>
      <c r="Q20" s="788">
        <v>5616.2202558061399</v>
      </c>
      <c r="R20" s="788">
        <v>6141.3184675779903</v>
      </c>
    </row>
    <row r="21" spans="1:18" ht="15" customHeight="1" x14ac:dyDescent="0.3">
      <c r="A21" s="786" t="s">
        <v>850</v>
      </c>
      <c r="B21" s="787" t="s">
        <v>851</v>
      </c>
      <c r="C21" s="788">
        <v>472</v>
      </c>
      <c r="D21" s="788">
        <v>1174.76</v>
      </c>
      <c r="E21" s="788">
        <v>1927.91</v>
      </c>
      <c r="F21" s="788">
        <v>2721.43</v>
      </c>
      <c r="G21" s="788">
        <v>2687.4121249999998</v>
      </c>
      <c r="H21" s="788">
        <v>2551.3406249999998</v>
      </c>
      <c r="I21" s="788">
        <v>2388.0548250000002</v>
      </c>
      <c r="J21" s="788">
        <v>2143.1261249999998</v>
      </c>
      <c r="K21" s="788">
        <v>1898.1974250000001</v>
      </c>
      <c r="L21" s="788">
        <v>1653.2687249999999</v>
      </c>
      <c r="M21" s="788">
        <v>1408.340025</v>
      </c>
      <c r="N21" s="788">
        <v>1163.411325</v>
      </c>
      <c r="O21" s="788">
        <v>918.48262499999998</v>
      </c>
      <c r="P21" s="788">
        <v>673.55392500000005</v>
      </c>
      <c r="Q21" s="788">
        <v>428.625225</v>
      </c>
      <c r="R21" s="788">
        <v>183.69652500000001</v>
      </c>
    </row>
    <row r="22" spans="1:18" ht="15" customHeight="1" x14ac:dyDescent="0.3">
      <c r="A22" s="786" t="s">
        <v>852</v>
      </c>
      <c r="B22" s="787" t="s">
        <v>853</v>
      </c>
      <c r="C22" s="788">
        <v>0</v>
      </c>
      <c r="D22" s="788">
        <v>0</v>
      </c>
      <c r="E22" s="788">
        <v>0</v>
      </c>
      <c r="F22" s="788">
        <v>0</v>
      </c>
      <c r="G22" s="788">
        <v>80.216834086455904</v>
      </c>
      <c r="H22" s="788">
        <v>160.39302885436101</v>
      </c>
      <c r="I22" s="788">
        <v>253.29524433013</v>
      </c>
      <c r="J22" s="788">
        <v>297.24313964203202</v>
      </c>
      <c r="K22" s="788">
        <v>326.746020499591</v>
      </c>
      <c r="L22" s="788">
        <v>344.24976154638603</v>
      </c>
      <c r="M22" s="788">
        <v>352.75876405433098</v>
      </c>
      <c r="N22" s="788">
        <v>358.29012024545898</v>
      </c>
      <c r="O22" s="788">
        <v>362.38689675318801</v>
      </c>
      <c r="P22" s="788">
        <v>366.43271302951501</v>
      </c>
      <c r="Q22" s="788">
        <v>365.18647927441299</v>
      </c>
      <c r="R22" s="788">
        <v>359.34197835499799</v>
      </c>
    </row>
    <row r="23" spans="1:18" ht="15" customHeight="1" x14ac:dyDescent="0.3">
      <c r="A23" s="786" t="s">
        <v>854</v>
      </c>
      <c r="B23" s="787" t="s">
        <v>855</v>
      </c>
      <c r="C23" s="788">
        <v>0</v>
      </c>
      <c r="D23" s="788">
        <v>0</v>
      </c>
      <c r="E23" s="788">
        <v>0</v>
      </c>
      <c r="F23" s="788">
        <v>0</v>
      </c>
      <c r="G23" s="788">
        <v>268.33219647468599</v>
      </c>
      <c r="H23" s="788">
        <v>269.31622325767597</v>
      </c>
      <c r="I23" s="788">
        <v>306.703669434505</v>
      </c>
      <c r="J23" s="788">
        <v>306.71415784059701</v>
      </c>
      <c r="K23" s="788">
        <v>306.71415784059701</v>
      </c>
      <c r="L23" s="788">
        <v>306.71415784059701</v>
      </c>
      <c r="M23" s="788">
        <v>306.71415784059701</v>
      </c>
      <c r="N23" s="788">
        <v>306.71415784059701</v>
      </c>
      <c r="O23" s="788">
        <v>306.71415784059701</v>
      </c>
      <c r="P23" s="788">
        <v>306.71415784059701</v>
      </c>
      <c r="Q23" s="788">
        <v>306.71415784059701</v>
      </c>
      <c r="R23" s="788">
        <v>306.71415784059701</v>
      </c>
    </row>
    <row r="24" spans="1:18" ht="15" customHeight="1" x14ac:dyDescent="0.3">
      <c r="A24" s="786" t="s">
        <v>856</v>
      </c>
      <c r="B24" s="787" t="s">
        <v>857</v>
      </c>
      <c r="C24" s="788">
        <v>0</v>
      </c>
      <c r="D24" s="788">
        <v>0</v>
      </c>
      <c r="E24" s="788">
        <v>0</v>
      </c>
      <c r="F24" s="788">
        <v>0</v>
      </c>
      <c r="G24" s="788">
        <v>937.32717278905204</v>
      </c>
      <c r="H24" s="788">
        <v>935.37531617268303</v>
      </c>
      <c r="I24" s="788">
        <v>1069.2991149039401</v>
      </c>
      <c r="J24" s="788">
        <v>1069.2991149039401</v>
      </c>
      <c r="K24" s="788">
        <v>1069.2991149039401</v>
      </c>
      <c r="L24" s="788">
        <v>1069.2991149039401</v>
      </c>
      <c r="M24" s="788">
        <v>1069.2991149039401</v>
      </c>
      <c r="N24" s="788">
        <v>1069.2991149039401</v>
      </c>
      <c r="O24" s="788">
        <v>1069.2991149039401</v>
      </c>
      <c r="P24" s="788">
        <v>1069.2991149039401</v>
      </c>
      <c r="Q24" s="788">
        <v>1069.2991149039401</v>
      </c>
      <c r="R24" s="788">
        <v>1069.2991149039401</v>
      </c>
    </row>
    <row r="25" spans="1:18" ht="15" customHeight="1" x14ac:dyDescent="0.3">
      <c r="A25" s="786" t="s">
        <v>858</v>
      </c>
      <c r="B25" s="787" t="s">
        <v>859</v>
      </c>
      <c r="C25" s="788">
        <v>0</v>
      </c>
      <c r="D25" s="788">
        <v>308.73339240242598</v>
      </c>
      <c r="E25" s="788">
        <v>193.868483459592</v>
      </c>
      <c r="F25" s="788">
        <v>0</v>
      </c>
      <c r="G25" s="788">
        <v>1205.65936926374</v>
      </c>
      <c r="H25" s="788">
        <v>1204.6915394303601</v>
      </c>
      <c r="I25" s="788">
        <v>1376.0027843384401</v>
      </c>
      <c r="J25" s="788">
        <v>1376.01327274454</v>
      </c>
      <c r="K25" s="788">
        <v>1376.01327274454</v>
      </c>
      <c r="L25" s="788">
        <v>1376.01327274454</v>
      </c>
      <c r="M25" s="788">
        <v>1376.01327274454</v>
      </c>
      <c r="N25" s="788">
        <v>1376.01327274454</v>
      </c>
      <c r="O25" s="788">
        <v>1376.01327274454</v>
      </c>
      <c r="P25" s="788">
        <v>1376.01327274454</v>
      </c>
      <c r="Q25" s="788">
        <v>1376.01327274454</v>
      </c>
      <c r="R25" s="788">
        <v>1376.01327274454</v>
      </c>
    </row>
    <row r="26" spans="1:18" ht="15" customHeight="1" x14ac:dyDescent="0.3">
      <c r="A26" s="786" t="s">
        <v>860</v>
      </c>
      <c r="B26" s="787" t="s">
        <v>861</v>
      </c>
      <c r="C26" s="788">
        <v>781</v>
      </c>
      <c r="D26" s="788">
        <v>2358.49119240243</v>
      </c>
      <c r="E26" s="788">
        <v>3484.2328360539</v>
      </c>
      <c r="F26" s="788">
        <v>4083.8843525943098</v>
      </c>
      <c r="G26" s="788">
        <v>5574.2807220128198</v>
      </c>
      <c r="H26" s="788">
        <v>5755.7801079835899</v>
      </c>
      <c r="I26" s="788">
        <v>6203.70432778129</v>
      </c>
      <c r="J26" s="788">
        <v>6361.6051721663098</v>
      </c>
      <c r="K26" s="788">
        <v>6519.0084689594196</v>
      </c>
      <c r="L26" s="788">
        <v>6678.3705812102799</v>
      </c>
      <c r="M26" s="788">
        <v>6845.7949734595604</v>
      </c>
      <c r="N26" s="788">
        <v>7040.4885343896603</v>
      </c>
      <c r="O26" s="788">
        <v>7264.7804925657101</v>
      </c>
      <c r="P26" s="788">
        <v>7521.07991007686</v>
      </c>
      <c r="Q26" s="788">
        <v>7786.0452328250904</v>
      </c>
      <c r="R26" s="788">
        <v>8060.3702436775302</v>
      </c>
    </row>
    <row r="27" spans="1:18" ht="15" customHeight="1" x14ac:dyDescent="0.3">
      <c r="A27" s="786" t="s">
        <v>862</v>
      </c>
      <c r="B27" s="787" t="s">
        <v>863</v>
      </c>
      <c r="C27" s="788">
        <v>0</v>
      </c>
      <c r="D27" s="788">
        <v>0</v>
      </c>
      <c r="E27" s="788">
        <v>0</v>
      </c>
      <c r="F27" s="788">
        <v>0</v>
      </c>
      <c r="G27" s="788">
        <v>4092.1170407249301</v>
      </c>
      <c r="H27" s="788">
        <v>4190.0671032747596</v>
      </c>
      <c r="I27" s="788">
        <v>4288.0171658245999</v>
      </c>
      <c r="J27" s="788">
        <v>4385.9672283744403</v>
      </c>
      <c r="K27" s="788">
        <v>4483.9172909242798</v>
      </c>
      <c r="L27" s="788">
        <v>4581.8673534741201</v>
      </c>
      <c r="M27" s="788">
        <v>4679.8174160239596</v>
      </c>
      <c r="N27" s="788">
        <v>4777.7674785738</v>
      </c>
      <c r="O27" s="788">
        <v>4875.7175411236403</v>
      </c>
      <c r="P27" s="788">
        <v>4973.6676036734798</v>
      </c>
      <c r="Q27" s="788">
        <v>5071.6176662233202</v>
      </c>
      <c r="R27" s="788">
        <v>5169.5677287731596</v>
      </c>
    </row>
    <row r="28" spans="1:18" ht="15" customHeight="1" x14ac:dyDescent="0.3">
      <c r="A28" s="786" t="s">
        <v>864</v>
      </c>
      <c r="B28" s="787" t="s">
        <v>865</v>
      </c>
      <c r="C28" s="788">
        <v>0</v>
      </c>
      <c r="D28" s="788">
        <v>0</v>
      </c>
      <c r="E28" s="788">
        <v>0</v>
      </c>
      <c r="F28" s="788">
        <v>0</v>
      </c>
      <c r="G28" s="788">
        <v>222.967263494203</v>
      </c>
      <c r="H28" s="788">
        <v>450.30493788673999</v>
      </c>
      <c r="I28" s="788">
        <v>682.01302317761201</v>
      </c>
      <c r="J28" s="788">
        <v>918.09151936681906</v>
      </c>
      <c r="K28" s="788">
        <v>1158.5404264543599</v>
      </c>
      <c r="L28" s="788">
        <v>1403.3597444402401</v>
      </c>
      <c r="M28" s="788">
        <v>1648.4080016302601</v>
      </c>
      <c r="N28" s="788">
        <v>1876.0588496877299</v>
      </c>
      <c r="O28" s="788">
        <v>2085.26169134989</v>
      </c>
      <c r="P28" s="788">
        <v>2274.6461636110598</v>
      </c>
      <c r="Q28" s="788">
        <v>2468.4010467705698</v>
      </c>
      <c r="R28" s="788">
        <v>2666.52634082841</v>
      </c>
    </row>
    <row r="29" spans="1:18" ht="15" customHeight="1" x14ac:dyDescent="0.3">
      <c r="A29" s="786" t="s">
        <v>866</v>
      </c>
      <c r="B29" s="787" t="s">
        <v>867</v>
      </c>
      <c r="C29" s="788">
        <v>0</v>
      </c>
      <c r="D29" s="788">
        <v>0</v>
      </c>
      <c r="E29" s="788">
        <v>0</v>
      </c>
      <c r="F29" s="788">
        <v>0</v>
      </c>
      <c r="G29" s="788">
        <v>3869.1497772307198</v>
      </c>
      <c r="H29" s="788">
        <v>3739.7621653880201</v>
      </c>
      <c r="I29" s="788">
        <v>3606.0041426469902</v>
      </c>
      <c r="J29" s="788">
        <v>3467.8757090076201</v>
      </c>
      <c r="K29" s="788">
        <v>3325.3768644699198</v>
      </c>
      <c r="L29" s="788">
        <v>3178.5076090338798</v>
      </c>
      <c r="M29" s="788">
        <v>3031.4094143937</v>
      </c>
      <c r="N29" s="788">
        <v>2901.7086288860701</v>
      </c>
      <c r="O29" s="788">
        <v>2790.4558497737498</v>
      </c>
      <c r="P29" s="788">
        <v>2699.02144006242</v>
      </c>
      <c r="Q29" s="788">
        <v>2603.2166194527499</v>
      </c>
      <c r="R29" s="788">
        <v>2503.0413879447501</v>
      </c>
    </row>
    <row r="30" spans="1:18" ht="15" customHeight="1" x14ac:dyDescent="0.3">
      <c r="A30" s="786" t="s">
        <v>868</v>
      </c>
      <c r="B30" s="787" t="s">
        <v>869</v>
      </c>
      <c r="C30" s="788">
        <v>464.526760248345</v>
      </c>
      <c r="D30" s="788">
        <v>2358.5533924024298</v>
      </c>
      <c r="E30" s="788">
        <v>3484.2875360539001</v>
      </c>
      <c r="F30" s="788">
        <v>3994.1669781750902</v>
      </c>
      <c r="G30" s="788">
        <v>0</v>
      </c>
      <c r="H30" s="788">
        <v>0</v>
      </c>
      <c r="I30" s="788">
        <v>0</v>
      </c>
      <c r="J30" s="788">
        <v>0</v>
      </c>
      <c r="K30" s="788">
        <v>0</v>
      </c>
      <c r="L30" s="788">
        <v>0</v>
      </c>
      <c r="M30" s="788">
        <v>0</v>
      </c>
      <c r="N30" s="788">
        <v>0</v>
      </c>
      <c r="O30" s="788">
        <v>0</v>
      </c>
      <c r="P30" s="788">
        <v>0</v>
      </c>
      <c r="Q30" s="788">
        <v>0</v>
      </c>
      <c r="R30" s="788">
        <v>0</v>
      </c>
    </row>
    <row r="31" spans="1:18" ht="15" customHeight="1" x14ac:dyDescent="0.3">
      <c r="A31" s="786" t="s">
        <v>870</v>
      </c>
      <c r="B31" s="787" t="s">
        <v>871</v>
      </c>
      <c r="C31" s="788">
        <v>316.473239751655</v>
      </c>
      <c r="D31" s="788">
        <v>-6.2199999999734301E-2</v>
      </c>
      <c r="E31" s="788">
        <v>-5.4699999999797903E-2</v>
      </c>
      <c r="F31" s="788">
        <v>89.717374419225607</v>
      </c>
      <c r="G31" s="788">
        <v>410.02751002679702</v>
      </c>
      <c r="H31" s="788">
        <v>721.55432874598296</v>
      </c>
      <c r="I31" s="788">
        <v>1119.46284431769</v>
      </c>
      <c r="J31" s="788">
        <v>1415.4781378006201</v>
      </c>
      <c r="K31" s="788">
        <v>1715.3802791314299</v>
      </c>
      <c r="L31" s="788">
        <v>2021.61164681832</v>
      </c>
      <c r="M31" s="788">
        <v>2336.1342337077899</v>
      </c>
      <c r="N31" s="788">
        <v>2660.5285801455202</v>
      </c>
      <c r="O31" s="788">
        <v>2996.0733174338902</v>
      </c>
      <c r="P31" s="788">
        <v>3343.8071446563699</v>
      </c>
      <c r="Q31" s="788">
        <v>3704.5772880142699</v>
      </c>
      <c r="R31" s="788">
        <v>4079.07753037471</v>
      </c>
    </row>
    <row r="32" spans="1:18" ht="15" customHeight="1" x14ac:dyDescent="0.3">
      <c r="A32" s="786" t="s">
        <v>872</v>
      </c>
      <c r="B32" s="787" t="s">
        <v>873</v>
      </c>
      <c r="C32" s="788">
        <v>0</v>
      </c>
      <c r="D32" s="788">
        <v>0</v>
      </c>
      <c r="E32" s="788">
        <v>0</v>
      </c>
      <c r="F32" s="788">
        <v>0</v>
      </c>
      <c r="G32" s="788">
        <v>752.76877049968505</v>
      </c>
      <c r="H32" s="788">
        <v>752.12894959396999</v>
      </c>
      <c r="I32" s="788">
        <v>858.42629595305198</v>
      </c>
      <c r="J32" s="788">
        <v>858.44028049450799</v>
      </c>
      <c r="K32" s="788">
        <v>858.44028049450799</v>
      </c>
      <c r="L32" s="788">
        <v>858.44028049450799</v>
      </c>
      <c r="M32" s="788">
        <v>858.44028049450799</v>
      </c>
      <c r="N32" s="788">
        <v>858.44028049450799</v>
      </c>
      <c r="O32" s="788">
        <v>858.44028049450799</v>
      </c>
      <c r="P32" s="788">
        <v>858.44028049450799</v>
      </c>
      <c r="Q32" s="788">
        <v>858.44028049450799</v>
      </c>
      <c r="R32" s="788">
        <v>858.44028049450799</v>
      </c>
    </row>
    <row r="33" spans="1:18" ht="15" customHeight="1" x14ac:dyDescent="0.3">
      <c r="A33" s="786" t="s">
        <v>874</v>
      </c>
      <c r="B33" s="787" t="s">
        <v>875</v>
      </c>
      <c r="C33" s="788">
        <v>0</v>
      </c>
      <c r="D33" s="788">
        <v>0</v>
      </c>
      <c r="E33" s="788">
        <v>0</v>
      </c>
      <c r="F33" s="788">
        <v>0</v>
      </c>
      <c r="G33" s="788">
        <v>542.33466425561505</v>
      </c>
      <c r="H33" s="788">
        <v>542.33466425561505</v>
      </c>
      <c r="I33" s="788">
        <v>619.81104486356003</v>
      </c>
      <c r="J33" s="788">
        <v>619.81104486356003</v>
      </c>
      <c r="K33" s="788">
        <v>619.81104486356003</v>
      </c>
      <c r="L33" s="788">
        <v>619.81104486356003</v>
      </c>
      <c r="M33" s="788">
        <v>619.81104486356003</v>
      </c>
      <c r="N33" s="788">
        <v>619.81104486356003</v>
      </c>
      <c r="O33" s="788">
        <v>619.81104486356003</v>
      </c>
      <c r="P33" s="788">
        <v>619.81104486356003</v>
      </c>
      <c r="Q33" s="788">
        <v>619.81104486356003</v>
      </c>
      <c r="R33" s="788">
        <v>619.81104486356003</v>
      </c>
    </row>
    <row r="34" spans="1:18" ht="15" customHeight="1" x14ac:dyDescent="0.3">
      <c r="A34" s="786" t="s">
        <v>876</v>
      </c>
      <c r="B34" s="787" t="s">
        <v>877</v>
      </c>
      <c r="C34" s="788">
        <v>316.473239751655</v>
      </c>
      <c r="D34" s="788">
        <v>-6.2199999999734301E-2</v>
      </c>
      <c r="E34" s="788">
        <v>-5.4699999999797903E-2</v>
      </c>
      <c r="F34" s="788">
        <v>89.717374419225607</v>
      </c>
      <c r="G34" s="788">
        <v>1705.1309447821</v>
      </c>
      <c r="H34" s="788">
        <v>2016.01794259557</v>
      </c>
      <c r="I34" s="788">
        <v>2597.7001851343002</v>
      </c>
      <c r="J34" s="788">
        <v>2893.7294631586901</v>
      </c>
      <c r="K34" s="788">
        <v>3193.6316044895002</v>
      </c>
      <c r="L34" s="788">
        <v>3499.86297217639</v>
      </c>
      <c r="M34" s="788">
        <v>3814.38555906586</v>
      </c>
      <c r="N34" s="788">
        <v>4138.7799055035903</v>
      </c>
      <c r="O34" s="788">
        <v>4474.3246427919603</v>
      </c>
      <c r="P34" s="788">
        <v>4822.05847001444</v>
      </c>
      <c r="Q34" s="788">
        <v>5182.8286133723404</v>
      </c>
      <c r="R34" s="788">
        <v>5557.3288557327796</v>
      </c>
    </row>
    <row r="35" spans="1:18" ht="15" customHeight="1" x14ac:dyDescent="0.3">
      <c r="A35" s="786" t="s">
        <v>878</v>
      </c>
      <c r="B35" s="787" t="s">
        <v>879</v>
      </c>
      <c r="C35" s="788">
        <v>781</v>
      </c>
      <c r="D35" s="788">
        <v>2358.49119240243</v>
      </c>
      <c r="E35" s="788">
        <v>3484.2328360539</v>
      </c>
      <c r="F35" s="788">
        <v>4083.8843525943098</v>
      </c>
      <c r="G35" s="788">
        <v>5574.2807220128198</v>
      </c>
      <c r="H35" s="788">
        <v>5755.7801079835899</v>
      </c>
      <c r="I35" s="788">
        <v>6203.70432778129</v>
      </c>
      <c r="J35" s="788">
        <v>6361.6051721663098</v>
      </c>
      <c r="K35" s="788">
        <v>6519.0084689594196</v>
      </c>
      <c r="L35" s="788">
        <v>6678.3705812102799</v>
      </c>
      <c r="M35" s="788">
        <v>6845.7949734595604</v>
      </c>
      <c r="N35" s="788">
        <v>7040.4885343896603</v>
      </c>
      <c r="O35" s="788">
        <v>7264.7804925657101</v>
      </c>
      <c r="P35" s="788">
        <v>7521.07991007686</v>
      </c>
      <c r="Q35" s="788">
        <v>7786.0452328250904</v>
      </c>
      <c r="R35" s="788">
        <v>8060.3702436775302</v>
      </c>
    </row>
    <row r="36" spans="1:18" ht="15" customHeight="1" x14ac:dyDescent="0.3">
      <c r="A36" s="189"/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R36" s="189"/>
    </row>
    <row r="37" spans="1:18" ht="15" customHeight="1" x14ac:dyDescent="0.3">
      <c r="A37" s="926" t="s">
        <v>880</v>
      </c>
      <c r="B37" s="926"/>
      <c r="C37" s="926"/>
      <c r="D37" s="926"/>
      <c r="E37" s="926"/>
      <c r="F37" s="926"/>
      <c r="G37" s="926"/>
      <c r="H37" s="926"/>
      <c r="I37" s="926"/>
      <c r="J37" s="926"/>
      <c r="K37" s="926"/>
      <c r="L37" s="926"/>
      <c r="M37" s="926"/>
      <c r="N37" s="926"/>
      <c r="O37" s="926"/>
      <c r="P37" s="926"/>
      <c r="Q37" s="926"/>
      <c r="R37" s="926"/>
    </row>
    <row r="38" spans="1:18" ht="15" customHeight="1" x14ac:dyDescent="0.3">
      <c r="A38" s="786" t="s">
        <v>881</v>
      </c>
      <c r="B38" s="787" t="s">
        <v>882</v>
      </c>
      <c r="C38" s="788">
        <v>0</v>
      </c>
      <c r="D38" s="788">
        <v>472</v>
      </c>
      <c r="E38" s="788">
        <v>1174.76</v>
      </c>
      <c r="F38" s="788">
        <v>1927.91</v>
      </c>
      <c r="G38" s="788">
        <v>2721.43</v>
      </c>
      <c r="H38" s="788">
        <v>2687.4121249999998</v>
      </c>
      <c r="I38" s="788">
        <v>2551.3406249999998</v>
      </c>
      <c r="J38" s="788">
        <v>2388.0548250000002</v>
      </c>
      <c r="K38" s="788">
        <v>2143.1261249999998</v>
      </c>
      <c r="L38" s="788">
        <v>1898.1974250000001</v>
      </c>
      <c r="M38" s="788">
        <v>1653.2687249999999</v>
      </c>
      <c r="N38" s="788">
        <v>1408.340025</v>
      </c>
      <c r="O38" s="788">
        <v>1163.411325</v>
      </c>
      <c r="P38" s="788">
        <v>918.48262499999998</v>
      </c>
      <c r="Q38" s="788">
        <v>673.55392500000005</v>
      </c>
      <c r="R38" s="788">
        <v>428.625225</v>
      </c>
    </row>
    <row r="39" spans="1:18" ht="15" customHeight="1" x14ac:dyDescent="0.3">
      <c r="A39" s="786" t="s">
        <v>883</v>
      </c>
      <c r="B39" s="787" t="s">
        <v>884</v>
      </c>
      <c r="C39" s="788">
        <v>472</v>
      </c>
      <c r="D39" s="788">
        <v>702.76</v>
      </c>
      <c r="E39" s="788">
        <v>753.15</v>
      </c>
      <c r="F39" s="788">
        <v>793.52</v>
      </c>
      <c r="G39" s="788">
        <v>0</v>
      </c>
      <c r="H39" s="788">
        <v>0</v>
      </c>
      <c r="I39" s="788">
        <v>0</v>
      </c>
      <c r="J39" s="788">
        <v>0</v>
      </c>
      <c r="K39" s="788">
        <v>0</v>
      </c>
      <c r="L39" s="788">
        <v>0</v>
      </c>
      <c r="M39" s="788">
        <v>0</v>
      </c>
      <c r="N39" s="788">
        <v>0</v>
      </c>
      <c r="O39" s="788">
        <v>0</v>
      </c>
      <c r="P39" s="788">
        <v>0</v>
      </c>
      <c r="Q39" s="788">
        <v>0</v>
      </c>
      <c r="R39" s="788">
        <v>0</v>
      </c>
    </row>
    <row r="40" spans="1:18" ht="15" customHeight="1" x14ac:dyDescent="0.3">
      <c r="A40" s="786" t="s">
        <v>885</v>
      </c>
      <c r="B40" s="787" t="s">
        <v>886</v>
      </c>
      <c r="C40" s="788">
        <v>0</v>
      </c>
      <c r="D40" s="788">
        <v>0</v>
      </c>
      <c r="E40" s="788">
        <v>0</v>
      </c>
      <c r="F40" s="788">
        <v>0</v>
      </c>
      <c r="G40" s="788">
        <v>34.017874999999997</v>
      </c>
      <c r="H40" s="788">
        <v>136.07149999999999</v>
      </c>
      <c r="I40" s="788">
        <v>163.28579999999999</v>
      </c>
      <c r="J40" s="788">
        <v>244.92869999999999</v>
      </c>
      <c r="K40" s="788">
        <v>244.92869999999999</v>
      </c>
      <c r="L40" s="788">
        <v>244.92869999999999</v>
      </c>
      <c r="M40" s="788">
        <v>244.92869999999999</v>
      </c>
      <c r="N40" s="788">
        <v>244.92869999999999</v>
      </c>
      <c r="O40" s="788">
        <v>244.92869999999999</v>
      </c>
      <c r="P40" s="788">
        <v>244.92869999999999</v>
      </c>
      <c r="Q40" s="788">
        <v>244.92869999999999</v>
      </c>
      <c r="R40" s="788">
        <v>244.92869999999999</v>
      </c>
    </row>
    <row r="41" spans="1:18" ht="15" customHeight="1" x14ac:dyDescent="0.3">
      <c r="A41" s="786" t="s">
        <v>887</v>
      </c>
      <c r="B41" s="787" t="s">
        <v>888</v>
      </c>
      <c r="C41" s="788">
        <v>472</v>
      </c>
      <c r="D41" s="788">
        <v>1174.76</v>
      </c>
      <c r="E41" s="788">
        <v>1927.91</v>
      </c>
      <c r="F41" s="788">
        <v>2721.43</v>
      </c>
      <c r="G41" s="788">
        <v>2687.4121249999998</v>
      </c>
      <c r="H41" s="788">
        <v>2551.3406249999998</v>
      </c>
      <c r="I41" s="788">
        <v>2388.0548250000002</v>
      </c>
      <c r="J41" s="788">
        <v>2143.1261249999998</v>
      </c>
      <c r="K41" s="788">
        <v>1898.1974250000001</v>
      </c>
      <c r="L41" s="788">
        <v>1653.2687249999999</v>
      </c>
      <c r="M41" s="788">
        <v>1408.340025</v>
      </c>
      <c r="N41" s="788">
        <v>1163.411325</v>
      </c>
      <c r="O41" s="788">
        <v>918.48262499999998</v>
      </c>
      <c r="P41" s="788">
        <v>673.55392500000005</v>
      </c>
      <c r="Q41" s="788">
        <v>428.625225</v>
      </c>
      <c r="R41" s="788">
        <v>183.69652500000001</v>
      </c>
    </row>
    <row r="42" spans="1:18" ht="15" customHeight="1" x14ac:dyDescent="0.3">
      <c r="A42" s="786" t="s">
        <v>889</v>
      </c>
      <c r="B42" s="787" t="s">
        <v>890</v>
      </c>
      <c r="C42" s="788">
        <v>0</v>
      </c>
      <c r="D42" s="788">
        <v>52.613444999999999</v>
      </c>
      <c r="E42" s="788">
        <v>125.0384475</v>
      </c>
      <c r="F42" s="788">
        <v>210.31842</v>
      </c>
      <c r="G42" s="788">
        <v>0</v>
      </c>
      <c r="H42" s="788">
        <v>0</v>
      </c>
      <c r="I42" s="788">
        <v>0</v>
      </c>
      <c r="J42" s="788">
        <v>0</v>
      </c>
      <c r="K42" s="788">
        <v>0</v>
      </c>
      <c r="L42" s="788">
        <v>0</v>
      </c>
      <c r="M42" s="788">
        <v>0</v>
      </c>
      <c r="N42" s="788">
        <v>0</v>
      </c>
      <c r="O42" s="788">
        <v>0</v>
      </c>
      <c r="P42" s="788">
        <v>0</v>
      </c>
      <c r="Q42" s="788">
        <v>0</v>
      </c>
      <c r="R42" s="788">
        <v>0</v>
      </c>
    </row>
    <row r="43" spans="1:18" ht="15" customHeight="1" x14ac:dyDescent="0.3">
      <c r="A43" s="786" t="s">
        <v>891</v>
      </c>
      <c r="B43" s="787" t="s">
        <v>892</v>
      </c>
      <c r="C43" s="788">
        <v>0</v>
      </c>
      <c r="D43" s="788">
        <v>0</v>
      </c>
      <c r="E43" s="788">
        <v>0</v>
      </c>
      <c r="F43" s="788">
        <v>0</v>
      </c>
      <c r="G43" s="788">
        <v>255.41470996875</v>
      </c>
      <c r="H43" s="788">
        <v>246.22137925000001</v>
      </c>
      <c r="I43" s="788">
        <v>233.11089022499999</v>
      </c>
      <c r="J43" s="788">
        <v>212.96550465000001</v>
      </c>
      <c r="K43" s="788">
        <v>189.94220684999999</v>
      </c>
      <c r="L43" s="788">
        <v>166.91890905</v>
      </c>
      <c r="M43" s="788">
        <v>143.89561125</v>
      </c>
      <c r="N43" s="788">
        <v>120.87231344999999</v>
      </c>
      <c r="O43" s="788">
        <v>97.849015649999799</v>
      </c>
      <c r="P43" s="788">
        <v>74.825717849999805</v>
      </c>
      <c r="Q43" s="788">
        <v>51.802420049999803</v>
      </c>
      <c r="R43" s="788">
        <v>28.779122249999801</v>
      </c>
    </row>
    <row r="44" spans="1:18" ht="15" customHeight="1" x14ac:dyDescent="0.3">
      <c r="A44" s="189"/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</row>
    <row r="45" spans="1:18" ht="15" customHeight="1" x14ac:dyDescent="0.3">
      <c r="A45" s="926" t="s">
        <v>893</v>
      </c>
      <c r="B45" s="926"/>
      <c r="C45" s="926"/>
      <c r="D45" s="926"/>
      <c r="E45" s="926"/>
      <c r="F45" s="926"/>
      <c r="G45" s="926"/>
      <c r="H45" s="926"/>
      <c r="I45" s="926"/>
      <c r="J45" s="926"/>
      <c r="K45" s="926"/>
      <c r="L45" s="926"/>
      <c r="M45" s="926"/>
      <c r="N45" s="926"/>
      <c r="O45" s="926"/>
      <c r="P45" s="926"/>
      <c r="Q45" s="926"/>
      <c r="R45" s="926"/>
    </row>
    <row r="46" spans="1:18" ht="15" customHeight="1" x14ac:dyDescent="0.3">
      <c r="A46" s="786" t="s">
        <v>894</v>
      </c>
      <c r="B46" s="787" t="s">
        <v>895</v>
      </c>
      <c r="C46" s="789">
        <v>0</v>
      </c>
      <c r="D46" s="789">
        <v>0</v>
      </c>
      <c r="E46" s="789">
        <v>0</v>
      </c>
      <c r="F46" s="789">
        <v>0</v>
      </c>
      <c r="G46" s="789">
        <v>2.1385634656452299</v>
      </c>
      <c r="H46" s="789">
        <v>1.6060239294372001</v>
      </c>
      <c r="I46" s="789">
        <v>1.8008865613249101</v>
      </c>
      <c r="J46" s="789">
        <v>1.5505002940560799</v>
      </c>
      <c r="K46" s="789">
        <v>1.6217920219862401</v>
      </c>
      <c r="L46" s="789">
        <v>1.7010545169998701</v>
      </c>
      <c r="M46" s="789">
        <v>1.7870227645944901</v>
      </c>
      <c r="N46" s="789">
        <v>1.8716842723842899</v>
      </c>
      <c r="O46" s="789">
        <v>1.96694722453624</v>
      </c>
      <c r="P46" s="789">
        <v>2.07484992156505</v>
      </c>
      <c r="Q46" s="789">
        <v>2.2200148641369402</v>
      </c>
      <c r="R46" s="789">
        <v>2.3896012914546998</v>
      </c>
    </row>
    <row r="47" spans="1:18" ht="15" customHeight="1" x14ac:dyDescent="0.3">
      <c r="A47" s="786" t="s">
        <v>896</v>
      </c>
      <c r="B47" s="787" t="s">
        <v>897</v>
      </c>
      <c r="C47" s="789">
        <v>0</v>
      </c>
      <c r="D47" s="789">
        <v>0</v>
      </c>
      <c r="E47" s="789">
        <v>0</v>
      </c>
      <c r="F47" s="789">
        <v>0</v>
      </c>
      <c r="G47" s="789">
        <v>2.9303239808772901</v>
      </c>
      <c r="H47" s="789">
        <v>3.01031970099308</v>
      </c>
      <c r="I47" s="789">
        <v>3.6548770690864898</v>
      </c>
      <c r="J47" s="789">
        <v>3.9597617353906198</v>
      </c>
      <c r="K47" s="789">
        <v>4.3764796710166198</v>
      </c>
      <c r="L47" s="789">
        <v>4.8912228344898896</v>
      </c>
      <c r="M47" s="789">
        <v>5.5431895106626499</v>
      </c>
      <c r="N47" s="789">
        <v>6.3956916255848704</v>
      </c>
      <c r="O47" s="789">
        <v>7.5580672386245897</v>
      </c>
      <c r="P47" s="789">
        <v>9.2367950316399199</v>
      </c>
      <c r="Q47" s="789">
        <v>11.874177118768699</v>
      </c>
      <c r="R47" s="789">
        <v>16.619560124159001</v>
      </c>
    </row>
    <row r="48" spans="1:18" ht="15" customHeight="1" x14ac:dyDescent="0.3">
      <c r="A48" s="786" t="s">
        <v>898</v>
      </c>
      <c r="B48" s="787" t="s">
        <v>899</v>
      </c>
      <c r="C48" s="789">
        <v>0</v>
      </c>
      <c r="D48" s="789">
        <v>0</v>
      </c>
      <c r="E48" s="789">
        <v>0</v>
      </c>
      <c r="F48" s="789">
        <v>0</v>
      </c>
      <c r="G48" s="789">
        <v>1.43973071388547</v>
      </c>
      <c r="H48" s="789">
        <v>1.4658027739389099</v>
      </c>
      <c r="I48" s="789">
        <v>1.51001731823598</v>
      </c>
      <c r="J48" s="789">
        <v>1.6181388806539001</v>
      </c>
      <c r="K48" s="789">
        <v>1.75186038115605</v>
      </c>
      <c r="L48" s="789">
        <v>1.9225595700020801</v>
      </c>
      <c r="M48" s="789">
        <v>2.1524698301418401</v>
      </c>
      <c r="N48" s="789">
        <v>2.4941382007658102</v>
      </c>
      <c r="O48" s="789">
        <v>3.0381150103669698</v>
      </c>
      <c r="P48" s="789">
        <v>4.0071349002419101</v>
      </c>
      <c r="Q48" s="789">
        <v>6.0734097472978901</v>
      </c>
      <c r="R48" s="789">
        <v>13.625959380259101</v>
      </c>
    </row>
    <row r="49" spans="1:18" ht="15" customHeight="1" x14ac:dyDescent="0.3">
      <c r="A49" s="786" t="s">
        <v>900</v>
      </c>
      <c r="B49" s="787" t="s">
        <v>901</v>
      </c>
      <c r="C49" s="789">
        <v>0</v>
      </c>
      <c r="D49" s="789">
        <v>0</v>
      </c>
      <c r="E49" s="789">
        <v>0</v>
      </c>
      <c r="F49" s="789">
        <v>0</v>
      </c>
      <c r="G49" s="789">
        <v>3.26792630918741</v>
      </c>
      <c r="H49" s="789">
        <v>3.1212362438058601</v>
      </c>
      <c r="I49" s="789">
        <v>2.4944108075186402</v>
      </c>
      <c r="J49" s="789">
        <v>2.23835219714746</v>
      </c>
      <c r="K49" s="789">
        <v>1.98254051747347</v>
      </c>
      <c r="L49" s="789">
        <v>1.7267288377994701</v>
      </c>
      <c r="M49" s="789">
        <v>1.4709171581254801</v>
      </c>
      <c r="N49" s="789">
        <v>1.2151054784514801</v>
      </c>
      <c r="O49" s="789">
        <v>0.959293798777485</v>
      </c>
      <c r="P49" s="789">
        <v>0.70348211910348901</v>
      </c>
      <c r="Q49" s="789">
        <v>0.44767043942949297</v>
      </c>
      <c r="R49" s="789">
        <v>0.19185875975549699</v>
      </c>
    </row>
    <row r="50" spans="1:18" ht="15" customHeight="1" x14ac:dyDescent="0.3">
      <c r="A50" s="786" t="s">
        <v>902</v>
      </c>
      <c r="B50" s="787" t="s">
        <v>903</v>
      </c>
      <c r="C50" s="789">
        <v>0</v>
      </c>
      <c r="D50" s="789">
        <v>0</v>
      </c>
      <c r="E50" s="789">
        <v>0</v>
      </c>
      <c r="F50" s="789">
        <v>1.99744673633873</v>
      </c>
      <c r="G50" s="789">
        <v>1.67859143843398</v>
      </c>
      <c r="H50" s="789">
        <v>1.38708446347762</v>
      </c>
      <c r="I50" s="789">
        <v>1.0922556840816899</v>
      </c>
      <c r="J50" s="789">
        <v>0.84201912073026097</v>
      </c>
      <c r="K50" s="789">
        <v>0.65050163162277697</v>
      </c>
      <c r="L50" s="789">
        <v>0.50025699106252597</v>
      </c>
      <c r="M50" s="789">
        <v>0.37974128782268102</v>
      </c>
      <c r="N50" s="789">
        <v>0.28082907167040999</v>
      </c>
      <c r="O50" s="789">
        <v>0.19932791159515201</v>
      </c>
      <c r="P50" s="789">
        <v>0.13193797650418501</v>
      </c>
      <c r="Q50" s="789">
        <v>7.6319162261643897E-2</v>
      </c>
      <c r="R50" s="789">
        <v>2.9911577777604899E-2</v>
      </c>
    </row>
    <row r="51" spans="1:18" ht="15" customHeight="1" x14ac:dyDescent="0.3">
      <c r="A51" s="189"/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</row>
    <row r="52" spans="1:18" ht="69.75" customHeight="1" x14ac:dyDescent="0.3">
      <c r="A52" s="927" t="s">
        <v>904</v>
      </c>
      <c r="B52" s="927"/>
      <c r="C52" s="927"/>
      <c r="D52" s="927"/>
      <c r="E52" s="927"/>
      <c r="F52" s="927"/>
      <c r="G52" s="927"/>
      <c r="H52" s="927"/>
      <c r="I52" s="927"/>
      <c r="J52" s="927"/>
      <c r="K52" s="927"/>
      <c r="L52" s="927"/>
      <c r="M52" s="927"/>
      <c r="N52" s="927"/>
      <c r="O52" s="927"/>
      <c r="P52" s="927"/>
      <c r="Q52" s="927"/>
      <c r="R52" s="927"/>
    </row>
  </sheetData>
  <mergeCells count="7">
    <mergeCell ref="A45:R45"/>
    <mergeCell ref="A52:R52"/>
    <mergeCell ref="A1:R1"/>
    <mergeCell ref="A2:R2"/>
    <mergeCell ref="A5:R5"/>
    <mergeCell ref="A17:R17"/>
    <mergeCell ref="A37:R37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200"/>
  <sheetViews>
    <sheetView showGridLines="0" zoomScale="109" zoomScaleNormal="109" workbookViewId="0">
      <pane ySplit="2" topLeftCell="A3" activePane="bottomLeft" state="frozen"/>
      <selection pane="bottomLeft" activeCell="D45" sqref="D45"/>
    </sheetView>
  </sheetViews>
  <sheetFormatPr defaultColWidth="8.6640625" defaultRowHeight="14.4" x14ac:dyDescent="0.3"/>
  <cols>
    <col min="1" max="1" width="40.77734375" customWidth="1"/>
    <col min="2" max="2" width="17.5546875" customWidth="1"/>
    <col min="3" max="3" width="22.21875" customWidth="1"/>
    <col min="4" max="4" width="35.21875" customWidth="1"/>
    <col min="5" max="6" width="11.5546875" hidden="1" customWidth="1"/>
  </cols>
  <sheetData>
    <row r="1" spans="1:6" ht="27.75" customHeight="1" x14ac:dyDescent="0.3">
      <c r="A1" s="928" t="s">
        <v>905</v>
      </c>
      <c r="B1" s="928"/>
      <c r="C1" s="928"/>
      <c r="D1" s="928"/>
      <c r="E1" s="790"/>
      <c r="F1" s="790"/>
    </row>
    <row r="2" spans="1:6" ht="19.5" customHeight="1" x14ac:dyDescent="0.3">
      <c r="A2" s="791" t="s">
        <v>906</v>
      </c>
      <c r="B2" s="791"/>
      <c r="C2" s="791"/>
      <c r="D2" s="791"/>
      <c r="E2" s="792"/>
      <c r="F2" s="792"/>
    </row>
    <row r="3" spans="1:6" ht="21.75" customHeight="1" x14ac:dyDescent="0.3">
      <c r="A3" s="929" t="s">
        <v>907</v>
      </c>
      <c r="B3" s="929"/>
      <c r="C3" s="929"/>
      <c r="D3" s="929"/>
      <c r="E3" s="793"/>
      <c r="F3" s="793"/>
    </row>
    <row r="4" spans="1:6" ht="19.5" customHeight="1" x14ac:dyDescent="0.3">
      <c r="A4" s="794" t="s">
        <v>549</v>
      </c>
      <c r="B4" s="794" t="s">
        <v>20</v>
      </c>
      <c r="C4" s="794" t="s">
        <v>908</v>
      </c>
      <c r="D4" s="794" t="s">
        <v>700</v>
      </c>
      <c r="E4" s="795"/>
      <c r="F4" s="795"/>
    </row>
    <row r="5" spans="1:6" ht="19.5" customHeight="1" x14ac:dyDescent="0.3">
      <c r="A5" s="796" t="s">
        <v>909</v>
      </c>
      <c r="B5" s="797">
        <v>46154</v>
      </c>
      <c r="C5" s="248" t="s">
        <v>910</v>
      </c>
      <c r="D5" s="798" t="s">
        <v>911</v>
      </c>
      <c r="E5" s="327"/>
      <c r="F5" s="327"/>
    </row>
    <row r="6" spans="1:6" ht="19.5" customHeight="1" x14ac:dyDescent="0.3">
      <c r="A6" s="799" t="s">
        <v>912</v>
      </c>
      <c r="B6" s="800">
        <v>84.5</v>
      </c>
      <c r="C6" s="801" t="s">
        <v>913</v>
      </c>
      <c r="D6" s="802" t="s">
        <v>914</v>
      </c>
      <c r="E6" s="803"/>
      <c r="F6" s="803"/>
    </row>
    <row r="7" spans="1:6" ht="19.5" customHeight="1" x14ac:dyDescent="0.3">
      <c r="A7" s="796" t="s">
        <v>915</v>
      </c>
      <c r="B7" s="804" t="b">
        <f>TRUE()</f>
        <v>1</v>
      </c>
      <c r="C7" s="248" t="s">
        <v>916</v>
      </c>
      <c r="D7" s="798" t="s">
        <v>917</v>
      </c>
      <c r="E7" s="327"/>
      <c r="F7" s="327"/>
    </row>
    <row r="8" spans="1:6" ht="19.5" customHeight="1" x14ac:dyDescent="0.3">
      <c r="A8" s="799" t="s">
        <v>918</v>
      </c>
      <c r="B8" s="805">
        <v>365</v>
      </c>
      <c r="C8" s="801" t="s">
        <v>919</v>
      </c>
      <c r="D8" s="802" t="s">
        <v>920</v>
      </c>
      <c r="E8" s="803"/>
      <c r="F8" s="803"/>
    </row>
    <row r="9" spans="1:6" ht="19.5" customHeight="1" x14ac:dyDescent="0.3">
      <c r="A9" s="796" t="s">
        <v>921</v>
      </c>
      <c r="B9" s="804" t="s">
        <v>922</v>
      </c>
      <c r="C9" s="248" t="s">
        <v>923</v>
      </c>
      <c r="D9" s="798" t="s">
        <v>924</v>
      </c>
      <c r="E9" s="327"/>
      <c r="F9" s="327"/>
    </row>
    <row r="10" spans="1:6" ht="19.5" customHeight="1" x14ac:dyDescent="0.3">
      <c r="A10" s="799" t="s">
        <v>925</v>
      </c>
      <c r="B10" s="797">
        <v>46113</v>
      </c>
      <c r="C10" s="801" t="s">
        <v>910</v>
      </c>
      <c r="D10" s="802" t="s">
        <v>926</v>
      </c>
      <c r="E10" s="803"/>
      <c r="F10" s="803"/>
    </row>
    <row r="11" spans="1:6" ht="3.75" customHeight="1" x14ac:dyDescent="0.3">
      <c r="A11" s="806"/>
      <c r="B11" s="807"/>
      <c r="C11" s="808"/>
      <c r="D11" s="809"/>
      <c r="E11" s="810"/>
      <c r="F11" s="810"/>
    </row>
    <row r="12" spans="1:6" ht="21.75" customHeight="1" x14ac:dyDescent="0.3">
      <c r="A12" s="929" t="s">
        <v>927</v>
      </c>
      <c r="B12" s="929"/>
      <c r="C12" s="929"/>
      <c r="D12" s="929"/>
      <c r="E12" s="793"/>
      <c r="F12" s="793"/>
    </row>
    <row r="13" spans="1:6" ht="19.5" customHeight="1" x14ac:dyDescent="0.3">
      <c r="A13" s="794" t="s">
        <v>345</v>
      </c>
      <c r="B13" s="794" t="s">
        <v>928</v>
      </c>
      <c r="C13" s="794" t="s">
        <v>908</v>
      </c>
      <c r="D13" s="794" t="s">
        <v>929</v>
      </c>
      <c r="E13" s="795"/>
      <c r="F13" s="795"/>
    </row>
    <row r="14" spans="1:6" ht="19.5" customHeight="1" x14ac:dyDescent="0.3">
      <c r="A14" s="799" t="s">
        <v>368</v>
      </c>
      <c r="B14" s="811">
        <v>8.8999999999999996E-2</v>
      </c>
      <c r="C14" s="801" t="s">
        <v>930</v>
      </c>
      <c r="D14" s="802" t="s">
        <v>931</v>
      </c>
      <c r="E14" s="803"/>
      <c r="F14" s="803"/>
    </row>
    <row r="15" spans="1:6" ht="19.5" customHeight="1" x14ac:dyDescent="0.3">
      <c r="A15" s="796" t="s">
        <v>426</v>
      </c>
      <c r="B15" s="811">
        <v>6.0999999999999999E-2</v>
      </c>
      <c r="C15" s="248" t="s">
        <v>930</v>
      </c>
      <c r="D15" s="798" t="s">
        <v>932</v>
      </c>
      <c r="E15" s="327"/>
      <c r="F15" s="327"/>
    </row>
    <row r="16" spans="1:6" ht="19.5" customHeight="1" x14ac:dyDescent="0.3">
      <c r="A16" s="799" t="s">
        <v>436</v>
      </c>
      <c r="B16" s="811">
        <v>7.7499999999999999E-2</v>
      </c>
      <c r="C16" s="801" t="s">
        <v>930</v>
      </c>
      <c r="D16" s="802" t="s">
        <v>933</v>
      </c>
      <c r="E16" s="803"/>
      <c r="F16" s="803"/>
    </row>
    <row r="17" spans="1:6" ht="19.5" customHeight="1" x14ac:dyDescent="0.3">
      <c r="A17" s="796" t="s">
        <v>536</v>
      </c>
      <c r="B17" s="811">
        <v>8.1000000000000003E-2</v>
      </c>
      <c r="C17" s="248" t="s">
        <v>930</v>
      </c>
      <c r="D17" s="798" t="s">
        <v>934</v>
      </c>
      <c r="E17" s="327"/>
      <c r="F17" s="327"/>
    </row>
    <row r="18" spans="1:6" ht="19.5" customHeight="1" x14ac:dyDescent="0.3">
      <c r="A18" s="799" t="s">
        <v>449</v>
      </c>
      <c r="B18" s="811">
        <v>8.3000000000000004E-2</v>
      </c>
      <c r="C18" s="801" t="s">
        <v>930</v>
      </c>
      <c r="D18" s="802" t="s">
        <v>935</v>
      </c>
      <c r="E18" s="803"/>
      <c r="F18" s="803"/>
    </row>
    <row r="19" spans="1:6" ht="19.5" customHeight="1" x14ac:dyDescent="0.3">
      <c r="A19" s="796" t="s">
        <v>522</v>
      </c>
      <c r="B19" s="811">
        <v>8.1500000000000003E-2</v>
      </c>
      <c r="C19" s="248" t="s">
        <v>930</v>
      </c>
      <c r="D19" s="798" t="s">
        <v>936</v>
      </c>
      <c r="E19" s="327"/>
      <c r="F19" s="327"/>
    </row>
    <row r="20" spans="1:6" ht="19.5" customHeight="1" x14ac:dyDescent="0.3">
      <c r="A20" s="799" t="s">
        <v>455</v>
      </c>
      <c r="B20" s="811">
        <v>5.2499999999999998E-2</v>
      </c>
      <c r="C20" s="801" t="s">
        <v>930</v>
      </c>
      <c r="D20" s="802" t="s">
        <v>937</v>
      </c>
      <c r="E20" s="803"/>
      <c r="F20" s="803"/>
    </row>
    <row r="21" spans="1:6" ht="19.5" customHeight="1" x14ac:dyDescent="0.3">
      <c r="A21" s="796" t="s">
        <v>527</v>
      </c>
      <c r="B21" s="811">
        <v>7.0000000000000007E-2</v>
      </c>
      <c r="C21" s="248" t="s">
        <v>930</v>
      </c>
      <c r="D21" s="798" t="s">
        <v>938</v>
      </c>
      <c r="E21" s="327"/>
      <c r="F21" s="327"/>
    </row>
    <row r="22" spans="1:6" ht="19.5" customHeight="1" x14ac:dyDescent="0.3">
      <c r="A22" s="799" t="s">
        <v>818</v>
      </c>
      <c r="B22" s="811">
        <v>4.2999999999999997E-2</v>
      </c>
      <c r="C22" s="801" t="s">
        <v>930</v>
      </c>
      <c r="D22" s="802" t="s">
        <v>939</v>
      </c>
      <c r="E22" s="803"/>
      <c r="F22" s="803"/>
    </row>
    <row r="23" spans="1:6" ht="19.5" customHeight="1" x14ac:dyDescent="0.3">
      <c r="A23" s="796" t="s">
        <v>408</v>
      </c>
      <c r="B23" s="811">
        <v>9.5000000000000001E-2</v>
      </c>
      <c r="C23" s="248" t="s">
        <v>930</v>
      </c>
      <c r="D23" s="798" t="s">
        <v>940</v>
      </c>
      <c r="E23" s="327"/>
      <c r="F23" s="327"/>
    </row>
    <row r="24" spans="1:6" ht="19.5" customHeight="1" x14ac:dyDescent="0.3">
      <c r="A24" s="799" t="s">
        <v>466</v>
      </c>
      <c r="B24" s="811">
        <v>0.09</v>
      </c>
      <c r="C24" s="801" t="s">
        <v>930</v>
      </c>
      <c r="D24" s="802" t="s">
        <v>941</v>
      </c>
      <c r="E24" s="803"/>
      <c r="F24" s="803"/>
    </row>
    <row r="25" spans="1:6" ht="19.5" customHeight="1" x14ac:dyDescent="0.3">
      <c r="A25" s="796" t="s">
        <v>396</v>
      </c>
      <c r="B25" s="812">
        <v>0</v>
      </c>
      <c r="C25" s="248" t="s">
        <v>930</v>
      </c>
      <c r="D25" s="798" t="s">
        <v>942</v>
      </c>
      <c r="E25" s="327"/>
      <c r="F25" s="327"/>
    </row>
    <row r="26" spans="1:6" ht="19.5" customHeight="1" x14ac:dyDescent="0.3">
      <c r="A26" s="799" t="s">
        <v>376</v>
      </c>
      <c r="B26" s="811">
        <v>8.5999999999999993E-2</v>
      </c>
      <c r="C26" s="801" t="s">
        <v>930</v>
      </c>
      <c r="D26" s="802" t="s">
        <v>943</v>
      </c>
      <c r="E26" s="803"/>
      <c r="F26" s="803"/>
    </row>
    <row r="27" spans="1:6" ht="3.75" customHeight="1" x14ac:dyDescent="0.3">
      <c r="A27" s="813" t="s">
        <v>402</v>
      </c>
      <c r="B27" s="814">
        <v>8.8999999999999996E-2</v>
      </c>
      <c r="C27" s="808" t="s">
        <v>930</v>
      </c>
      <c r="D27" s="808" t="s">
        <v>944</v>
      </c>
      <c r="E27" s="810"/>
      <c r="F27" s="810"/>
    </row>
    <row r="28" spans="1:6" ht="21.75" customHeight="1" x14ac:dyDescent="0.3">
      <c r="A28" s="929" t="s">
        <v>945</v>
      </c>
      <c r="B28" s="929"/>
      <c r="C28" s="929"/>
      <c r="D28" s="929"/>
      <c r="E28" s="793"/>
      <c r="F28" s="793"/>
    </row>
    <row r="29" spans="1:6" ht="19.5" customHeight="1" x14ac:dyDescent="0.3">
      <c r="A29" s="815" t="s">
        <v>946</v>
      </c>
      <c r="B29" s="816" t="s">
        <v>947</v>
      </c>
      <c r="C29" s="815" t="s">
        <v>948</v>
      </c>
      <c r="D29" s="817" t="s">
        <v>949</v>
      </c>
      <c r="E29" s="795"/>
      <c r="F29" s="795"/>
    </row>
    <row r="30" spans="1:6" ht="19.5" customHeight="1" x14ac:dyDescent="0.3">
      <c r="A30" s="818" t="s">
        <v>24</v>
      </c>
      <c r="B30" s="819">
        <v>-5.45</v>
      </c>
      <c r="C30" s="820" t="s">
        <v>950</v>
      </c>
      <c r="D30" s="802" t="s">
        <v>951</v>
      </c>
      <c r="E30" s="803"/>
      <c r="F30" s="803"/>
    </row>
    <row r="31" spans="1:6" ht="19.5" customHeight="1" x14ac:dyDescent="0.3">
      <c r="A31" s="821" t="s">
        <v>952</v>
      </c>
      <c r="B31" s="819">
        <v>2514.42</v>
      </c>
      <c r="C31" s="822" t="s">
        <v>953</v>
      </c>
      <c r="D31" s="798" t="s">
        <v>954</v>
      </c>
      <c r="E31" s="327"/>
      <c r="F31" s="327"/>
    </row>
    <row r="32" spans="1:6" ht="19.5" customHeight="1" x14ac:dyDescent="0.3">
      <c r="A32" s="818" t="s">
        <v>955</v>
      </c>
      <c r="B32" s="819">
        <v>1679.1</v>
      </c>
      <c r="C32" s="820" t="s">
        <v>956</v>
      </c>
      <c r="D32" s="802" t="s">
        <v>957</v>
      </c>
      <c r="E32" s="803"/>
      <c r="F32" s="803"/>
    </row>
    <row r="33" spans="1:6" ht="19.5" customHeight="1" x14ac:dyDescent="0.3">
      <c r="A33" s="821" t="s">
        <v>958</v>
      </c>
      <c r="B33" s="819">
        <v>993.45</v>
      </c>
      <c r="C33" s="822" t="s">
        <v>959</v>
      </c>
      <c r="D33" s="798" t="s">
        <v>960</v>
      </c>
      <c r="E33" s="327"/>
      <c r="F33" s="327"/>
    </row>
    <row r="34" spans="1:6" ht="19.5" customHeight="1" x14ac:dyDescent="0.3">
      <c r="A34" s="818" t="s">
        <v>961</v>
      </c>
      <c r="B34" s="819">
        <v>993.45</v>
      </c>
      <c r="C34" s="820" t="s">
        <v>962</v>
      </c>
      <c r="D34" s="802" t="s">
        <v>963</v>
      </c>
      <c r="E34" s="803"/>
      <c r="F34" s="803"/>
    </row>
    <row r="35" spans="1:6" ht="19.5" customHeight="1" x14ac:dyDescent="0.3">
      <c r="A35" s="821" t="s">
        <v>964</v>
      </c>
      <c r="B35" s="819">
        <v>555.63</v>
      </c>
      <c r="C35" s="822" t="s">
        <v>965</v>
      </c>
      <c r="D35" s="798" t="s">
        <v>966</v>
      </c>
      <c r="E35" s="327"/>
      <c r="F35" s="327"/>
    </row>
    <row r="36" spans="1:6" ht="19.5" customHeight="1" x14ac:dyDescent="0.3">
      <c r="A36" s="818" t="s">
        <v>967</v>
      </c>
      <c r="B36" s="819">
        <v>1127.26</v>
      </c>
      <c r="C36" s="820" t="s">
        <v>965</v>
      </c>
      <c r="D36" s="802" t="s">
        <v>968</v>
      </c>
      <c r="E36" s="803"/>
      <c r="F36" s="803"/>
    </row>
    <row r="37" spans="1:6" ht="19.5" customHeight="1" x14ac:dyDescent="0.3">
      <c r="A37" s="821" t="s">
        <v>969</v>
      </c>
      <c r="B37" s="819">
        <v>2935.01</v>
      </c>
      <c r="C37" s="822" t="s">
        <v>970</v>
      </c>
      <c r="D37" s="798" t="s">
        <v>971</v>
      </c>
      <c r="E37" s="327"/>
      <c r="F37" s="327"/>
    </row>
    <row r="38" spans="1:6" ht="19.5" customHeight="1" x14ac:dyDescent="0.3">
      <c r="A38" s="818" t="s">
        <v>972</v>
      </c>
      <c r="B38" s="819">
        <v>182.96</v>
      </c>
      <c r="C38" s="820" t="s">
        <v>973</v>
      </c>
      <c r="D38" s="802" t="s">
        <v>974</v>
      </c>
      <c r="E38" s="803"/>
      <c r="F38" s="803"/>
    </row>
    <row r="39" spans="1:6" ht="19.5" customHeight="1" x14ac:dyDescent="0.3">
      <c r="A39" s="821" t="s">
        <v>866</v>
      </c>
      <c r="B39" s="819">
        <v>3080.15</v>
      </c>
      <c r="C39" s="822" t="s">
        <v>975</v>
      </c>
      <c r="D39" s="798" t="s">
        <v>976</v>
      </c>
      <c r="E39" s="327"/>
      <c r="F39" s="327"/>
    </row>
    <row r="40" spans="1:6" ht="19.5" customHeight="1" x14ac:dyDescent="0.3">
      <c r="A40" s="818" t="s">
        <v>977</v>
      </c>
      <c r="B40" s="819">
        <v>1679.1</v>
      </c>
      <c r="C40" s="820" t="s">
        <v>956</v>
      </c>
      <c r="D40" s="802" t="s">
        <v>978</v>
      </c>
      <c r="E40" s="803"/>
      <c r="F40" s="803"/>
    </row>
    <row r="41" spans="1:6" ht="19.5" customHeight="1" x14ac:dyDescent="0.3">
      <c r="A41" s="823" t="s">
        <v>979</v>
      </c>
      <c r="B41" s="824" t="s">
        <v>980</v>
      </c>
      <c r="C41" s="825" t="s">
        <v>981</v>
      </c>
      <c r="D41" s="826" t="s">
        <v>982</v>
      </c>
      <c r="E41" s="358"/>
      <c r="F41" s="358"/>
    </row>
    <row r="42" spans="1:6" ht="19.5" customHeight="1" x14ac:dyDescent="0.3">
      <c r="A42" s="818" t="s">
        <v>983</v>
      </c>
      <c r="B42" s="827">
        <v>1</v>
      </c>
      <c r="C42" s="820" t="s">
        <v>984</v>
      </c>
      <c r="D42" s="802" t="s">
        <v>985</v>
      </c>
      <c r="E42" s="803"/>
      <c r="F42" s="803"/>
    </row>
    <row r="43" spans="1:6" ht="19.5" customHeight="1" x14ac:dyDescent="0.3">
      <c r="A43" s="821" t="s">
        <v>986</v>
      </c>
      <c r="B43" s="819">
        <v>0</v>
      </c>
      <c r="C43" s="822" t="s">
        <v>956</v>
      </c>
      <c r="D43" s="798" t="s">
        <v>987</v>
      </c>
      <c r="E43" s="327"/>
      <c r="F43" s="327"/>
    </row>
    <row r="44" spans="1:6" ht="19.5" customHeight="1" x14ac:dyDescent="0.3">
      <c r="A44" s="818" t="s">
        <v>988</v>
      </c>
      <c r="B44" s="819">
        <v>2.88</v>
      </c>
      <c r="C44" s="820" t="s">
        <v>989</v>
      </c>
      <c r="D44" s="802" t="s">
        <v>990</v>
      </c>
      <c r="E44" s="803"/>
      <c r="F44" s="803"/>
    </row>
    <row r="45" spans="1:6" ht="19.5" customHeight="1" x14ac:dyDescent="0.3">
      <c r="A45" s="821" t="s">
        <v>991</v>
      </c>
      <c r="B45" s="819">
        <v>0</v>
      </c>
      <c r="C45" s="822" t="s">
        <v>956</v>
      </c>
      <c r="D45" s="798" t="s">
        <v>992</v>
      </c>
      <c r="E45" s="327"/>
      <c r="F45" s="327"/>
    </row>
    <row r="46" spans="1:6" ht="3.75" customHeight="1" x14ac:dyDescent="0.3">
      <c r="A46" s="828"/>
      <c r="B46" s="828"/>
      <c r="C46" s="828"/>
      <c r="D46" s="828"/>
      <c r="E46" s="829"/>
      <c r="F46" s="829"/>
    </row>
    <row r="47" spans="1:6" ht="21.75" customHeight="1" x14ac:dyDescent="0.3">
      <c r="A47" s="929" t="s">
        <v>993</v>
      </c>
      <c r="B47" s="929"/>
      <c r="C47" s="929"/>
      <c r="D47" s="929"/>
      <c r="E47" s="793"/>
      <c r="F47" s="793"/>
    </row>
    <row r="48" spans="1:6" ht="19.5" customHeight="1" x14ac:dyDescent="0.3">
      <c r="A48" s="794" t="s">
        <v>994</v>
      </c>
      <c r="B48" s="794" t="s">
        <v>73</v>
      </c>
      <c r="C48" s="794"/>
      <c r="D48" s="794"/>
      <c r="E48" s="795"/>
      <c r="F48" s="795"/>
    </row>
    <row r="49" spans="1:6" ht="19.5" customHeight="1" x14ac:dyDescent="0.3">
      <c r="A49" s="796" t="s">
        <v>995</v>
      </c>
      <c r="B49" s="830">
        <v>1361</v>
      </c>
      <c r="C49" s="831"/>
      <c r="D49" s="831"/>
      <c r="E49" s="327"/>
      <c r="F49" s="327"/>
    </row>
    <row r="50" spans="1:6" ht="19.5" customHeight="1" x14ac:dyDescent="0.3">
      <c r="A50" s="799" t="s">
        <v>996</v>
      </c>
      <c r="B50" s="830">
        <v>762.5</v>
      </c>
      <c r="C50" s="832"/>
      <c r="D50" s="832"/>
      <c r="E50" s="803"/>
      <c r="F50" s="803"/>
    </row>
    <row r="51" spans="1:6" ht="19.5" customHeight="1" x14ac:dyDescent="0.3">
      <c r="A51" s="796" t="s">
        <v>997</v>
      </c>
      <c r="B51" s="830">
        <v>235</v>
      </c>
      <c r="C51" s="831"/>
      <c r="D51" s="831"/>
      <c r="E51" s="327"/>
      <c r="F51" s="327"/>
    </row>
    <row r="52" spans="1:6" ht="19.5" customHeight="1" x14ac:dyDescent="0.3">
      <c r="A52" s="799" t="s">
        <v>998</v>
      </c>
      <c r="B52" s="830">
        <v>300</v>
      </c>
      <c r="C52" s="832"/>
      <c r="D52" s="832"/>
      <c r="E52" s="803"/>
      <c r="F52" s="803"/>
    </row>
    <row r="53" spans="1:6" ht="19.5" customHeight="1" x14ac:dyDescent="0.3">
      <c r="A53" s="796" t="s">
        <v>999</v>
      </c>
      <c r="B53" s="830">
        <v>650</v>
      </c>
      <c r="C53" s="831"/>
      <c r="D53" s="831"/>
      <c r="E53" s="327"/>
      <c r="F53" s="327"/>
    </row>
    <row r="54" spans="1:6" ht="19.5" customHeight="1" x14ac:dyDescent="0.3">
      <c r="A54" s="799" t="s">
        <v>1000</v>
      </c>
      <c r="B54" s="830">
        <v>530</v>
      </c>
      <c r="C54" s="832"/>
      <c r="D54" s="832"/>
      <c r="E54" s="803"/>
      <c r="F54" s="803"/>
    </row>
    <row r="55" spans="1:6" ht="19.5" customHeight="1" x14ac:dyDescent="0.3">
      <c r="A55" s="796" t="s">
        <v>1001</v>
      </c>
      <c r="B55" s="830">
        <v>400</v>
      </c>
      <c r="C55" s="831"/>
      <c r="D55" s="831"/>
      <c r="E55" s="327"/>
      <c r="F55" s="327"/>
    </row>
    <row r="56" spans="1:6" ht="19.5" customHeight="1" x14ac:dyDescent="0.3">
      <c r="A56" s="799" t="s">
        <v>1002</v>
      </c>
      <c r="B56" s="830">
        <v>400</v>
      </c>
      <c r="C56" s="832"/>
      <c r="D56" s="832"/>
      <c r="E56" s="803"/>
      <c r="F56" s="803"/>
    </row>
    <row r="57" spans="1:6" ht="19.5" customHeight="1" x14ac:dyDescent="0.3">
      <c r="A57" s="796" t="s">
        <v>1003</v>
      </c>
      <c r="B57" s="830">
        <v>840</v>
      </c>
      <c r="C57" s="831"/>
      <c r="D57" s="831"/>
      <c r="E57" s="327"/>
      <c r="F57" s="327"/>
    </row>
    <row r="58" spans="1:6" ht="19.5" customHeight="1" x14ac:dyDescent="0.3">
      <c r="A58" s="799" t="s">
        <v>1004</v>
      </c>
      <c r="B58" s="830">
        <v>1000</v>
      </c>
      <c r="C58" s="832"/>
      <c r="D58" s="832"/>
      <c r="E58" s="803"/>
      <c r="F58" s="803"/>
    </row>
    <row r="59" spans="1:6" ht="19.5" customHeight="1" x14ac:dyDescent="0.3">
      <c r="A59" s="796" t="s">
        <v>1005</v>
      </c>
      <c r="B59" s="830">
        <v>300</v>
      </c>
      <c r="C59" s="831"/>
      <c r="D59" s="831"/>
      <c r="E59" s="327"/>
      <c r="F59" s="327"/>
    </row>
    <row r="60" spans="1:6" ht="3.75" customHeight="1" x14ac:dyDescent="0.3">
      <c r="A60" s="828"/>
      <c r="B60" s="828"/>
      <c r="C60" s="828"/>
      <c r="D60" s="828"/>
      <c r="E60" s="829"/>
      <c r="F60" s="829"/>
    </row>
    <row r="61" spans="1:6" ht="21.75" customHeight="1" x14ac:dyDescent="0.3">
      <c r="A61" s="929" t="s">
        <v>1006</v>
      </c>
      <c r="B61" s="929"/>
      <c r="C61" s="929"/>
      <c r="D61" s="929"/>
      <c r="E61" s="793"/>
      <c r="F61" s="793"/>
    </row>
    <row r="62" spans="1:6" ht="19.5" customHeight="1" x14ac:dyDescent="0.3">
      <c r="A62" s="794" t="s">
        <v>1007</v>
      </c>
      <c r="B62" s="794" t="s">
        <v>1008</v>
      </c>
      <c r="C62" s="794"/>
      <c r="D62" s="794"/>
      <c r="E62" s="795"/>
      <c r="F62" s="795"/>
    </row>
    <row r="63" spans="1:6" ht="19.5" customHeight="1" x14ac:dyDescent="0.3">
      <c r="A63" s="796" t="s">
        <v>1009</v>
      </c>
      <c r="B63" s="833">
        <v>50860</v>
      </c>
      <c r="C63" s="831"/>
      <c r="D63" s="831"/>
      <c r="E63" s="327"/>
      <c r="F63" s="327"/>
    </row>
    <row r="64" spans="1:6" ht="19.5" customHeight="1" x14ac:dyDescent="0.3">
      <c r="A64" s="799" t="s">
        <v>1010</v>
      </c>
      <c r="B64" s="833">
        <v>46568</v>
      </c>
      <c r="C64" s="832"/>
      <c r="D64" s="832"/>
      <c r="E64" s="803"/>
      <c r="F64" s="803"/>
    </row>
    <row r="65" spans="1:6" ht="19.5" customHeight="1" x14ac:dyDescent="0.3">
      <c r="A65" s="796" t="s">
        <v>1011</v>
      </c>
      <c r="B65" s="833">
        <v>50860</v>
      </c>
      <c r="C65" s="831"/>
      <c r="D65" s="831"/>
      <c r="E65" s="327"/>
      <c r="F65" s="327"/>
    </row>
    <row r="66" spans="1:6" ht="19.5" customHeight="1" x14ac:dyDescent="0.3">
      <c r="A66" s="799" t="s">
        <v>1012</v>
      </c>
      <c r="B66" s="833">
        <v>46568</v>
      </c>
      <c r="C66" s="832"/>
      <c r="D66" s="832"/>
      <c r="E66" s="803"/>
      <c r="F66" s="803"/>
    </row>
    <row r="67" spans="1:6" ht="19.5" customHeight="1" x14ac:dyDescent="0.3">
      <c r="A67" s="796" t="s">
        <v>1013</v>
      </c>
      <c r="B67" s="834">
        <v>50770</v>
      </c>
      <c r="C67" s="831"/>
      <c r="D67" s="831"/>
      <c r="E67" s="327"/>
      <c r="F67" s="327"/>
    </row>
    <row r="68" spans="1:6" ht="19.5" customHeight="1" x14ac:dyDescent="0.3">
      <c r="A68" s="799" t="s">
        <v>1014</v>
      </c>
      <c r="B68" s="833">
        <v>46477</v>
      </c>
      <c r="C68" s="832"/>
      <c r="D68" s="832"/>
      <c r="E68" s="803"/>
      <c r="F68" s="803"/>
    </row>
    <row r="69" spans="1:6" ht="19.5" customHeight="1" x14ac:dyDescent="0.3">
      <c r="A69" s="796" t="s">
        <v>1015</v>
      </c>
      <c r="B69" s="833">
        <v>46339</v>
      </c>
      <c r="C69" s="831"/>
      <c r="D69" s="831"/>
      <c r="E69" s="327"/>
      <c r="F69" s="327"/>
    </row>
    <row r="70" spans="1:6" ht="19.5" customHeight="1" x14ac:dyDescent="0.3">
      <c r="A70" s="799" t="s">
        <v>1016</v>
      </c>
      <c r="B70" s="833">
        <v>50860</v>
      </c>
      <c r="C70" s="832"/>
      <c r="D70" s="832"/>
      <c r="E70" s="803"/>
      <c r="F70" s="803"/>
    </row>
    <row r="71" spans="1:6" ht="19.5" customHeight="1" x14ac:dyDescent="0.3">
      <c r="A71" s="796" t="s">
        <v>1017</v>
      </c>
      <c r="B71" s="833">
        <v>46568</v>
      </c>
      <c r="C71" s="831"/>
      <c r="D71" s="831"/>
      <c r="E71" s="327"/>
      <c r="F71" s="327"/>
    </row>
    <row r="72" spans="1:6" ht="19.5" customHeight="1" x14ac:dyDescent="0.3">
      <c r="A72" s="799" t="s">
        <v>1018</v>
      </c>
      <c r="B72" s="833">
        <v>50860</v>
      </c>
      <c r="C72" s="832"/>
      <c r="D72" s="832"/>
      <c r="E72" s="803"/>
      <c r="F72" s="803"/>
    </row>
    <row r="73" spans="1:6" ht="19.5" customHeight="1" x14ac:dyDescent="0.3">
      <c r="A73" s="796" t="s">
        <v>1019</v>
      </c>
      <c r="B73" s="833">
        <v>46568</v>
      </c>
      <c r="C73" s="831"/>
      <c r="D73" s="831"/>
      <c r="E73" s="327"/>
      <c r="F73" s="327"/>
    </row>
    <row r="74" spans="1:6" ht="19.5" customHeight="1" x14ac:dyDescent="0.3">
      <c r="A74" s="799" t="s">
        <v>1020</v>
      </c>
      <c r="B74" s="833">
        <v>50860</v>
      </c>
      <c r="C74" s="832"/>
      <c r="D74" s="832"/>
      <c r="E74" s="803"/>
      <c r="F74" s="803"/>
    </row>
    <row r="75" spans="1:6" ht="19.5" customHeight="1" x14ac:dyDescent="0.3">
      <c r="A75" s="796" t="s">
        <v>1021</v>
      </c>
      <c r="B75" s="833">
        <v>46568</v>
      </c>
      <c r="C75" s="831"/>
      <c r="D75" s="831"/>
      <c r="E75" s="327"/>
      <c r="F75" s="327"/>
    </row>
    <row r="76" spans="1:6" ht="3.75" customHeight="1" x14ac:dyDescent="0.3">
      <c r="A76" s="828"/>
      <c r="B76" s="828"/>
      <c r="C76" s="828"/>
      <c r="D76" s="828"/>
      <c r="E76" s="829"/>
      <c r="F76" s="829"/>
    </row>
    <row r="77" spans="1:6" ht="21.75" customHeight="1" x14ac:dyDescent="0.3">
      <c r="A77" s="929" t="s">
        <v>1022</v>
      </c>
      <c r="B77" s="929"/>
      <c r="C77" s="929"/>
      <c r="D77" s="929"/>
      <c r="E77" s="793"/>
      <c r="F77" s="793"/>
    </row>
    <row r="78" spans="1:6" ht="19.5" customHeight="1" x14ac:dyDescent="0.3">
      <c r="A78" s="794" t="s">
        <v>687</v>
      </c>
      <c r="B78" s="794" t="s">
        <v>333</v>
      </c>
      <c r="C78" s="794"/>
      <c r="D78" s="794"/>
      <c r="E78" s="795"/>
      <c r="F78" s="795"/>
    </row>
    <row r="79" spans="1:6" ht="19.5" customHeight="1" x14ac:dyDescent="0.3">
      <c r="A79" s="796" t="s">
        <v>1023</v>
      </c>
      <c r="B79" s="835">
        <v>1</v>
      </c>
      <c r="C79" s="831"/>
      <c r="D79" s="831"/>
      <c r="E79" s="327"/>
      <c r="F79" s="327"/>
    </row>
    <row r="80" spans="1:6" ht="19.5" customHeight="1" x14ac:dyDescent="0.3">
      <c r="A80" s="799" t="s">
        <v>1024</v>
      </c>
      <c r="B80" s="835">
        <v>2</v>
      </c>
      <c r="C80" s="832"/>
      <c r="D80" s="832"/>
      <c r="E80" s="803"/>
      <c r="F80" s="803"/>
    </row>
    <row r="81" spans="1:6" ht="19.5" customHeight="1" x14ac:dyDescent="0.3">
      <c r="A81" s="796" t="s">
        <v>1025</v>
      </c>
      <c r="B81" s="835">
        <v>6</v>
      </c>
      <c r="C81" s="831"/>
      <c r="D81" s="831"/>
      <c r="E81" s="327"/>
      <c r="F81" s="327"/>
    </row>
    <row r="82" spans="1:6" ht="19.5" customHeight="1" x14ac:dyDescent="0.3">
      <c r="A82" s="799" t="s">
        <v>1026</v>
      </c>
      <c r="B82" s="835">
        <v>7</v>
      </c>
      <c r="C82" s="832"/>
      <c r="D82" s="832"/>
      <c r="E82" s="803"/>
      <c r="F82" s="803"/>
    </row>
    <row r="83" spans="1:6" ht="19.5" customHeight="1" x14ac:dyDescent="0.3">
      <c r="A83" s="796" t="s">
        <v>1027</v>
      </c>
      <c r="B83" s="835">
        <v>10</v>
      </c>
      <c r="C83" s="831"/>
      <c r="D83" s="831"/>
      <c r="E83" s="327"/>
      <c r="F83" s="327"/>
    </row>
    <row r="84" spans="1:6" ht="19.5" customHeight="1" x14ac:dyDescent="0.3">
      <c r="A84" s="799" t="s">
        <v>1028</v>
      </c>
      <c r="B84" s="835">
        <v>12</v>
      </c>
      <c r="C84" s="832"/>
      <c r="D84" s="832"/>
      <c r="E84" s="803"/>
      <c r="F84" s="803"/>
    </row>
    <row r="85" spans="1:6" ht="19.5" customHeight="1" x14ac:dyDescent="0.3">
      <c r="A85" s="796" t="s">
        <v>1029</v>
      </c>
      <c r="B85" s="835">
        <v>15</v>
      </c>
      <c r="C85" s="831"/>
      <c r="D85" s="831"/>
      <c r="E85" s="327"/>
      <c r="F85" s="327"/>
    </row>
    <row r="86" spans="1:6" ht="19.5" customHeight="1" x14ac:dyDescent="0.3">
      <c r="A86" s="799" t="s">
        <v>1030</v>
      </c>
      <c r="B86" s="835">
        <v>42</v>
      </c>
      <c r="C86" s="832"/>
      <c r="D86" s="832"/>
      <c r="E86" s="803"/>
      <c r="F86" s="803"/>
    </row>
    <row r="87" spans="1:6" ht="3.75" customHeight="1" x14ac:dyDescent="0.3">
      <c r="A87" s="828"/>
      <c r="B87" s="828"/>
      <c r="C87" s="828"/>
      <c r="D87" s="828"/>
      <c r="E87" s="829"/>
      <c r="F87" s="829"/>
    </row>
    <row r="88" spans="1:6" ht="21.75" customHeight="1" x14ac:dyDescent="0.3">
      <c r="A88" s="929" t="s">
        <v>1031</v>
      </c>
      <c r="B88" s="929"/>
      <c r="C88" s="929"/>
      <c r="D88" s="929"/>
      <c r="E88" s="793"/>
      <c r="F88" s="793"/>
    </row>
    <row r="89" spans="1:6" ht="19.5" customHeight="1" x14ac:dyDescent="0.3">
      <c r="A89" s="794" t="s">
        <v>1032</v>
      </c>
      <c r="B89" s="794" t="s">
        <v>1033</v>
      </c>
      <c r="C89" s="794"/>
      <c r="D89" s="794" t="s">
        <v>700</v>
      </c>
      <c r="E89" s="795"/>
      <c r="F89" s="795"/>
    </row>
    <row r="90" spans="1:6" ht="19.5" customHeight="1" x14ac:dyDescent="0.3">
      <c r="A90" s="799" t="s">
        <v>1034</v>
      </c>
      <c r="B90" s="835">
        <v>21</v>
      </c>
      <c r="C90" s="832"/>
      <c r="D90" s="802" t="s">
        <v>1035</v>
      </c>
      <c r="E90" s="803"/>
      <c r="F90" s="803"/>
    </row>
    <row r="91" spans="1:6" ht="19.5" customHeight="1" x14ac:dyDescent="0.3">
      <c r="A91" s="796" t="s">
        <v>1036</v>
      </c>
      <c r="B91" s="835">
        <v>20</v>
      </c>
      <c r="C91" s="831"/>
      <c r="D91" s="798"/>
      <c r="E91" s="327"/>
      <c r="F91" s="327"/>
    </row>
    <row r="92" spans="1:6" ht="19.5" customHeight="1" x14ac:dyDescent="0.3">
      <c r="A92" s="799" t="s">
        <v>1037</v>
      </c>
      <c r="B92" s="835">
        <v>19</v>
      </c>
      <c r="C92" s="832"/>
      <c r="D92" s="802"/>
      <c r="E92" s="803"/>
      <c r="F92" s="803"/>
    </row>
    <row r="93" spans="1:6" ht="19.5" customHeight="1" x14ac:dyDescent="0.3">
      <c r="A93" s="796" t="s">
        <v>1038</v>
      </c>
      <c r="B93" s="835">
        <v>18</v>
      </c>
      <c r="C93" s="831"/>
      <c r="D93" s="798"/>
      <c r="E93" s="327"/>
      <c r="F93" s="327"/>
    </row>
    <row r="94" spans="1:6" ht="19.5" customHeight="1" x14ac:dyDescent="0.3">
      <c r="A94" s="799" t="s">
        <v>1039</v>
      </c>
      <c r="B94" s="835">
        <v>17</v>
      </c>
      <c r="C94" s="832"/>
      <c r="D94" s="802" t="s">
        <v>1040</v>
      </c>
      <c r="E94" s="803"/>
      <c r="F94" s="803"/>
    </row>
    <row r="95" spans="1:6" ht="19.5" customHeight="1" x14ac:dyDescent="0.3">
      <c r="A95" s="796" t="s">
        <v>1041</v>
      </c>
      <c r="B95" s="835">
        <v>16</v>
      </c>
      <c r="C95" s="831"/>
      <c r="D95" s="798"/>
      <c r="E95" s="327"/>
      <c r="F95" s="327"/>
    </row>
    <row r="96" spans="1:6" ht="19.5" customHeight="1" x14ac:dyDescent="0.3">
      <c r="A96" s="799" t="s">
        <v>1042</v>
      </c>
      <c r="B96" s="835">
        <v>15</v>
      </c>
      <c r="C96" s="832"/>
      <c r="D96" s="802" t="s">
        <v>1043</v>
      </c>
      <c r="E96" s="803"/>
      <c r="F96" s="803"/>
    </row>
    <row r="97" spans="1:6" ht="19.5" customHeight="1" x14ac:dyDescent="0.3">
      <c r="A97" s="796" t="s">
        <v>1044</v>
      </c>
      <c r="B97" s="835">
        <v>14</v>
      </c>
      <c r="C97" s="831"/>
      <c r="D97" s="798" t="s">
        <v>1045</v>
      </c>
      <c r="E97" s="327"/>
      <c r="F97" s="327"/>
    </row>
    <row r="98" spans="1:6" ht="19.5" customHeight="1" x14ac:dyDescent="0.3">
      <c r="A98" s="799" t="s">
        <v>1046</v>
      </c>
      <c r="B98" s="835">
        <v>13</v>
      </c>
      <c r="C98" s="832"/>
      <c r="D98" s="802"/>
      <c r="E98" s="803"/>
      <c r="F98" s="803"/>
    </row>
    <row r="99" spans="1:6" ht="19.5" customHeight="1" x14ac:dyDescent="0.3">
      <c r="A99" s="796" t="s">
        <v>1047</v>
      </c>
      <c r="B99" s="835">
        <v>12</v>
      </c>
      <c r="C99" s="831"/>
      <c r="D99" s="798"/>
      <c r="E99" s="327"/>
      <c r="F99" s="327"/>
    </row>
    <row r="100" spans="1:6" ht="19.5" customHeight="1" x14ac:dyDescent="0.3">
      <c r="A100" s="799" t="s">
        <v>1048</v>
      </c>
      <c r="B100" s="835">
        <v>11</v>
      </c>
      <c r="C100" s="832"/>
      <c r="D100" s="802" t="s">
        <v>1049</v>
      </c>
      <c r="E100" s="803"/>
      <c r="F100" s="803"/>
    </row>
    <row r="101" spans="1:6" ht="19.5" customHeight="1" x14ac:dyDescent="0.3">
      <c r="A101" s="796" t="s">
        <v>1050</v>
      </c>
      <c r="B101" s="835">
        <v>10</v>
      </c>
      <c r="C101" s="831"/>
      <c r="D101" s="798"/>
      <c r="E101" s="327"/>
      <c r="F101" s="327"/>
    </row>
    <row r="102" spans="1:6" ht="14.25" hidden="1" customHeight="1" x14ac:dyDescent="0.3"/>
    <row r="103" spans="1:6" ht="14.25" hidden="1" customHeight="1" x14ac:dyDescent="0.3"/>
    <row r="104" spans="1:6" ht="14.25" hidden="1" customHeight="1" x14ac:dyDescent="0.3"/>
    <row r="105" spans="1:6" ht="14.25" hidden="1" customHeight="1" x14ac:dyDescent="0.3"/>
    <row r="106" spans="1:6" ht="14.25" hidden="1" customHeight="1" x14ac:dyDescent="0.3"/>
    <row r="107" spans="1:6" ht="14.25" hidden="1" customHeight="1" x14ac:dyDescent="0.3"/>
    <row r="108" spans="1:6" ht="14.25" hidden="1" customHeight="1" x14ac:dyDescent="0.3"/>
    <row r="109" spans="1:6" ht="14.25" hidden="1" customHeight="1" x14ac:dyDescent="0.3"/>
    <row r="110" spans="1:6" ht="14.25" hidden="1" customHeight="1" x14ac:dyDescent="0.3"/>
    <row r="111" spans="1:6" ht="14.25" hidden="1" customHeight="1" x14ac:dyDescent="0.3"/>
    <row r="112" spans="1:6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mergeCells count="8">
    <mergeCell ref="A61:D61"/>
    <mergeCell ref="A77:D77"/>
    <mergeCell ref="A88:D88"/>
    <mergeCell ref="A1:D1"/>
    <mergeCell ref="A3:D3"/>
    <mergeCell ref="A12:D12"/>
    <mergeCell ref="A28:D28"/>
    <mergeCell ref="A47:D47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H200"/>
  <sheetViews>
    <sheetView tabSelected="1" topLeftCell="C1" zoomScaleNormal="100" workbookViewId="0">
      <pane ySplit="4" topLeftCell="A5" activePane="bottomLeft" state="frozen"/>
      <selection activeCell="C1" sqref="C1"/>
      <selection pane="bottomLeft" activeCell="E28" sqref="E28"/>
    </sheetView>
  </sheetViews>
  <sheetFormatPr defaultColWidth="8.6640625" defaultRowHeight="14.4" outlineLevelCol="1" x14ac:dyDescent="0.3"/>
  <cols>
    <col min="1" max="1" width="5.21875" hidden="1" customWidth="1" outlineLevel="1"/>
    <col min="2" max="2" width="13" hidden="1" customWidth="1" outlineLevel="1"/>
    <col min="3" max="3" width="18.5546875" customWidth="1" collapsed="1"/>
    <col min="4" max="4" width="31.44140625" customWidth="1"/>
    <col min="5" max="5" width="33.33203125" customWidth="1"/>
    <col min="6" max="6" width="37" customWidth="1"/>
    <col min="7" max="7" width="38.88671875" customWidth="1"/>
    <col min="8" max="8" width="31.44140625" customWidth="1"/>
  </cols>
  <sheetData>
    <row r="1" spans="1:8" ht="25.95" customHeight="1" x14ac:dyDescent="0.3">
      <c r="A1" s="995" t="s">
        <v>1051</v>
      </c>
      <c r="B1" s="995"/>
      <c r="C1" s="995"/>
      <c r="D1" s="995"/>
      <c r="E1" s="995"/>
      <c r="F1" s="995"/>
      <c r="G1" s="995"/>
      <c r="H1" s="995"/>
    </row>
    <row r="2" spans="1:8" ht="15" customHeight="1" x14ac:dyDescent="0.3">
      <c r="A2" s="996" t="s">
        <v>1052</v>
      </c>
      <c r="B2" s="996"/>
      <c r="C2" s="996"/>
      <c r="D2" s="996"/>
      <c r="E2" s="996"/>
      <c r="F2" s="996"/>
      <c r="G2" s="996"/>
      <c r="H2" s="996"/>
    </row>
    <row r="3" spans="1:8" ht="18" customHeight="1" x14ac:dyDescent="0.3">
      <c r="A3" s="1015" t="s">
        <v>1177</v>
      </c>
      <c r="B3" s="1015"/>
      <c r="C3" s="1015"/>
      <c r="D3" s="1015"/>
      <c r="E3" s="1015"/>
      <c r="F3" s="1015"/>
      <c r="G3" s="1015"/>
      <c r="H3" s="1015"/>
    </row>
    <row r="4" spans="1:8" ht="16.95" customHeight="1" thickBot="1" x14ac:dyDescent="0.35">
      <c r="A4" s="1023"/>
      <c r="B4" s="1023"/>
      <c r="C4" s="1023" t="s">
        <v>72</v>
      </c>
      <c r="D4" s="1023" t="s">
        <v>122</v>
      </c>
      <c r="E4" s="1023" t="s">
        <v>1178</v>
      </c>
      <c r="F4" s="1023" t="s">
        <v>1179</v>
      </c>
      <c r="G4" s="1023" t="s">
        <v>1180</v>
      </c>
      <c r="H4" s="1023" t="s">
        <v>1131</v>
      </c>
    </row>
    <row r="5" spans="1:8" ht="193.8" x14ac:dyDescent="0.3">
      <c r="A5" s="1016"/>
      <c r="B5" s="1016" t="s">
        <v>1053</v>
      </c>
      <c r="C5" s="1017" t="s">
        <v>78</v>
      </c>
      <c r="D5" s="1018" t="s">
        <v>1054</v>
      </c>
      <c r="E5" s="1019" t="s">
        <v>1055</v>
      </c>
      <c r="F5" s="1020" t="s">
        <v>1056</v>
      </c>
      <c r="G5" s="1021" t="s">
        <v>1057</v>
      </c>
      <c r="H5" s="1022" t="s">
        <v>1058</v>
      </c>
    </row>
    <row r="6" spans="1:8" ht="3" customHeight="1" x14ac:dyDescent="0.3">
      <c r="A6" s="1008"/>
      <c r="B6" s="1008"/>
      <c r="C6" s="1008"/>
      <c r="D6" s="1008"/>
      <c r="E6" s="1008"/>
      <c r="F6" s="1008"/>
      <c r="G6" s="1008"/>
      <c r="H6" s="1008"/>
    </row>
    <row r="7" spans="1:8" ht="182.4" x14ac:dyDescent="0.3">
      <c r="A7" s="1009"/>
      <c r="B7" s="1009" t="s">
        <v>1059</v>
      </c>
      <c r="C7" s="1010" t="s">
        <v>81</v>
      </c>
      <c r="D7" s="1011" t="s">
        <v>1060</v>
      </c>
      <c r="E7" s="1012" t="s">
        <v>1061</v>
      </c>
      <c r="F7" s="1005" t="s">
        <v>1062</v>
      </c>
      <c r="G7" s="1013" t="s">
        <v>1063</v>
      </c>
      <c r="H7" s="1014" t="s">
        <v>1064</v>
      </c>
    </row>
    <row r="8" spans="1:8" ht="3" customHeight="1" x14ac:dyDescent="0.3">
      <c r="A8" s="1008"/>
      <c r="B8" s="1008"/>
      <c r="C8" s="1008"/>
      <c r="D8" s="1008"/>
      <c r="E8" s="1008"/>
      <c r="F8" s="1008"/>
      <c r="G8" s="1008"/>
      <c r="H8" s="1008"/>
    </row>
    <row r="9" spans="1:8" ht="114" x14ac:dyDescent="0.3">
      <c r="A9" s="1001"/>
      <c r="B9" s="1001" t="s">
        <v>1065</v>
      </c>
      <c r="C9" s="1002" t="s">
        <v>79</v>
      </c>
      <c r="D9" s="1003" t="s">
        <v>1066</v>
      </c>
      <c r="E9" s="1004" t="s">
        <v>1067</v>
      </c>
      <c r="F9" s="1005" t="s">
        <v>1068</v>
      </c>
      <c r="G9" s="1006" t="s">
        <v>1069</v>
      </c>
      <c r="H9" s="1007" t="s">
        <v>1070</v>
      </c>
    </row>
    <row r="10" spans="1:8" ht="3" customHeight="1" x14ac:dyDescent="0.3">
      <c r="A10" s="1008"/>
      <c r="B10" s="1008"/>
      <c r="C10" s="1008"/>
      <c r="D10" s="1008"/>
      <c r="E10" s="1008"/>
      <c r="F10" s="1008"/>
      <c r="G10" s="1008"/>
      <c r="H10" s="1008"/>
    </row>
    <row r="11" spans="1:8" ht="125.4" x14ac:dyDescent="0.3">
      <c r="A11" s="1009"/>
      <c r="B11" s="1009" t="s">
        <v>1071</v>
      </c>
      <c r="C11" s="1010" t="s">
        <v>1072</v>
      </c>
      <c r="D11" s="1011" t="s">
        <v>1073</v>
      </c>
      <c r="E11" s="1012" t="s">
        <v>1074</v>
      </c>
      <c r="F11" s="1005" t="s">
        <v>1075</v>
      </c>
      <c r="G11" s="1013" t="s">
        <v>1076</v>
      </c>
      <c r="H11" s="1014" t="s">
        <v>1077</v>
      </c>
    </row>
    <row r="12" spans="1:8" ht="3" customHeight="1" x14ac:dyDescent="0.3">
      <c r="A12" s="1008"/>
      <c r="B12" s="1008"/>
      <c r="C12" s="1008"/>
      <c r="D12" s="1008"/>
      <c r="E12" s="1008"/>
      <c r="F12" s="1008"/>
      <c r="G12" s="1008"/>
      <c r="H12" s="1008"/>
    </row>
    <row r="13" spans="1:8" ht="91.2" x14ac:dyDescent="0.3">
      <c r="A13" s="1001"/>
      <c r="B13" s="1001" t="s">
        <v>1078</v>
      </c>
      <c r="C13" s="1002" t="s">
        <v>1072</v>
      </c>
      <c r="D13" s="1003" t="s">
        <v>1079</v>
      </c>
      <c r="E13" s="1004" t="s">
        <v>1080</v>
      </c>
      <c r="F13" s="1005" t="s">
        <v>1081</v>
      </c>
      <c r="G13" s="1006" t="s">
        <v>1082</v>
      </c>
      <c r="H13" s="1007" t="s">
        <v>1083</v>
      </c>
    </row>
    <row r="14" spans="1:8" ht="3" customHeight="1" x14ac:dyDescent="0.3">
      <c r="A14" s="1008"/>
      <c r="B14" s="1008"/>
      <c r="C14" s="1008"/>
      <c r="D14" s="1008"/>
      <c r="E14" s="1008"/>
      <c r="F14" s="1008"/>
      <c r="G14" s="1008"/>
      <c r="H14" s="1008"/>
    </row>
    <row r="15" spans="1:8" ht="91.2" x14ac:dyDescent="0.3">
      <c r="A15" s="1031"/>
      <c r="B15" s="1031" t="s">
        <v>1084</v>
      </c>
      <c r="C15" s="1032" t="s">
        <v>161</v>
      </c>
      <c r="D15" s="1033" t="s">
        <v>1085</v>
      </c>
      <c r="E15" s="1034" t="s">
        <v>1086</v>
      </c>
      <c r="F15" s="1035" t="s">
        <v>1087</v>
      </c>
      <c r="G15" s="1036" t="s">
        <v>1088</v>
      </c>
      <c r="H15" s="1037" t="s">
        <v>1089</v>
      </c>
    </row>
    <row r="16" spans="1:8" ht="18" customHeight="1" x14ac:dyDescent="0.3">
      <c r="A16" s="998" t="s">
        <v>1181</v>
      </c>
      <c r="B16" s="997"/>
      <c r="C16" s="997"/>
      <c r="D16" s="997"/>
      <c r="E16" s="997"/>
      <c r="F16" s="997"/>
      <c r="G16" s="997"/>
      <c r="H16" s="999"/>
    </row>
    <row r="17" spans="1:8" ht="45" customHeight="1" x14ac:dyDescent="0.3">
      <c r="A17" s="1039"/>
      <c r="B17" s="1041" t="s">
        <v>1182</v>
      </c>
      <c r="C17" s="1038"/>
      <c r="D17" s="1038"/>
      <c r="E17" s="1038"/>
      <c r="F17" s="1038"/>
      <c r="G17" s="1038"/>
      <c r="H17" s="1040"/>
    </row>
    <row r="18" spans="1:8" ht="4.05" hidden="1" customHeight="1" x14ac:dyDescent="0.3">
      <c r="A18" s="942"/>
      <c r="B18" s="942"/>
      <c r="C18" s="942"/>
      <c r="D18" s="942"/>
      <c r="E18" s="942"/>
      <c r="F18" s="942"/>
      <c r="G18" s="942"/>
      <c r="H18" s="942"/>
    </row>
    <row r="19" spans="1:8" ht="4.05" hidden="1" customHeight="1" x14ac:dyDescent="0.3">
      <c r="A19" s="942"/>
      <c r="B19" s="942"/>
      <c r="C19" s="942"/>
      <c r="D19" s="942"/>
      <c r="E19" s="942"/>
      <c r="F19" s="942"/>
      <c r="G19" s="942"/>
      <c r="H19" s="942"/>
    </row>
    <row r="20" spans="1:8" ht="4.05" hidden="1" customHeight="1" x14ac:dyDescent="0.3">
      <c r="A20" s="942"/>
      <c r="B20" s="942"/>
      <c r="C20" s="942"/>
      <c r="D20" s="942"/>
      <c r="E20" s="942"/>
      <c r="F20" s="942"/>
      <c r="G20" s="942"/>
      <c r="H20" s="942"/>
    </row>
    <row r="21" spans="1:8" ht="4.05" hidden="1" customHeight="1" x14ac:dyDescent="0.3">
      <c r="A21" s="942"/>
      <c r="B21" s="942"/>
      <c r="C21" s="942"/>
      <c r="D21" s="942"/>
      <c r="E21" s="942"/>
      <c r="F21" s="942"/>
      <c r="G21" s="942"/>
      <c r="H21" s="942"/>
    </row>
    <row r="22" spans="1:8" ht="4.05" hidden="1" customHeight="1" x14ac:dyDescent="0.3">
      <c r="A22" s="942"/>
      <c r="B22" s="942"/>
      <c r="C22" s="942"/>
      <c r="D22" s="942"/>
      <c r="E22" s="942"/>
      <c r="F22" s="942"/>
      <c r="G22" s="942"/>
      <c r="H22" s="942"/>
    </row>
    <row r="23" spans="1:8" ht="18" customHeight="1" x14ac:dyDescent="0.3">
      <c r="A23" s="1000" t="s">
        <v>1183</v>
      </c>
      <c r="B23" s="1000"/>
      <c r="C23" s="1000"/>
      <c r="D23" s="1000"/>
      <c r="E23" s="1000"/>
      <c r="F23" s="1000"/>
      <c r="G23" s="1000"/>
      <c r="H23" s="1000"/>
    </row>
    <row r="24" spans="1:8" ht="114" x14ac:dyDescent="0.3">
      <c r="A24" s="1024"/>
      <c r="B24" s="1024" t="s">
        <v>1090</v>
      </c>
      <c r="C24" s="1025" t="s">
        <v>1091</v>
      </c>
      <c r="D24" s="1026" t="s">
        <v>1092</v>
      </c>
      <c r="E24" s="1024" t="s">
        <v>1093</v>
      </c>
      <c r="F24" s="1005" t="s">
        <v>1094</v>
      </c>
      <c r="G24" s="1027" t="s">
        <v>1095</v>
      </c>
      <c r="H24" s="1028" t="s">
        <v>1096</v>
      </c>
    </row>
    <row r="25" spans="1:8" ht="60" x14ac:dyDescent="0.3">
      <c r="A25" s="1001"/>
      <c r="B25" s="1001" t="s">
        <v>1097</v>
      </c>
      <c r="C25" s="1029" t="s">
        <v>1098</v>
      </c>
      <c r="D25" s="1030" t="s">
        <v>1099</v>
      </c>
      <c r="E25" s="1001" t="s">
        <v>1100</v>
      </c>
      <c r="F25" s="1005" t="s">
        <v>1101</v>
      </c>
      <c r="G25" s="1006" t="s">
        <v>1102</v>
      </c>
      <c r="H25" s="1007" t="s">
        <v>1103</v>
      </c>
    </row>
    <row r="26" spans="1:8" ht="57" x14ac:dyDescent="0.3">
      <c r="A26" s="1024"/>
      <c r="B26" s="1024" t="s">
        <v>1104</v>
      </c>
      <c r="C26" s="1025" t="s">
        <v>1105</v>
      </c>
      <c r="D26" s="1026" t="s">
        <v>1106</v>
      </c>
      <c r="E26" s="1024" t="s">
        <v>1107</v>
      </c>
      <c r="F26" s="1005" t="s">
        <v>1108</v>
      </c>
      <c r="G26" s="1027" t="s">
        <v>1109</v>
      </c>
      <c r="H26" s="1028" t="s">
        <v>1110</v>
      </c>
    </row>
    <row r="27" spans="1:8" ht="79.8" x14ac:dyDescent="0.3">
      <c r="A27" s="1001"/>
      <c r="B27" s="1001" t="s">
        <v>1111</v>
      </c>
      <c r="C27" s="1029" t="s">
        <v>1112</v>
      </c>
      <c r="D27" s="1030" t="s">
        <v>1113</v>
      </c>
      <c r="E27" s="1001" t="s">
        <v>1114</v>
      </c>
      <c r="F27" s="1005" t="s">
        <v>1115</v>
      </c>
      <c r="G27" s="1006" t="s">
        <v>1116</v>
      </c>
      <c r="H27" s="1007" t="s">
        <v>1117</v>
      </c>
    </row>
    <row r="28" spans="1:8" ht="91.2" x14ac:dyDescent="0.3">
      <c r="A28" s="1024"/>
      <c r="B28" s="1024" t="s">
        <v>1118</v>
      </c>
      <c r="C28" s="1025" t="s">
        <v>78</v>
      </c>
      <c r="D28" s="1026" t="s">
        <v>1119</v>
      </c>
      <c r="E28" s="1024" t="s">
        <v>1120</v>
      </c>
      <c r="F28" s="1005" t="s">
        <v>1121</v>
      </c>
      <c r="G28" s="1027" t="s">
        <v>1122</v>
      </c>
      <c r="H28" s="1028" t="s">
        <v>1123</v>
      </c>
    </row>
    <row r="29" spans="1:8" ht="136.80000000000001" x14ac:dyDescent="0.3">
      <c r="A29" s="1001"/>
      <c r="B29" s="1001" t="s">
        <v>1124</v>
      </c>
      <c r="C29" s="1029" t="s">
        <v>175</v>
      </c>
      <c r="D29" s="1030" t="s">
        <v>1125</v>
      </c>
      <c r="E29" s="1001" t="s">
        <v>1126</v>
      </c>
      <c r="F29" s="1005" t="s">
        <v>1127</v>
      </c>
      <c r="G29" s="1006" t="s">
        <v>1128</v>
      </c>
      <c r="H29" s="1007" t="s">
        <v>1129</v>
      </c>
    </row>
    <row r="30" spans="1:8" ht="14.25" hidden="1" customHeight="1" x14ac:dyDescent="0.3"/>
    <row r="31" spans="1:8" ht="14.25" hidden="1" customHeight="1" x14ac:dyDescent="0.3"/>
    <row r="32" spans="1:8" ht="14.25" hidden="1" customHeight="1" x14ac:dyDescent="0.3"/>
    <row r="33" ht="14.25" hidden="1" customHeight="1" x14ac:dyDescent="0.3"/>
    <row r="34" ht="14.25" hidden="1" customHeight="1" x14ac:dyDescent="0.3"/>
    <row r="35" ht="14.25" hidden="1" customHeight="1" x14ac:dyDescent="0.3"/>
    <row r="36" ht="14.25" hidden="1" customHeight="1" x14ac:dyDescent="0.3"/>
    <row r="37" ht="14.25" hidden="1" customHeight="1" x14ac:dyDescent="0.3"/>
    <row r="38" ht="14.25" hidden="1" customHeight="1" x14ac:dyDescent="0.3"/>
    <row r="39" ht="14.25" hidden="1" customHeight="1" x14ac:dyDescent="0.3"/>
    <row r="40" ht="14.25" hidden="1" customHeight="1" x14ac:dyDescent="0.3"/>
    <row r="41" ht="14.25" hidden="1" customHeight="1" x14ac:dyDescent="0.3"/>
    <row r="42" ht="14.25" hidden="1" customHeight="1" x14ac:dyDescent="0.3"/>
    <row r="43" ht="14.25" hidden="1" customHeight="1" x14ac:dyDescent="0.3"/>
    <row r="44" ht="14.25" hidden="1" customHeight="1" x14ac:dyDescent="0.3"/>
    <row r="45" ht="14.25" hidden="1" customHeight="1" x14ac:dyDescent="0.3"/>
    <row r="46" ht="14.25" hidden="1" customHeight="1" x14ac:dyDescent="0.3"/>
    <row r="47" ht="14.25" hidden="1" customHeight="1" x14ac:dyDescent="0.3"/>
    <row r="48" ht="14.25" hidden="1" customHeight="1" x14ac:dyDescent="0.3"/>
    <row r="49" ht="14.25" hidden="1" customHeight="1" x14ac:dyDescent="0.3"/>
    <row r="50" ht="14.25" hidden="1" customHeight="1" x14ac:dyDescent="0.3"/>
    <row r="51" ht="14.25" hidden="1" customHeight="1" x14ac:dyDescent="0.3"/>
    <row r="52" ht="14.25" hidden="1" customHeight="1" x14ac:dyDescent="0.3"/>
    <row r="53" ht="14.25" hidden="1" customHeight="1" x14ac:dyDescent="0.3"/>
    <row r="54" ht="14.25" hidden="1" customHeight="1" x14ac:dyDescent="0.3"/>
    <row r="55" ht="14.25" hidden="1" customHeight="1" x14ac:dyDescent="0.3"/>
    <row r="56" ht="14.25" hidden="1" customHeight="1" x14ac:dyDescent="0.3"/>
    <row r="57" ht="14.25" hidden="1" customHeight="1" x14ac:dyDescent="0.3"/>
    <row r="58" ht="14.25" hidden="1" customHeight="1" x14ac:dyDescent="0.3"/>
    <row r="59" ht="14.25" hidden="1" customHeight="1" x14ac:dyDescent="0.3"/>
    <row r="60" ht="14.25" hidden="1" customHeight="1" x14ac:dyDescent="0.3"/>
    <row r="61" ht="14.25" hidden="1" customHeight="1" x14ac:dyDescent="0.3"/>
    <row r="62" ht="14.25" hidden="1" customHeight="1" x14ac:dyDescent="0.3"/>
    <row r="63" ht="14.25" hidden="1" customHeight="1" x14ac:dyDescent="0.3"/>
    <row r="64" ht="14.25" hidden="1" customHeight="1" x14ac:dyDescent="0.3"/>
    <row r="65" ht="14.25" hidden="1" customHeight="1" x14ac:dyDescent="0.3"/>
    <row r="66" ht="14.25" hidden="1" customHeight="1" x14ac:dyDescent="0.3"/>
    <row r="67" ht="14.25" hidden="1" customHeight="1" x14ac:dyDescent="0.3"/>
    <row r="68" ht="14.25" hidden="1" customHeight="1" x14ac:dyDescent="0.3"/>
    <row r="69" ht="14.25" hidden="1" customHeight="1" x14ac:dyDescent="0.3"/>
    <row r="70" ht="14.25" hidden="1" customHeight="1" x14ac:dyDescent="0.3"/>
    <row r="71" ht="14.25" hidden="1" customHeight="1" x14ac:dyDescent="0.3"/>
    <row r="72" ht="14.25" hidden="1" customHeight="1" x14ac:dyDescent="0.3"/>
    <row r="73" ht="14.25" hidden="1" customHeight="1" x14ac:dyDescent="0.3"/>
    <row r="74" ht="14.25" hidden="1" customHeight="1" x14ac:dyDescent="0.3"/>
    <row r="75" ht="14.25" hidden="1" customHeight="1" x14ac:dyDescent="0.3"/>
    <row r="76" ht="14.25" hidden="1" customHeight="1" x14ac:dyDescent="0.3"/>
    <row r="77" ht="14.25" hidden="1" customHeight="1" x14ac:dyDescent="0.3"/>
    <row r="78" ht="14.25" hidden="1" customHeight="1" x14ac:dyDescent="0.3"/>
    <row r="79" ht="14.25" hidden="1" customHeight="1" x14ac:dyDescent="0.3"/>
    <row r="80" ht="14.25" hidden="1" customHeight="1" x14ac:dyDescent="0.3"/>
    <row r="81" ht="14.25" hidden="1" customHeight="1" x14ac:dyDescent="0.3"/>
    <row r="82" ht="14.25" hidden="1" customHeight="1" x14ac:dyDescent="0.3"/>
    <row r="83" ht="14.25" hidden="1" customHeight="1" x14ac:dyDescent="0.3"/>
    <row r="84" ht="14.25" hidden="1" customHeight="1" x14ac:dyDescent="0.3"/>
    <row r="85" ht="14.25" hidden="1" customHeight="1" x14ac:dyDescent="0.3"/>
    <row r="86" ht="14.25" hidden="1" customHeight="1" x14ac:dyDescent="0.3"/>
    <row r="87" ht="14.25" hidden="1" customHeight="1" x14ac:dyDescent="0.3"/>
    <row r="88" ht="14.25" hidden="1" customHeight="1" x14ac:dyDescent="0.3"/>
    <row r="89" ht="14.25" hidden="1" customHeight="1" x14ac:dyDescent="0.3"/>
    <row r="90" ht="14.25" hidden="1" customHeight="1" x14ac:dyDescent="0.3"/>
    <row r="91" ht="14.25" hidden="1" customHeight="1" x14ac:dyDescent="0.3"/>
    <row r="92" ht="14.25" hidden="1" customHeight="1" x14ac:dyDescent="0.3"/>
    <row r="93" ht="14.25" hidden="1" customHeight="1" x14ac:dyDescent="0.3"/>
    <row r="94" ht="14.25" hidden="1" customHeight="1" x14ac:dyDescent="0.3"/>
    <row r="95" ht="14.25" hidden="1" customHeight="1" x14ac:dyDescent="0.3"/>
    <row r="96" ht="14.25" hidden="1" customHeight="1" x14ac:dyDescent="0.3"/>
    <row r="97" ht="14.25" hidden="1" customHeight="1" x14ac:dyDescent="0.3"/>
    <row r="98" ht="14.25" hidden="1" customHeight="1" x14ac:dyDescent="0.3"/>
    <row r="99" ht="14.25" hidden="1" customHeight="1" x14ac:dyDescent="0.3"/>
    <row r="100" ht="14.25" hidden="1" customHeight="1" x14ac:dyDescent="0.3"/>
    <row r="101" ht="14.25" hidden="1" customHeight="1" x14ac:dyDescent="0.3"/>
    <row r="102" ht="14.25" hidden="1" customHeight="1" x14ac:dyDescent="0.3"/>
    <row r="103" ht="14.25" hidden="1" customHeight="1" x14ac:dyDescent="0.3"/>
    <row r="104" ht="14.25" hidden="1" customHeight="1" x14ac:dyDescent="0.3"/>
    <row r="105" ht="14.25" hidden="1" customHeight="1" x14ac:dyDescent="0.3"/>
    <row r="106" ht="14.25" hidden="1" customHeight="1" x14ac:dyDescent="0.3"/>
    <row r="107" ht="14.25" hidden="1" customHeight="1" x14ac:dyDescent="0.3"/>
    <row r="108" ht="14.25" hidden="1" customHeight="1" x14ac:dyDescent="0.3"/>
    <row r="109" ht="14.25" hidden="1" customHeight="1" x14ac:dyDescent="0.3"/>
    <row r="110" ht="14.25" hidden="1" customHeight="1" x14ac:dyDescent="0.3"/>
    <row r="111" ht="14.25" hidden="1" customHeight="1" x14ac:dyDescent="0.3"/>
    <row r="112" ht="14.25" hidden="1" customHeight="1" x14ac:dyDescent="0.3"/>
    <row r="113" ht="14.25" hidden="1" customHeight="1" x14ac:dyDescent="0.3"/>
    <row r="114" ht="14.25" hidden="1" customHeight="1" x14ac:dyDescent="0.3"/>
    <row r="115" ht="14.25" hidden="1" customHeight="1" x14ac:dyDescent="0.3"/>
    <row r="116" ht="14.25" hidden="1" customHeight="1" x14ac:dyDescent="0.3"/>
    <row r="117" ht="14.25" hidden="1" customHeight="1" x14ac:dyDescent="0.3"/>
    <row r="118" ht="14.25" hidden="1" customHeight="1" x14ac:dyDescent="0.3"/>
    <row r="119" ht="14.25" hidden="1" customHeight="1" x14ac:dyDescent="0.3"/>
    <row r="120" ht="14.25" hidden="1" customHeight="1" x14ac:dyDescent="0.3"/>
    <row r="121" ht="14.25" hidden="1" customHeight="1" x14ac:dyDescent="0.3"/>
    <row r="122" ht="14.25" hidden="1" customHeight="1" x14ac:dyDescent="0.3"/>
    <row r="123" ht="14.25" hidden="1" customHeight="1" x14ac:dyDescent="0.3"/>
    <row r="124" ht="14.25" hidden="1" customHeight="1" x14ac:dyDescent="0.3"/>
    <row r="125" ht="14.25" hidden="1" customHeight="1" x14ac:dyDescent="0.3"/>
    <row r="126" ht="14.25" hidden="1" customHeight="1" x14ac:dyDescent="0.3"/>
    <row r="127" ht="14.25" hidden="1" customHeight="1" x14ac:dyDescent="0.3"/>
    <row r="128" ht="14.25" hidden="1" customHeight="1" x14ac:dyDescent="0.3"/>
    <row r="129" ht="14.25" hidden="1" customHeight="1" x14ac:dyDescent="0.3"/>
    <row r="130" ht="14.25" hidden="1" customHeight="1" x14ac:dyDescent="0.3"/>
    <row r="131" ht="14.25" hidden="1" customHeight="1" x14ac:dyDescent="0.3"/>
    <row r="132" ht="14.25" hidden="1" customHeight="1" x14ac:dyDescent="0.3"/>
    <row r="133" ht="14.25" hidden="1" customHeight="1" x14ac:dyDescent="0.3"/>
    <row r="134" ht="14.25" hidden="1" customHeight="1" x14ac:dyDescent="0.3"/>
    <row r="135" ht="14.25" hidden="1" customHeight="1" x14ac:dyDescent="0.3"/>
    <row r="136" ht="14.25" hidden="1" customHeight="1" x14ac:dyDescent="0.3"/>
    <row r="137" ht="14.25" hidden="1" customHeight="1" x14ac:dyDescent="0.3"/>
    <row r="138" ht="14.25" hidden="1" customHeight="1" x14ac:dyDescent="0.3"/>
    <row r="139" ht="14.25" hidden="1" customHeight="1" x14ac:dyDescent="0.3"/>
    <row r="140" ht="14.25" hidden="1" customHeight="1" x14ac:dyDescent="0.3"/>
    <row r="141" ht="14.25" hidden="1" customHeight="1" x14ac:dyDescent="0.3"/>
    <row r="142" ht="14.25" hidden="1" customHeight="1" x14ac:dyDescent="0.3"/>
    <row r="143" ht="14.25" hidden="1" customHeight="1" x14ac:dyDescent="0.3"/>
    <row r="144" ht="14.25" hidden="1" customHeight="1" x14ac:dyDescent="0.3"/>
    <row r="145" ht="14.25" hidden="1" customHeight="1" x14ac:dyDescent="0.3"/>
    <row r="146" ht="14.25" hidden="1" customHeight="1" x14ac:dyDescent="0.3"/>
    <row r="147" ht="14.25" hidden="1" customHeight="1" x14ac:dyDescent="0.3"/>
    <row r="148" ht="14.25" hidden="1" customHeight="1" x14ac:dyDescent="0.3"/>
    <row r="149" ht="14.25" hidden="1" customHeight="1" x14ac:dyDescent="0.3"/>
    <row r="150" ht="14.25" hidden="1" customHeight="1" x14ac:dyDescent="0.3"/>
    <row r="151" ht="14.25" hidden="1" customHeight="1" x14ac:dyDescent="0.3"/>
    <row r="152" ht="14.25" hidden="1" customHeight="1" x14ac:dyDescent="0.3"/>
    <row r="153" ht="14.25" hidden="1" customHeight="1" x14ac:dyDescent="0.3"/>
    <row r="154" ht="14.25" hidden="1" customHeight="1" x14ac:dyDescent="0.3"/>
    <row r="155" ht="14.25" hidden="1" customHeight="1" x14ac:dyDescent="0.3"/>
    <row r="156" ht="14.25" hidden="1" customHeight="1" x14ac:dyDescent="0.3"/>
    <row r="157" ht="14.25" hidden="1" customHeight="1" x14ac:dyDescent="0.3"/>
    <row r="158" ht="14.25" hidden="1" customHeight="1" x14ac:dyDescent="0.3"/>
    <row r="159" ht="14.25" hidden="1" customHeight="1" x14ac:dyDescent="0.3"/>
    <row r="160" ht="14.25" hidden="1" customHeight="1" x14ac:dyDescent="0.3"/>
    <row r="161" ht="14.25" hidden="1" customHeight="1" x14ac:dyDescent="0.3"/>
    <row r="162" ht="14.25" hidden="1" customHeight="1" x14ac:dyDescent="0.3"/>
    <row r="163" ht="14.25" hidden="1" customHeight="1" x14ac:dyDescent="0.3"/>
    <row r="164" ht="14.25" hidden="1" customHeight="1" x14ac:dyDescent="0.3"/>
    <row r="165" ht="14.25" hidden="1" customHeight="1" x14ac:dyDescent="0.3"/>
    <row r="166" ht="14.25" hidden="1" customHeight="1" x14ac:dyDescent="0.3"/>
    <row r="167" ht="14.25" hidden="1" customHeight="1" x14ac:dyDescent="0.3"/>
    <row r="168" ht="14.25" hidden="1" customHeight="1" x14ac:dyDescent="0.3"/>
    <row r="169" ht="14.25" hidden="1" customHeight="1" x14ac:dyDescent="0.3"/>
    <row r="170" ht="14.25" hidden="1" customHeight="1" x14ac:dyDescent="0.3"/>
    <row r="171" ht="14.25" hidden="1" customHeight="1" x14ac:dyDescent="0.3"/>
    <row r="172" ht="14.25" hidden="1" customHeight="1" x14ac:dyDescent="0.3"/>
    <row r="173" ht="14.25" hidden="1" customHeight="1" x14ac:dyDescent="0.3"/>
    <row r="174" ht="14.25" hidden="1" customHeight="1" x14ac:dyDescent="0.3"/>
    <row r="175" ht="14.25" hidden="1" customHeight="1" x14ac:dyDescent="0.3"/>
    <row r="176" ht="14.25" hidden="1" customHeight="1" x14ac:dyDescent="0.3"/>
    <row r="177" ht="14.25" hidden="1" customHeight="1" x14ac:dyDescent="0.3"/>
    <row r="178" ht="14.25" hidden="1" customHeight="1" x14ac:dyDescent="0.3"/>
    <row r="179" ht="14.25" hidden="1" customHeight="1" x14ac:dyDescent="0.3"/>
    <row r="180" ht="14.25" hidden="1" customHeight="1" x14ac:dyDescent="0.3"/>
    <row r="181" ht="14.25" hidden="1" customHeight="1" x14ac:dyDescent="0.3"/>
    <row r="182" ht="14.25" hidden="1" customHeight="1" x14ac:dyDescent="0.3"/>
    <row r="183" ht="14.25" hidden="1" customHeight="1" x14ac:dyDescent="0.3"/>
    <row r="184" ht="14.25" hidden="1" customHeight="1" x14ac:dyDescent="0.3"/>
    <row r="185" ht="14.25" hidden="1" customHeight="1" x14ac:dyDescent="0.3"/>
    <row r="186" ht="14.25" hidden="1" customHeight="1" x14ac:dyDescent="0.3"/>
    <row r="187" ht="14.25" hidden="1" customHeight="1" x14ac:dyDescent="0.3"/>
    <row r="188" ht="14.25" hidden="1" customHeight="1" x14ac:dyDescent="0.3"/>
    <row r="189" ht="14.25" hidden="1" customHeight="1" x14ac:dyDescent="0.3"/>
    <row r="190" ht="14.25" hidden="1" customHeight="1" x14ac:dyDescent="0.3"/>
    <row r="191" ht="14.25" hidden="1" customHeight="1" x14ac:dyDescent="0.3"/>
    <row r="192" ht="14.25" hidden="1" customHeight="1" x14ac:dyDescent="0.3"/>
    <row r="193" ht="14.25" hidden="1" customHeight="1" x14ac:dyDescent="0.3"/>
    <row r="194" ht="14.25" hidden="1" customHeight="1" x14ac:dyDescent="0.3"/>
    <row r="195" ht="14.25" hidden="1" customHeight="1" x14ac:dyDescent="0.3"/>
    <row r="196" ht="14.25" hidden="1" customHeight="1" x14ac:dyDescent="0.3"/>
    <row r="197" ht="14.25" hidden="1" customHeight="1" x14ac:dyDescent="0.3"/>
    <row r="198" ht="14.25" hidden="1" customHeight="1" x14ac:dyDescent="0.3"/>
    <row r="199" ht="14.25" hidden="1" customHeight="1" x14ac:dyDescent="0.3"/>
    <row r="200" ht="14.25" hidden="1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08080"/>
  </sheetPr>
  <dimension ref="A1:E29"/>
  <sheetViews>
    <sheetView showGridLines="0" zoomScaleNormal="100" workbookViewId="0">
      <pane ySplit="2" topLeftCell="A14" activePane="bottomLeft" state="frozen"/>
      <selection pane="bottomLeft" activeCell="B40" sqref="B40"/>
    </sheetView>
  </sheetViews>
  <sheetFormatPr defaultColWidth="8.6640625" defaultRowHeight="14.4" x14ac:dyDescent="0.3"/>
  <cols>
    <col min="1" max="1" width="22.21875" customWidth="1"/>
    <col min="2" max="2" width="111.109375" customWidth="1"/>
    <col min="3" max="5" width="11.5546875" hidden="1" customWidth="1"/>
  </cols>
  <sheetData>
    <row r="1" spans="1:5" ht="24" customHeight="1" x14ac:dyDescent="0.3">
      <c r="A1" s="943" t="s">
        <v>1130</v>
      </c>
      <c r="B1" s="944" t="s">
        <v>1158</v>
      </c>
      <c r="C1" s="836"/>
      <c r="D1" s="836"/>
      <c r="E1" s="790"/>
    </row>
    <row r="2" spans="1:5" ht="18" customHeight="1" x14ac:dyDescent="0.3">
      <c r="A2" s="945" t="s">
        <v>1159</v>
      </c>
      <c r="B2" s="946"/>
      <c r="C2" s="837"/>
      <c r="D2" s="837"/>
      <c r="E2" s="318"/>
    </row>
    <row r="3" spans="1:5" ht="22.05" customHeight="1" x14ac:dyDescent="0.3">
      <c r="A3" s="947" t="s">
        <v>1160</v>
      </c>
      <c r="B3" s="948"/>
      <c r="C3" s="828"/>
      <c r="D3" s="828"/>
      <c r="E3" s="829"/>
    </row>
    <row r="4" spans="1:5" x14ac:dyDescent="0.3">
      <c r="A4" s="954" t="s">
        <v>77</v>
      </c>
      <c r="B4" s="949" t="s">
        <v>1132</v>
      </c>
      <c r="C4" s="838"/>
      <c r="D4" s="838"/>
      <c r="E4" s="839"/>
    </row>
    <row r="5" spans="1:5" x14ac:dyDescent="0.3">
      <c r="A5" s="955" t="s">
        <v>78</v>
      </c>
      <c r="B5" s="950" t="s">
        <v>1133</v>
      </c>
      <c r="C5" s="840"/>
      <c r="D5" s="840"/>
      <c r="E5" s="841"/>
    </row>
    <row r="6" spans="1:5" x14ac:dyDescent="0.3">
      <c r="A6" s="954" t="s">
        <v>79</v>
      </c>
      <c r="B6" s="949" t="s">
        <v>1134</v>
      </c>
      <c r="C6" s="842"/>
      <c r="D6" s="842"/>
      <c r="E6" s="329"/>
    </row>
    <row r="7" spans="1:5" x14ac:dyDescent="0.3">
      <c r="A7" s="955" t="s">
        <v>80</v>
      </c>
      <c r="B7" s="950" t="s">
        <v>1135</v>
      </c>
      <c r="C7" s="831"/>
      <c r="D7" s="831"/>
      <c r="E7" s="327"/>
    </row>
    <row r="8" spans="1:5" x14ac:dyDescent="0.3">
      <c r="A8" s="954" t="s">
        <v>553</v>
      </c>
      <c r="B8" s="949" t="s">
        <v>1136</v>
      </c>
      <c r="C8" s="842"/>
      <c r="D8" s="842"/>
      <c r="E8" s="329"/>
    </row>
    <row r="9" spans="1:5" x14ac:dyDescent="0.3">
      <c r="A9" s="955" t="s">
        <v>1137</v>
      </c>
      <c r="B9" s="950" t="s">
        <v>1138</v>
      </c>
      <c r="C9" s="831"/>
      <c r="D9" s="831"/>
      <c r="E9" s="327"/>
    </row>
    <row r="10" spans="1:5" x14ac:dyDescent="0.3">
      <c r="A10" s="954" t="s">
        <v>584</v>
      </c>
      <c r="B10" s="949" t="s">
        <v>1139</v>
      </c>
      <c r="C10" s="842"/>
      <c r="D10" s="842"/>
      <c r="E10" s="329"/>
    </row>
    <row r="11" spans="1:5" x14ac:dyDescent="0.3">
      <c r="A11" s="955" t="s">
        <v>84</v>
      </c>
      <c r="B11" s="950" t="s">
        <v>1140</v>
      </c>
      <c r="C11" s="840"/>
      <c r="D11" s="840"/>
      <c r="E11" s="841"/>
    </row>
    <row r="12" spans="1:5" x14ac:dyDescent="0.3">
      <c r="A12" s="954" t="s">
        <v>175</v>
      </c>
      <c r="B12" s="949" t="s">
        <v>1141</v>
      </c>
      <c r="C12" s="838"/>
      <c r="D12" s="838"/>
      <c r="E12" s="839"/>
    </row>
    <row r="13" spans="1:5" x14ac:dyDescent="0.3">
      <c r="A13" s="956" t="s">
        <v>1161</v>
      </c>
      <c r="B13" s="951"/>
      <c r="C13" s="831"/>
      <c r="D13" s="831"/>
      <c r="E13" s="327"/>
    </row>
    <row r="14" spans="1:5" x14ac:dyDescent="0.3">
      <c r="A14" s="954" t="s">
        <v>1142</v>
      </c>
      <c r="B14" s="949" t="s">
        <v>1143</v>
      </c>
      <c r="C14" s="842"/>
      <c r="D14" s="842"/>
      <c r="E14" s="329"/>
    </row>
    <row r="15" spans="1:5" x14ac:dyDescent="0.3">
      <c r="A15" s="955" t="s">
        <v>1144</v>
      </c>
      <c r="B15" s="950" t="s">
        <v>1145</v>
      </c>
      <c r="C15" s="831"/>
      <c r="D15" s="831"/>
      <c r="E15" s="327"/>
    </row>
    <row r="16" spans="1:5" x14ac:dyDescent="0.3">
      <c r="A16" s="956" t="s">
        <v>1146</v>
      </c>
      <c r="B16" s="951"/>
      <c r="C16" s="842"/>
      <c r="D16" s="842"/>
      <c r="E16" s="329"/>
    </row>
    <row r="17" spans="1:5" ht="4.05" customHeight="1" x14ac:dyDescent="0.3">
      <c r="A17" s="957"/>
      <c r="B17" s="952"/>
      <c r="C17" s="843"/>
      <c r="D17" s="843"/>
      <c r="E17" s="358"/>
    </row>
    <row r="18" spans="1:5" x14ac:dyDescent="0.3">
      <c r="A18" s="954" t="s">
        <v>1162</v>
      </c>
      <c r="B18" s="949" t="s">
        <v>1147</v>
      </c>
      <c r="C18" s="842"/>
      <c r="D18" s="842"/>
      <c r="E18" s="329"/>
    </row>
    <row r="19" spans="1:5" x14ac:dyDescent="0.3">
      <c r="A19" s="955" t="s">
        <v>1163</v>
      </c>
      <c r="B19" s="950" t="s">
        <v>1148</v>
      </c>
      <c r="C19" s="831"/>
      <c r="D19" s="831"/>
      <c r="E19" s="327"/>
    </row>
    <row r="20" spans="1:5" x14ac:dyDescent="0.3">
      <c r="A20" s="954" t="s">
        <v>337</v>
      </c>
      <c r="B20" s="949" t="s">
        <v>1149</v>
      </c>
      <c r="C20" s="842"/>
      <c r="D20" s="842"/>
      <c r="E20" s="329"/>
    </row>
    <row r="21" spans="1:5" x14ac:dyDescent="0.3">
      <c r="A21" s="955" t="s">
        <v>1164</v>
      </c>
      <c r="B21" s="950" t="s">
        <v>1150</v>
      </c>
      <c r="C21" s="831"/>
      <c r="D21" s="831"/>
      <c r="E21" s="327"/>
    </row>
    <row r="22" spans="1:5" x14ac:dyDescent="0.3">
      <c r="A22" s="954" t="s">
        <v>308</v>
      </c>
      <c r="B22" s="949" t="s">
        <v>1151</v>
      </c>
      <c r="C22" s="840"/>
      <c r="D22" s="840"/>
      <c r="E22" s="841"/>
    </row>
    <row r="23" spans="1:5" x14ac:dyDescent="0.3">
      <c r="A23" s="956" t="s">
        <v>1152</v>
      </c>
      <c r="B23" s="951"/>
      <c r="C23" s="838"/>
      <c r="D23" s="838"/>
      <c r="E23" s="839"/>
    </row>
    <row r="24" spans="1:5" ht="4.05" customHeight="1" x14ac:dyDescent="0.3">
      <c r="A24" s="957"/>
      <c r="B24" s="952"/>
      <c r="C24" s="844"/>
      <c r="D24" s="844"/>
      <c r="E24" s="524"/>
    </row>
    <row r="25" spans="1:5" x14ac:dyDescent="0.3">
      <c r="A25" s="958" t="s">
        <v>14</v>
      </c>
      <c r="B25" s="953" t="s">
        <v>1153</v>
      </c>
      <c r="C25" s="843"/>
      <c r="D25" s="843"/>
      <c r="E25" s="358"/>
    </row>
    <row r="26" spans="1:5" x14ac:dyDescent="0.3">
      <c r="A26" s="955" t="s">
        <v>16</v>
      </c>
      <c r="B26" s="950" t="s">
        <v>1154</v>
      </c>
      <c r="C26" s="843"/>
      <c r="D26" s="843"/>
      <c r="E26" s="358"/>
    </row>
    <row r="27" spans="1:5" x14ac:dyDescent="0.3">
      <c r="A27" s="958" t="s">
        <v>1165</v>
      </c>
      <c r="B27" s="953" t="s">
        <v>1155</v>
      </c>
      <c r="C27" s="843"/>
      <c r="D27" s="843"/>
      <c r="E27" s="358"/>
    </row>
    <row r="28" spans="1:5" x14ac:dyDescent="0.3">
      <c r="A28" s="955" t="s">
        <v>1166</v>
      </c>
      <c r="B28" s="950" t="s">
        <v>1156</v>
      </c>
      <c r="C28" s="843"/>
      <c r="D28" s="843"/>
      <c r="E28" s="358"/>
    </row>
    <row r="29" spans="1:5" x14ac:dyDescent="0.3">
      <c r="A29" s="958" t="s">
        <v>1167</v>
      </c>
      <c r="B29" s="953" t="s">
        <v>1157</v>
      </c>
      <c r="C29" s="843"/>
      <c r="D29" s="843"/>
      <c r="E29" s="358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91</vt:i4>
      </vt:variant>
    </vt:vector>
  </HeadingPairs>
  <TitlesOfParts>
    <vt:vector size="111" baseType="lpstr">
      <vt:lpstr>Cover Page</vt:lpstr>
      <vt:lpstr>Dashboard</vt:lpstr>
      <vt:lpstr>FY29 Covenant Compliance (TEV)</vt:lpstr>
      <vt:lpstr>Covenant Tracker</vt:lpstr>
      <vt:lpstr>Lender Summary</vt:lpstr>
      <vt:lpstr>Facility Master</vt:lpstr>
      <vt:lpstr>Term Loans</vt:lpstr>
      <vt:lpstr>Working Capital Facilities</vt:lpstr>
      <vt:lpstr>Non-Fund Based Facilities</vt:lpstr>
      <vt:lpstr>Repayment Schedule</vt:lpstr>
      <vt:lpstr>Interest Schedule</vt:lpstr>
      <vt:lpstr>Debt Pricing Table</vt:lpstr>
      <vt:lpstr>Security &amp; Charge Matrix</vt:lpstr>
      <vt:lpstr>Utilization Tracker</vt:lpstr>
      <vt:lpstr>Renewal &amp; Review Calendar</vt:lpstr>
      <vt:lpstr>Scenario Analysis</vt:lpstr>
      <vt:lpstr>TEV Inputs</vt:lpstr>
      <vt:lpstr>Instructions &amp; Assumptions</vt:lpstr>
      <vt:lpstr>Market-Practice Assumptions</vt:lpstr>
      <vt:lpstr>Notes</vt:lpstr>
      <vt:lpstr>AdjustedConsortiumDebt</vt:lpstr>
      <vt:lpstr>AsOfDate</vt:lpstr>
      <vt:lpstr>ATNW_Active</vt:lpstr>
      <vt:lpstr>Bucket0_Memo</vt:lpstr>
      <vt:lpstr>Bucket1_DebtTotal</vt:lpstr>
      <vt:lpstr>Bucket1_Interest</vt:lpstr>
      <vt:lpstr>Bucket2_Commission</vt:lpstr>
      <vt:lpstr>Bucket3_Interest</vt:lpstr>
      <vt:lpstr>Bucket4_Cost</vt:lpstr>
      <vt:lpstr>CA_Active</vt:lpstr>
      <vt:lpstr>CL_Active</vt:lpstr>
      <vt:lpstr>CovenantBreached</vt:lpstr>
      <vt:lpstr>CovenantCompliant</vt:lpstr>
      <vt:lpstr>CovenantCount</vt:lpstr>
      <vt:lpstr>CovenantNearBreach</vt:lpstr>
      <vt:lpstr>CovenantPending</vt:lpstr>
      <vt:lpstr>DaysInYear</vt:lpstr>
      <vt:lpstr>DCCO_Revised</vt:lpstr>
      <vt:lpstr>EBITDA_Active</vt:lpstr>
      <vt:lpstr>EBLR_IDFC</vt:lpstr>
      <vt:lpstr>EBLR_YBL</vt:lpstr>
      <vt:lpstr>FA_Active</vt:lpstr>
      <vt:lpstr>FBMainsTotal</vt:lpstr>
      <vt:lpstr>FDBackedTotal</vt:lpstr>
      <vt:lpstr>FDRate_HDFC</vt:lpstr>
      <vt:lpstr>FinBasis</vt:lpstr>
      <vt:lpstr>FixedComm_Zero</vt:lpstr>
      <vt:lpstr>FX_USD_INR</vt:lpstr>
      <vt:lpstr>HedgeMemo</vt:lpstr>
      <vt:lpstr>IB_TL_Maturity</vt:lpstr>
      <vt:lpstr>IB_TL_PrincOS</vt:lpstr>
      <vt:lpstr>IB_TL_RepStart</vt:lpstr>
      <vt:lpstr>IB_TL_SNo</vt:lpstr>
      <vt:lpstr>ICICI_CC_SNo</vt:lpstr>
      <vt:lpstr>ICICI_TL_Maturity</vt:lpstr>
      <vt:lpstr>ICICI_TL_PrincOS</vt:lpstr>
      <vt:lpstr>ICICI_TL_RepStart</vt:lpstr>
      <vt:lpstr>ICICI_TL_SNo</vt:lpstr>
      <vt:lpstr>ICICI_TL_Takeover</vt:lpstr>
      <vt:lpstr>IDFC_TL_Maturity</vt:lpstr>
      <vt:lpstr>IDFC_TL_PrincOS</vt:lpstr>
      <vt:lpstr>IDFC_TL_RepStart</vt:lpstr>
      <vt:lpstr>IDFC_TL_SNo</vt:lpstr>
      <vt:lpstr>IMCLR_ICICI_3M</vt:lpstr>
      <vt:lpstr>IMCLR_ICICI_6M</vt:lpstr>
      <vt:lpstr>IntExp_Active</vt:lpstr>
      <vt:lpstr>MCLR_UBI_1Y</vt:lpstr>
      <vt:lpstr>MutAgreed_Rate</vt:lpstr>
      <vt:lpstr>NA_Zero</vt:lpstr>
      <vt:lpstr>NFBContingent</vt:lpstr>
      <vt:lpstr>NFBMainsTotal</vt:lpstr>
      <vt:lpstr>PortfolioCompliancePct</vt:lpstr>
      <vt:lpstr>PrincRep_Active</vt:lpstr>
      <vt:lpstr>'Cover Page'!Print_Area</vt:lpstr>
      <vt:lpstr>Dashboard!Print_Area</vt:lpstr>
      <vt:lpstr>'FY29 Covenant Compliance (TEV)'!Print_Area</vt:lpstr>
      <vt:lpstr>'Lender Summary'!Print_Area</vt:lpstr>
      <vt:lpstr>PromStake_Active</vt:lpstr>
      <vt:lpstr>Rating_Active</vt:lpstr>
      <vt:lpstr>RBL_TL_Maturity</vt:lpstr>
      <vt:lpstr>RBL_TL_PrincOS</vt:lpstr>
      <vt:lpstr>RBL_TL_SNo</vt:lpstr>
      <vt:lpstr>Repo_HDFC</vt:lpstr>
      <vt:lpstr>RepoRate</vt:lpstr>
      <vt:lpstr>SanctionedDebt</vt:lpstr>
      <vt:lpstr>SchedTLRep_Active</vt:lpstr>
      <vt:lpstr>SecuredDebt_Active</vt:lpstr>
      <vt:lpstr>SOFR_3M</vt:lpstr>
      <vt:lpstr>TaxPaid_Active</vt:lpstr>
      <vt:lpstr>TBD_Rate</vt:lpstr>
      <vt:lpstr>TermDebt_Active</vt:lpstr>
      <vt:lpstr>TNW_Active</vt:lpstr>
      <vt:lpstr>TOL_Active</vt:lpstr>
      <vt:lpstr>Total_TL_PrincOS</vt:lpstr>
      <vt:lpstr>TotalDebt_Active</vt:lpstr>
      <vt:lpstr>TotalIntComm</vt:lpstr>
      <vt:lpstr>UBI_RTL1_Maturity</vt:lpstr>
      <vt:lpstr>UBI_RTL1_PrincOS</vt:lpstr>
      <vt:lpstr>UBI_RTL1_RepStart</vt:lpstr>
      <vt:lpstr>UBI_RTL1_SNo</vt:lpstr>
      <vt:lpstr>UBI_RTL2_Maturity</vt:lpstr>
      <vt:lpstr>UBI_RTL2_PrincOS</vt:lpstr>
      <vt:lpstr>UBI_RTL2_RepStart</vt:lpstr>
      <vt:lpstr>UBI_RTL2_SNo</vt:lpstr>
      <vt:lpstr>UncommittedMemo</vt:lpstr>
      <vt:lpstr>UseFullUtil</vt:lpstr>
      <vt:lpstr>WtAvgDebtCost</vt:lpstr>
      <vt:lpstr>YBL_TL_Maturity</vt:lpstr>
      <vt:lpstr>YBL_TL_PrincOS</vt:lpstr>
      <vt:lpstr>YBL_TL_RepStart</vt:lpstr>
      <vt:lpstr>YBL_TL_SNo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Divyanshu  Vatsa</cp:lastModifiedBy>
  <dcterms:modified xsi:type="dcterms:W3CDTF">2026-05-25T07:17:07Z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2026-05-12T09:39:08Z</dcterms:created>
  <dc:creator>openpyxl</dc:creator>
  <dc:description/>
  <dc:language>en-US</dc:language>
  <cp:lastModifiedBy>Divyanshu  Vatsa</cp:lastModifiedBy>
  <dcterms:modified xsi:type="dcterms:W3CDTF">2026-05-25T06:28:06Z</dcterms:modified>
  <cp:revision>0</cp:revision>
  <dc:subject/>
  <dc:title/>
</cp:coreProperties>
</file>