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 Page" sheetId="1" state="visible" r:id="rId3"/>
    <sheet name="Dashboard" sheetId="2" state="visible" r:id="rId4"/>
    <sheet name="FY29 Covenant Compliance (TEV)" sheetId="3" state="visible" r:id="rId5"/>
    <sheet name="Covenant Tracker" sheetId="4" state="visible" r:id="rId6"/>
    <sheet name="Lender Summary" sheetId="5" state="visible" r:id="rId7"/>
    <sheet name="Facility Master" sheetId="6" state="visible" r:id="rId8"/>
    <sheet name="Term Loans" sheetId="7" state="visible" r:id="rId9"/>
    <sheet name="Working Capital Facilities" sheetId="8" state="visible" r:id="rId10"/>
    <sheet name="Non-Fund Based Facilities" sheetId="9" state="visible" r:id="rId11"/>
    <sheet name="Repayment Schedule" sheetId="10" state="visible" r:id="rId12"/>
    <sheet name="Interest Schedule" sheetId="11" state="visible" r:id="rId13"/>
    <sheet name="Debt Pricing Table" sheetId="12" state="visible" r:id="rId14"/>
    <sheet name="Security &amp; Charge Matrix" sheetId="13" state="visible" r:id="rId15"/>
    <sheet name="Utilization Tracker" sheetId="14" state="visible" r:id="rId16"/>
    <sheet name="Renewal &amp; Review Calendar" sheetId="15" state="visible" r:id="rId17"/>
    <sheet name="Management Flags" sheetId="16" state="visible" r:id="rId18"/>
    <sheet name="Scenario Analysis" sheetId="17" state="visible" r:id="rId19"/>
    <sheet name="TEV Inputs" sheetId="18" state="visible" r:id="rId20"/>
    <sheet name="Instructions &amp; Assumptions" sheetId="19" state="visible" r:id="rId21"/>
    <sheet name="Market-Practice Assumptions" sheetId="20" state="visible" r:id="rId22"/>
    <sheet name="Validation &amp; Integrity" sheetId="21" state="visible" r:id="rId23"/>
    <sheet name="Notes" sheetId="22" state="visible" r:id="rId24"/>
  </sheets>
  <definedNames>
    <definedName function="false" hidden="false" localSheetId="0" name="_xlnm.Print_Area" vbProcedure="false">'Cover Page'!$A$1:$C$32</definedName>
    <definedName function="false" hidden="false" localSheetId="1" name="_xlnm.Print_Area" vbProcedure="false">Dashboard!$A$1:$Q$67</definedName>
    <definedName function="false" hidden="false" localSheetId="2" name="_xlnm.Print_Area" vbProcedure="false">'FY29 Covenant Compliance (TEV)'!$A$1:$L$74</definedName>
    <definedName function="false" hidden="false" localSheetId="4" name="_xlnm.Print_Area" vbProcedure="false">'Lender Summary'!$A$1:$G$50</definedName>
    <definedName function="false" hidden="false" localSheetId="15" name="_xlnm.Print_Area" vbProcedure="false">'Management Flags'!$A$1:$I$28</definedName>
    <definedName function="false" hidden="false" name="AdjustedConsortiumDebt" vbProcedure="false">'Lender Summary'!$B$28</definedName>
    <definedName function="false" hidden="false" name="AsOfDate" vbProcedure="false">'Instructions &amp; Assumptions'!$B$5</definedName>
    <definedName function="false" hidden="false" name="ATNW_Active" vbProcedure="false">'Instructions &amp; Assumptions'!$B$34</definedName>
    <definedName function="false" hidden="false" name="Bucket0_Memo" vbProcedure="false">'Interest Schedule'!$D$57</definedName>
    <definedName function="false" hidden="false" name="Bucket1_DebtTotal" vbProcedure="false">'Interest Schedule'!$C$52</definedName>
    <definedName function="false" hidden="false" name="Bucket1_Interest" vbProcedure="false">'Interest Schedule'!$D$52</definedName>
    <definedName function="false" hidden="false" name="Bucket2_Commission" vbProcedure="false">'Interest Schedule'!$D$53</definedName>
    <definedName function="false" hidden="false" name="Bucket3_Interest" vbProcedure="false">'Interest Schedule'!$D$54</definedName>
    <definedName function="false" hidden="false" name="Bucket4_Cost" vbProcedure="false">'Interest Schedule'!$D$56</definedName>
    <definedName function="false" hidden="false" name="CA_Active" vbProcedure="false">'Instructions &amp; Assumptions'!$B$35</definedName>
    <definedName function="false" hidden="false" name="CL_Active" vbProcedure="false">'Instructions &amp; Assumptions'!$B$36</definedName>
    <definedName function="false" hidden="false" name="CovenantBreached" vbProcedure="false">'Covenant Tracker'!$I$53</definedName>
    <definedName function="false" hidden="false" name="CovenantCompliant" vbProcedure="false">'Covenant Tracker'!$I$51</definedName>
    <definedName function="false" hidden="false" name="CovenantCount" vbProcedure="false">'Covenant Tracker'!$I$50</definedName>
    <definedName function="false" hidden="false" name="CovenantNearBreach" vbProcedure="false">'Covenant Tracker'!$I$52</definedName>
    <definedName function="false" hidden="false" name="CovenantPending" vbProcedure="false">'Covenant Tracker'!$I$54</definedName>
    <definedName function="false" hidden="false" name="DaysInYear" vbProcedure="false">'Instructions &amp; Assumptions'!$B$8</definedName>
    <definedName function="false" hidden="false" name="DCCO_Revised" vbProcedure="false">'Instructions &amp; Assumptions'!$B$10</definedName>
    <definedName function="false" hidden="false" name="EBITDA_Active" vbProcedure="false">'Instructions &amp; Assumptions'!$B$30</definedName>
    <definedName function="false" hidden="false" name="EBLR_IDFC" vbProcedure="false">'Instructions &amp; Assumptions'!$B$16</definedName>
    <definedName function="false" hidden="false" name="EBLR_YBL" vbProcedure="false">'Instructions &amp; Assumptions'!$B$15</definedName>
    <definedName function="false" hidden="false" name="FA_Active" vbProcedure="false">'Instructions &amp; Assumptions'!$B$39</definedName>
    <definedName function="false" hidden="false" name="FBMainsTotal" vbProcedure="false">'Lender Summary'!$B$21</definedName>
    <definedName function="false" hidden="false" name="FDBackedTotal" vbProcedure="false">'Lender Summary'!$B$24</definedName>
    <definedName function="false" hidden="false" name="FDRate_HDFC" vbProcedure="false">'Instructions &amp; Assumptions'!$B$21</definedName>
    <definedName function="false" hidden="false" name="FinBasis" vbProcedure="false">'Instructions &amp; Assumptions'!$B$9</definedName>
    <definedName function="false" hidden="false" name="FixedComm_Zero" vbProcedure="false">'Instructions &amp; Assumptions'!$B$25</definedName>
    <definedName function="false" hidden="false" name="FX_USD_INR" vbProcedure="false">'Instructions &amp; Assumptions'!$B$6</definedName>
    <definedName function="false" hidden="false" name="HedgeMemo" vbProcedure="false">'Lender Summary'!$B$26</definedName>
    <definedName function="false" hidden="false" name="IB_TL_Maturity" vbProcedure="false">'Instructions &amp; Assumptions'!$B$67</definedName>
    <definedName function="false" hidden="false" name="IB_TL_PrincOS" vbProcedure="false">'Repayment Schedule'!$D$75</definedName>
    <definedName function="false" hidden="false" name="IB_TL_RepStart" vbProcedure="false">'Instructions &amp; Assumptions'!$B$68</definedName>
    <definedName function="false" hidden="false" name="IB_TL_SNo" vbProcedure="false">'Instructions &amp; Assumptions'!$B$81</definedName>
    <definedName function="false" hidden="false" name="ICICI_CC_SNo" vbProcedure="false">'Instructions &amp; Assumptions'!$B$85</definedName>
    <definedName function="false" hidden="false" name="ICICI_TL_Maturity" vbProcedure="false">'Instructions &amp; Assumptions'!$B$74</definedName>
    <definedName function="false" hidden="false" name="ICICI_TL_PrincOS" vbProcedure="false">'Repayment Schedule'!$D$79</definedName>
    <definedName function="false" hidden="false" name="ICICI_TL_RepStart" vbProcedure="false">'Instructions &amp; Assumptions'!$B$75</definedName>
    <definedName function="false" hidden="false" name="ICICI_TL_SNo" vbProcedure="false">'Instructions &amp; Assumptions'!$B$86</definedName>
    <definedName function="false" hidden="false" name="ICICI_TL_Takeover" vbProcedure="false">'Lender Summary'!$B$27</definedName>
    <definedName function="false" hidden="false" name="IDFC_TL_Maturity" vbProcedure="false">'Instructions &amp; Assumptions'!$B$72</definedName>
    <definedName function="false" hidden="false" name="IDFC_TL_PrincOS" vbProcedure="false">'Repayment Schedule'!$D$78</definedName>
    <definedName function="false" hidden="false" name="IDFC_TL_RepStart" vbProcedure="false">'Instructions &amp; Assumptions'!$B$73</definedName>
    <definedName function="false" hidden="false" name="IDFC_TL_SNo" vbProcedure="false">'Instructions &amp; Assumptions'!$B$84</definedName>
    <definedName function="false" hidden="false" name="IMCLR_ICICI_3M" vbProcedure="false">'Instructions &amp; Assumptions'!$B$17</definedName>
    <definedName function="false" hidden="false" name="IMCLR_ICICI_6M" vbProcedure="false">'Instructions &amp; Assumptions'!$B$18</definedName>
    <definedName function="false" hidden="false" name="IntExp_Active" vbProcedure="false">'Instructions &amp; Assumptions'!$B$38</definedName>
    <definedName function="false" hidden="false" name="MCLR_UBI_1Y" vbProcedure="false">'Instructions &amp; Assumptions'!$B$14</definedName>
    <definedName function="false" hidden="false" name="MutAgreed_Rate" vbProcedure="false">'Instructions &amp; Assumptions'!$B$24</definedName>
    <definedName function="false" hidden="false" name="NA_Zero" vbProcedure="false">'Instructions &amp; Assumptions'!$B$26</definedName>
    <definedName function="false" hidden="false" name="NFBContingent" vbProcedure="false">'Lender Summary'!$B$23</definedName>
    <definedName function="false" hidden="false" name="NFBMainsTotal" vbProcedure="false">'Lender Summary'!$B$22</definedName>
    <definedName function="false" hidden="false" name="PortfolioCompliancePct" vbProcedure="false">'Covenant Tracker'!$I$55</definedName>
    <definedName function="false" hidden="false" name="PrincRep_Active" vbProcedure="false">'Instructions &amp; Assumptions'!$B$43</definedName>
    <definedName function="false" hidden="false" name="PromStake_Active" vbProcedure="false">'Instructions &amp; Assumptions'!$B$42</definedName>
    <definedName function="false" hidden="false" name="Rating_Active" vbProcedure="false">'Instructions &amp; Assumptions'!$B$41</definedName>
    <definedName function="false" hidden="false" name="RBL_TL_Maturity" vbProcedure="false">'Instructions &amp; Assumptions'!$B$69</definedName>
    <definedName function="false" hidden="false" name="RBL_TL_PrincOS" vbProcedure="false">'Repayment Schedule'!$D$76</definedName>
    <definedName function="false" hidden="false" name="RBL_TL_SNo" vbProcedure="false">'Instructions &amp; Assumptions'!$B$82</definedName>
    <definedName function="false" hidden="false" name="RepoRate" vbProcedure="false">'Instructions &amp; Assumptions'!$B$20</definedName>
    <definedName function="false" hidden="false" name="Repo_HDFC" vbProcedure="false">'Instructions &amp; Assumptions'!$B$19</definedName>
    <definedName function="false" hidden="false" name="SanctionedDebt" vbProcedure="false">'Lender Summary'!$B$20</definedName>
    <definedName function="false" hidden="false" name="SchedTLRep_Active" vbProcedure="false">'Instructions &amp; Assumptions'!$B$45</definedName>
    <definedName function="false" hidden="false" name="SecuredDebt_Active" vbProcedure="false">'Instructions &amp; Assumptions'!$B$40</definedName>
    <definedName function="false" hidden="false" name="SOFR_3M" vbProcedure="false">'Instructions &amp; Assumptions'!$B$22</definedName>
    <definedName function="false" hidden="false" name="TaxPaid_Active" vbProcedure="false">'Instructions &amp; Assumptions'!$B$44</definedName>
    <definedName function="false" hidden="false" name="TBD_Rate" vbProcedure="false">'Instructions &amp; Assumptions'!$B$23</definedName>
    <definedName function="false" hidden="false" name="TermDebt_Active" vbProcedure="false">'Instructions &amp; Assumptions'!$B$32</definedName>
    <definedName function="false" hidden="false" name="TNW_Active" vbProcedure="false">'Instructions &amp; Assumptions'!$B$33</definedName>
    <definedName function="false" hidden="false" name="TOL_Active" vbProcedure="false">'Instructions &amp; Assumptions'!$B$37</definedName>
    <definedName function="false" hidden="false" name="TotalDebt_Active" vbProcedure="false">'Instructions &amp; Assumptions'!$B$31</definedName>
    <definedName function="false" hidden="false" name="TotalIntComm" vbProcedure="false">'Interest Schedule'!$D$55</definedName>
    <definedName function="false" hidden="false" name="Total_TL_PrincOS" vbProcedure="false">'Repayment Schedule'!$D$80</definedName>
    <definedName function="false" hidden="false" name="UBI_RTL1_Maturity" vbProcedure="false">'Instructions &amp; Assumptions'!$B$63</definedName>
    <definedName function="false" hidden="false" name="UBI_RTL1_PrincOS" vbProcedure="false">'Repayment Schedule'!$D$73</definedName>
    <definedName function="false" hidden="false" name="UBI_RTL1_RepStart" vbProcedure="false">'Instructions &amp; Assumptions'!$B$64</definedName>
    <definedName function="false" hidden="false" name="UBI_RTL1_SNo" vbProcedure="false">'Instructions &amp; Assumptions'!$B$79</definedName>
    <definedName function="false" hidden="false" name="UBI_RTL2_Maturity" vbProcedure="false">'Instructions &amp; Assumptions'!$B$65</definedName>
    <definedName function="false" hidden="false" name="UBI_RTL2_PrincOS" vbProcedure="false">'Repayment Schedule'!$D$74</definedName>
    <definedName function="false" hidden="false" name="UBI_RTL2_RepStart" vbProcedure="false">'Instructions &amp; Assumptions'!$B$66</definedName>
    <definedName function="false" hidden="false" name="UBI_RTL2_SNo" vbProcedure="false">'Instructions &amp; Assumptions'!$B$80</definedName>
    <definedName function="false" hidden="false" name="UncommittedMemo" vbProcedure="false">'Lender Summary'!$B$25</definedName>
    <definedName function="false" hidden="false" name="UseFullUtil" vbProcedure="false">'Instructions &amp; Assumptions'!$B$7</definedName>
    <definedName function="false" hidden="false" name="WtAvgDebtCost" vbProcedure="false">'Interest Schedule'!$C$59</definedName>
    <definedName function="false" hidden="false" name="YBL_TL_Maturity" vbProcedure="false">'Instructions &amp; Assumptions'!$B$70</definedName>
    <definedName function="false" hidden="false" name="YBL_TL_PrincOS" vbProcedure="false">'Repayment Schedule'!$D$77</definedName>
    <definedName function="false" hidden="false" name="YBL_TL_RepStart" vbProcedure="false">'Instructions &amp; Assumptions'!$B$71</definedName>
    <definedName function="false" hidden="false" name="YBL_TL_SNo" vbProcedure="false">'Instructions &amp; Assumptions'!$B$83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<sst xmlns="http://schemas.openxmlformats.org/spreadsheetml/2006/main" count="3129" uniqueCount="1629">
  <si>
    <t xml:space="preserve">JINDAL FERROUS LIMITED — DEBT MONITORING MODEL</t>
  </si>
  <si>
    <t xml:space="preserve">CREDIT COMMITTEE SUMMARY</t>
  </si>
  <si>
    <t xml:space="preserve">1.  PROJECT OVERVIEW</t>
  </si>
  <si>
    <t xml:space="preserve">Project</t>
  </si>
  <si>
    <t xml:space="preserve">2.0 MTPA Greenfield Integrated Steel Plant, Kalinga Nagar, Odisha</t>
  </si>
  <si>
    <t xml:space="preserve">Sector</t>
  </si>
  <si>
    <t xml:space="preserve">Iron &amp; Steel (Ferrochrome)</t>
  </si>
  <si>
    <t xml:space="preserve">Borrower</t>
  </si>
  <si>
    <t xml:space="preserve">Jindal Ferrous Limited (JFL)</t>
  </si>
  <si>
    <t xml:space="preserve">Group</t>
  </si>
  <si>
    <t xml:space="preserve">Jindal Stainless / Ratan Jindal Group</t>
  </si>
  <si>
    <t xml:space="preserve">Total Proj Cost</t>
  </si>
  <si>
    <t xml:space="preserve">₹4,083.94 Cr  |  Debt ₹2,721.43 Cr  |  Equity ₹1,362.51 Cr</t>
  </si>
  <si>
    <t xml:space="preserve">D:E Ratio</t>
  </si>
  <si>
    <t xml:space="preserve">66.64 : 33.36</t>
  </si>
  <si>
    <t xml:space="preserve">Sanctioned Debt</t>
  </si>
  <si>
    <t xml:space="preserve">₹4,666 Cr  |  9 Lenders  |  44 Facilities</t>
  </si>
  <si>
    <t xml:space="preserve">Adj Consortium</t>
  </si>
  <si>
    <t xml:space="preserve">₹3,826 Cr (nets out ICICI TL ₹840 Cr takeover)</t>
  </si>
  <si>
    <t xml:space="preserve">2.  KEY FINANCIAL METRICS (TEV FY29 — First Covenant Test Year)</t>
  </si>
  <si>
    <t xml:space="preserve">Metric</t>
  </si>
  <si>
    <t xml:space="preserve">Value</t>
  </si>
  <si>
    <t xml:space="preserve">Revenue</t>
  </si>
  <si>
    <t xml:space="preserve">₹7,541 Cr</t>
  </si>
  <si>
    <t xml:space="preserve">Project IRR</t>
  </si>
  <si>
    <t xml:space="preserve">EBITDA</t>
  </si>
  <si>
    <t xml:space="preserve">₹957 Cr</t>
  </si>
  <si>
    <t xml:space="preserve">WACC (model)</t>
  </si>
  <si>
    <t xml:space="preserve">11.2%  (TEV: 10.55%)</t>
  </si>
  <si>
    <t xml:space="preserve">EBITDA Margin</t>
  </si>
  <si>
    <t xml:space="preserve">NPV</t>
  </si>
  <si>
    <t xml:space="preserve">₹1,134 Cr</t>
  </si>
  <si>
    <t xml:space="preserve">PAT</t>
  </si>
  <si>
    <t xml:space="preserve">₹347 Cr</t>
  </si>
  <si>
    <t xml:space="preserve">Payback Period</t>
  </si>
  <si>
    <t xml:space="preserve">5.80 years</t>
  </si>
  <si>
    <t xml:space="preserve">Min DSCR</t>
  </si>
  <si>
    <t xml:space="preserve">1.5505x (FY30)</t>
  </si>
  <si>
    <t xml:space="preserve">Avg DSCR</t>
  </si>
  <si>
    <t xml:space="preserve">1.9211x</t>
  </si>
  <si>
    <t xml:space="preserve">ISCR (FY29)</t>
  </si>
  <si>
    <t xml:space="preserve">3.6549x</t>
  </si>
  <si>
    <t xml:space="preserve">FACR (FY29)</t>
  </si>
  <si>
    <t xml:space="preserve">1.5100x</t>
  </si>
  <si>
    <t xml:space="preserve">3.  COVENANT SUMMARY</t>
  </si>
  <si>
    <t xml:space="preserve">First formal covenant test year: FY29 post-COD. All 43 of 44 covenants project COMPLIANT on TEV FY29 projections; 1 Near Breach (ICICI WC Rating).</t>
  </si>
  <si>
    <t xml:space="preserve">4.  OPEN FLAGS REQUIRING MANAGEMENT ACTION (4 High Severity)</t>
  </si>
  <si>
    <t xml:space="preserve">⚠ F-01: ICICI BG limit ambiguity</t>
  </si>
  <si>
    <t xml:space="preserve">Annexure I states ₹300 Cr; pp.7-8 detail suggests different amount. ACTION: confirm with ICICI treasury.</t>
  </si>
  <si>
    <t xml:space="preserve">⚠ F-02: RBL bridge refinance risk</t>
  </si>
  <si>
    <t xml:space="preserve">₹200 Cr bullet matures 13-Nov-2026. Refinancing plan not yet confirmed. ACTION: initiate rollover negotiations.</t>
  </si>
  <si>
    <t xml:space="preserve">⚠ F-07: HSBC uncommitted status</t>
  </si>
  <si>
    <t xml:space="preserve">₹1,000 Cr is NOT committed — bank can cancel at discretion. ACTION: treat as contingent, not available liquidity.</t>
  </si>
  <si>
    <t xml:space="preserve">⚠ F-15: HDFC FMV cover source</t>
  </si>
  <si>
    <t xml:space="preserve">JSL FMV / Total Debt ≥ 2.5x in offer letter not confirmed. ACTION: obtain Treasury verification of FMV data source.</t>
  </si>
  <si>
    <t xml:space="preserve">See Management Flags sheet for all 18 flags — 13 Open (4 High / 7 Medium / 2 Low) | 2 Closed | 2 Acceptable | 1 Open-Linked</t>
  </si>
  <si>
    <t xml:space="preserve">5.  MODEL INTEGRITY</t>
  </si>
  <si>
    <t xml:space="preserve">Sources: 9 JFL sanction letters + TEV Financial Model (Sep-2025) + Statutory Audit (N.C. Aggarwal &amp; Co., 28-Aug-2025, UDIN: 25086622BMIBYO3693)</t>
  </si>
  <si>
    <t xml:space="preserve">JINDAL FERROUS LIMITED — DEBT MONITORING DASHBOARD</t>
  </si>
  <si>
    <t xml:space="preserve">A.  SANCTIONED DEBT OVERVIEW</t>
  </si>
  <si>
    <t xml:space="preserve">SANCTIONED DEBT (₹ Cr)</t>
  </si>
  <si>
    <t xml:space="preserve">FB MAINS (₹ Cr)</t>
  </si>
  <si>
    <t xml:space="preserve">NFB MAINS (₹ Cr)</t>
  </si>
  <si>
    <t xml:space="preserve">NFB CONTINGENT (₹ Cr)</t>
  </si>
  <si>
    <t xml:space="preserve">ADJ CONSORTIUM (₹ Cr)</t>
  </si>
  <si>
    <t xml:space="preserve">FD-BACKED (₹ Cr)</t>
  </si>
  <si>
    <t xml:space="preserve">UNCOMMITTED MEMO (₹ Cr)</t>
  </si>
  <si>
    <t xml:space="preserve">HEDGE MEMO (₹ Cr)</t>
  </si>
  <si>
    <t xml:space="preserve">WAC OF FB DEBT</t>
  </si>
  <si>
    <t xml:space="preserve">ANNUAL RUN-RATE INTEREST (₹ Cr)</t>
  </si>
  <si>
    <t xml:space="preserve">ACTIVE FACILITIES</t>
  </si>
  <si>
    <t xml:space="preserve">COVENANTS (FY29 TEV)</t>
  </si>
  <si>
    <t xml:space="preserve">AVG UTILIZATION</t>
  </si>
  <si>
    <t xml:space="preserve">TOTAL TL PRINCIPAL O/S (₹ Cr)</t>
  </si>
  <si>
    <t xml:space="preserve">ICICI TL TAKEOVER (₹ Cr)</t>
  </si>
  <si>
    <t xml:space="preserve">B.  COVENANT COMPLIANCE — FY29 TEV PROJECTIONS (First Post-COD Test Year)</t>
  </si>
  <si>
    <t xml:space="preserve">TOTAL COVENANTS</t>
  </si>
  <si>
    <t xml:space="preserve">COMPLIANT (FY29)</t>
  </si>
  <si>
    <t xml:space="preserve">NEAR BREACH</t>
  </si>
  <si>
    <t xml:space="preserve">BREACHED</t>
  </si>
  <si>
    <t xml:space="preserve">Source: FY29 Covenant Compliance (TEV) sheet — first formal test year for consortium covenants.</t>
  </si>
  <si>
    <t xml:space="preserve">C.  LENDER CONCENTRATION (Sanctioned Debt = B1 + B2, ₹ Cr)</t>
  </si>
  <si>
    <t xml:space="preserve">Lender</t>
  </si>
  <si>
    <t xml:space="preserve">Sanctioned (₹ Cr)</t>
  </si>
  <si>
    <t xml:space="preserve">% Share</t>
  </si>
  <si>
    <t xml:space="preserve">Concentration Bar (normalised to UBI)</t>
  </si>
  <si>
    <t xml:space="preserve">NFB Contingent (₹ Cr)</t>
  </si>
  <si>
    <t xml:space="preserve">UBI</t>
  </si>
  <si>
    <t xml:space="preserve">Indian Bank</t>
  </si>
  <si>
    <t xml:space="preserve">RBL Bank</t>
  </si>
  <si>
    <t xml:space="preserve">YES Bank</t>
  </si>
  <si>
    <t xml:space="preserve">IDFC First Bank</t>
  </si>
  <si>
    <t xml:space="preserve">ICICI Bank WC</t>
  </si>
  <si>
    <t xml:space="preserve">HSBC (₹200 Cr post-haircut, B1 — see MP-13/F-18)</t>
  </si>
  <si>
    <t xml:space="preserve">HDFC Bank</t>
  </si>
  <si>
    <t xml:space="preserve">ICICI Bank (TL)</t>
  </si>
  <si>
    <t xml:space="preserve">Grand Total</t>
  </si>
  <si>
    <t xml:space="preserve">D.  TERM LOAN MATURITY PROFILE (Principal Repayment by Fiscal Year, ₹ Cr) — excl. RBL Bridge ₹200 Cr bullet (see F-02)</t>
  </si>
  <si>
    <t xml:space="preserve">Fiscal Year</t>
  </si>
  <si>
    <t xml:space="preserve">Principal (₹ Cr)</t>
  </si>
  <si>
    <t xml:space="preserve">Repayment Profile Bar</t>
  </si>
  <si>
    <t xml:space="preserve">FY24</t>
  </si>
  <si>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</si>
  <si>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</si>
  <si>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</si>
  <si>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</si>
  <si>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</si>
  <si>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</si>
  <si>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</si>
  <si>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</si>
  <si>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</si>
  <si>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</si>
  <si>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</si>
  <si>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</si>
  <si>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FY37</t>
  </si>
  <si>
    <t xml:space="preserve">FY38</t>
  </si>
  <si>
    <t xml:space="preserve">FY39</t>
  </si>
  <si>
    <t xml:space="preserve">Total (16y)</t>
  </si>
  <si>
    <t xml:space="preserve">E.  FACILITY TYPE MIX</t>
  </si>
  <si>
    <t xml:space="preserve">Category</t>
  </si>
  <si>
    <t xml:space="preserve">Count</t>
  </si>
  <si>
    <t xml:space="preserve">Total Sanctioned (₹ Cr)</t>
  </si>
  <si>
    <t xml:space="preserve">Composition Bar</t>
  </si>
  <si>
    <t xml:space="preserve">Term Loans (FB-Term)</t>
  </si>
  <si>
    <t xml:space="preserve">Working Capital (FB)</t>
  </si>
  <si>
    <t xml:space="preserve">FD-Backed Facilities</t>
  </si>
  <si>
    <t xml:space="preserve">Non-Fund Based (NFB)</t>
  </si>
  <si>
    <t xml:space="preserve">Hedge / Memo</t>
  </si>
  <si>
    <t xml:space="preserve">F.  URGENT WATCH FLAGS (10 Open — 4 High / 4 Medium / 2 Other)</t>
  </si>
  <si>
    <t xml:space="preserve">HIGH  F-01</t>
  </si>
  <si>
    <t xml:space="preserve">ICICI BG limit: Annexure I ₹300 Cr vs pp.7-8 detail — ambiguity. Confirm with ICICI treasury.</t>
  </si>
  <si>
    <t xml:space="preserve">HIGH  F-02</t>
  </si>
  <si>
    <t xml:space="preserve">RBL ₹200 Cr BULLET matures 13-Nov-2026 — refinancing plan not yet confirmed.</t>
  </si>
  <si>
    <t xml:space="preserve">HIGH  F-07</t>
  </si>
  <si>
    <t xml:space="preserve">HSBC ₹200 Cr (post 20% haircut on ₹1,000 Cr face — see MP-13) is INCLUDED in Sanctioned Debt at ₹200 Cr. Face value remains uncommitted; haircut portion treated as effective committed. See F-07, F-18.</t>
  </si>
  <si>
    <t xml:space="preserve">HIGH  F-15</t>
  </si>
  <si>
    <t xml:space="preserve">HDFC JSL FMV/Total Debt ≥2.5x — covenant source not confirmed. Verify with Treasury.</t>
  </si>
  <si>
    <t xml:space="preserve">MED  F-04</t>
  </si>
  <si>
    <t xml:space="preserve">IDFC First: FY27 first test (2 yrs earlier than peers) + different DSCR formula.</t>
  </si>
  <si>
    <t xml:space="preserve">MED  F-05</t>
  </si>
  <si>
    <t xml:space="preserve">IDFC NFB: ₹400 Cr total BUT sub-limits A+B = ₹600 Cr — modelled at headline ₹400 Cr.</t>
  </si>
  <si>
    <t xml:space="preserve">MED  F-06</t>
  </si>
  <si>
    <t xml:space="preserve">Pricing TBD: RBL TL, RBL FDOD, YBL EBLR current value, HSBC, HDFC pre/post-ship rates.</t>
  </si>
  <si>
    <t xml:space="preserve">MED  F-13</t>
  </si>
  <si>
    <t xml:space="preserve">YES Bank: pre-COD ₹485 Cr cap / post-COD ₹165 Cr tranche — disbursement gate open.</t>
  </si>
  <si>
    <t xml:space="preserve">OTH  F-08</t>
  </si>
  <si>
    <t xml:space="preserve">HDFC sub-facility rates (WCDL, PSF, Pre-SF, SBLC, CC) TBD at disbursement.</t>
  </si>
  <si>
    <t xml:space="preserve">OTH  F-14</t>
  </si>
  <si>
    <t xml:space="preserve">Indian Bank: 1st repayment 31-Mar-2027 (1 quarter EARLIER than consortium peers).</t>
  </si>
  <si>
    <t xml:space="preserve">Model strictly source-driven from JFL sanction letters + TEV Model. Bucket framework prevents double-counting. Validation Engine confirms integrity. See Management Flags sheet for full detail.</t>
  </si>
  <si>
    <t xml:space="preserve">FY29 COVENANT COMPLIANCE — TEV-SOURCED PROJECTIONS</t>
  </si>
  <si>
    <t xml:space="preserve">Source: TEV Financial Model FY29 projections. Market-Practice exceptions: MP-08 (Quasi-Equity), MP-09 (JSL FMV), MP-10 (HSBC Pledge), MP-11 (IDFC DSCR). Full methodology in Notes sheet.</t>
  </si>
  <si>
    <t xml:space="preserve">NOTE: All 43 of 44 covenants project COMPLIANT on TEV FY29 projections (first formal test year post-COD). 1 Near Breach: ICICI WC External Rating (at threshold, not breached).</t>
  </si>
  <si>
    <t xml:space="preserve">#</t>
  </si>
  <si>
    <t xml:space="preserve">Covenant</t>
  </si>
  <si>
    <t xml:space="preserve">Op</t>
  </si>
  <si>
    <t xml:space="preserve">Threshold</t>
  </si>
  <si>
    <t xml:space="preserve">FY29 Actual</t>
  </si>
  <si>
    <t xml:space="preserve">Status</t>
  </si>
  <si>
    <t xml:space="preserve">Headroom</t>
  </si>
  <si>
    <t xml:space="preserve">Source</t>
  </si>
  <si>
    <t xml:space="preserve">UBI Consortium</t>
  </si>
  <si>
    <t xml:space="preserve">DSCR</t>
  </si>
  <si>
    <t xml:space="preserve">&gt;=</t>
  </si>
  <si>
    <t xml:space="preserve">Compliant</t>
  </si>
  <si>
    <t xml:space="preserve">+44%</t>
  </si>
  <si>
    <t xml:space="preserve">TEV</t>
  </si>
  <si>
    <t xml:space="preserve"> </t>
  </si>
  <si>
    <t xml:space="preserve">FACR</t>
  </si>
  <si>
    <t xml:space="preserve">+26%</t>
  </si>
  <si>
    <t xml:space="preserve">ISCR</t>
  </si>
  <si>
    <t xml:space="preserve">+83%</t>
  </si>
  <si>
    <t xml:space="preserve">LTD/EBITDA</t>
  </si>
  <si>
    <t xml:space="preserve">&lt;=</t>
  </si>
  <si>
    <t xml:space="preserve">+38%</t>
  </si>
  <si>
    <t xml:space="preserve">LTD/Equity</t>
  </si>
  <si>
    <t xml:space="preserve">+45%</t>
  </si>
  <si>
    <t xml:space="preserve">DSCR (presumed)</t>
  </si>
  <si>
    <t xml:space="preserve">Cash Sweep Trigger (DSCR)</t>
  </si>
  <si>
    <t xml:space="preserve">+20%</t>
  </si>
  <si>
    <t xml:space="preserve">DSCR (IDFC)</t>
  </si>
  <si>
    <t xml:space="preserve">+64%</t>
  </si>
  <si>
    <t xml:space="preserve">TEV + IDFC SL p.12 (IDFC-specific DSCR formula); MP-11</t>
  </si>
  <si>
    <t xml:space="preserve">Quasi Equity Cap (₹ Cr)</t>
  </si>
  <si>
    <t xml:space="preserve">+100%</t>
  </si>
  <si>
    <t xml:space="preserve">MP-08</t>
  </si>
  <si>
    <t xml:space="preserve">Min Promoter Contribution (₹ Cr)</t>
  </si>
  <si>
    <t xml:space="preserve">+60%</t>
  </si>
  <si>
    <t xml:space="preserve">TEV (Equity)</t>
  </si>
  <si>
    <t xml:space="preserve">JSL FMV Unencumbered / Total Debt</t>
  </si>
  <si>
    <t xml:space="preserve">+355%</t>
  </si>
  <si>
    <t xml:space="preserve">MP-09 (NSE)</t>
  </si>
  <si>
    <t xml:space="preserve">External Rating ≥ BBB</t>
  </si>
  <si>
    <t xml:space="preserve">+17%</t>
  </si>
  <si>
    <t xml:space="preserve">RBL SL p.11</t>
  </si>
  <si>
    <t xml:space="preserve">ICICI Bank (WC)</t>
  </si>
  <si>
    <t xml:space="preserve">Total Debt / EBITDA</t>
  </si>
  <si>
    <t xml:space="preserve">+30%</t>
  </si>
  <si>
    <t xml:space="preserve">TOL / TNW</t>
  </si>
  <si>
    <t xml:space="preserve">+31%</t>
  </si>
  <si>
    <t xml:space="preserve">Current Ratio</t>
  </si>
  <si>
    <t xml:space="preserve">+72%</t>
  </si>
  <si>
    <t xml:space="preserve">External Rating ≥ A-</t>
  </si>
  <si>
    <t xml:space="preserve">Near Breach</t>
  </si>
  <si>
    <t xml:space="preserve">+0%</t>
  </si>
  <si>
    <t xml:space="preserve">CRISIL Jan-25</t>
  </si>
  <si>
    <t xml:space="preserve">JSL FMV / Total Debt Cover</t>
  </si>
  <si>
    <t xml:space="preserve">Compliant ⚠ F-15</t>
  </si>
  <si>
    <t xml:space="preserve">MP-09 ⚠ F-15</t>
  </si>
  <si>
    <t xml:space="preserve">+34%</t>
  </si>
  <si>
    <t xml:space="preserve">HSBC</t>
  </si>
  <si>
    <t xml:space="preserve">JSL Listed-Securities Pledge ≤ 40%</t>
  </si>
  <si>
    <t xml:space="preserve">+69%</t>
  </si>
  <si>
    <t xml:space="preserve">MP-10 (NSE)</t>
  </si>
  <si>
    <t xml:space="preserve">FACR (presumed)</t>
  </si>
  <si>
    <t xml:space="preserve">ISCR (presumed)</t>
  </si>
  <si>
    <t xml:space="preserve">LTD/EBITDA (presumed)</t>
  </si>
  <si>
    <t xml:space="preserve">LTD/Equity (presumed)</t>
  </si>
  <si>
    <t xml:space="preserve">SUMMARY</t>
  </si>
  <si>
    <t xml:space="preserve">Share</t>
  </si>
  <si>
    <t xml:space="preserve">Breached</t>
  </si>
  <si>
    <t xml:space="preserve">Pending Input</t>
  </si>
  <si>
    <t xml:space="preserve">TOTAL</t>
  </si>
  <si>
    <t xml:space="preserve">COVENANT TRACKER — Financial Covenant Compliance</t>
  </si>
  <si>
    <t xml:space="preserve">Actuals from active financials (toggle FinBasis). Status: Compliant / Near Breach / Breached / Not Yet Due. 44 covenants across 9 lenders.</t>
  </si>
  <si>
    <t xml:space="preserve">Actual</t>
  </si>
  <si>
    <t xml:space="preserve">Risk</t>
  </si>
  <si>
    <t xml:space="preserve">SL Reference</t>
  </si>
  <si>
    <t xml:space="preserve">Source Type</t>
  </si>
  <si>
    <t xml:space="preserve">Frequency</t>
  </si>
  <si>
    <t xml:space="preserve">First Test</t>
  </si>
  <si>
    <t xml:space="preserve">DSCR (consortium)</t>
  </si>
  <si>
    <t xml:space="preserve">UBI SL 20-Sep-2025 | DSCR ≥ 1.25x</t>
  </si>
  <si>
    <t xml:space="preserve">SL ✓</t>
  </si>
  <si>
    <t xml:space="preserve">Annual</t>
  </si>
  <si>
    <t xml:space="preserve">FY29 (post-COD)</t>
  </si>
  <si>
    <t xml:space="preserve">FACR (consortium)</t>
  </si>
  <si>
    <t xml:space="preserve">UBI SL 20-Sep-2025 | FACR ≥ 1.20x</t>
  </si>
  <si>
    <t xml:space="preserve">ISCR (consortium)</t>
  </si>
  <si>
    <t xml:space="preserve">UBI SL 20-Sep-2025 | ISCR ≥ 2.00x</t>
  </si>
  <si>
    <t xml:space="preserve">LTD / EBITDA (consortium)</t>
  </si>
  <si>
    <t xml:space="preserve">UBI SL 20-Sep-2025 | LTD/EBITDA ≤ 4.00x</t>
  </si>
  <si>
    <t xml:space="preserve">LTD / Equity (consortium)</t>
  </si>
  <si>
    <t xml:space="preserve">UBI SL 20-Sep-2025 | LTD/Equity ≤ 2.00x</t>
  </si>
  <si>
    <t xml:space="preserve">DSCR (consortium-presumed)</t>
  </si>
  <si>
    <t xml:space="preserve">Indian Bank 26-Sep-2025 (amendment only). Consortium-standard DSCR assumed — CONFIRM with Indian Bank.</t>
  </si>
  <si>
    <t xml:space="preserve">MP</t>
  </si>
  <si>
    <t xml:space="preserve">FY29 (presumed)</t>
  </si>
  <si>
    <t xml:space="preserve">YBL SL 29-Dec-2025 | DSCR ≥ 1.25x</t>
  </si>
  <si>
    <t xml:space="preserve">YBL SL 29-Dec-2025 | FACR ≥ 1.20x</t>
  </si>
  <si>
    <t xml:space="preserve">YBL SL 29-Dec-2025 | ISCR ≥ 2.00x</t>
  </si>
  <si>
    <t xml:space="preserve">YBL SL 29-Dec-2025 | LTD/EBITDA ≤ 4.00x</t>
  </si>
  <si>
    <t xml:space="preserve">YBL SL 29-Dec-2025 | LTD/Equity ≤ 2.00x</t>
  </si>
  <si>
    <t xml:space="preserve">YBL SL 29-Dec-2025 | Cash Sweep: DSCR &gt; 1.5x triggers ₹75 Cr/yr sweep from 01-Apr-2028</t>
  </si>
  <si>
    <t xml:space="preserve">12-mo rolling</t>
  </si>
  <si>
    <t xml:space="preserve">01-Apr-2028 (2yr post-COD)</t>
  </si>
  <si>
    <t xml:space="preserve">DSCR (IDFC-specific)</t>
  </si>
  <si>
    <t xml:space="preserve">IDFC SL 09-Jan-2026 | DSCR ≥ 1.25x — IDFC-specific formula; first test FY27 (2yr earlier) — FLAG</t>
  </si>
  <si>
    <t xml:space="preserve">FY27 (2yr earlier — FLAG)</t>
  </si>
  <si>
    <t xml:space="preserve">IDFC SL 09-Jan-2026 | FACR ≥ 1.20x | First test FY27</t>
  </si>
  <si>
    <t xml:space="preserve">IDFC SL 09-Jan-2026 | ISCR ≥ 2.00x | First test FY27</t>
  </si>
  <si>
    <t xml:space="preserve">IDFC SL 09-Jan-2026 | LTD/EBITDA ≤ 4.00x | First test FY27</t>
  </si>
  <si>
    <t xml:space="preserve">IDFC SL 09-Jan-2026 | LTD/Equity ≤ 2.00x | First test FY27</t>
  </si>
  <si>
    <t xml:space="preserve">Quasi Equity Cap (Cr)</t>
  </si>
  <si>
    <t xml:space="preserve">IDFC SL 09-Jan-2026 | Quasi-Equity Cap ₹337.5 Cr. Actual ₹856.76 Cr (Audit Note 16+18: Jindal Coke ₹28.15 Cr + JSL ₹701.61 Cr + Virtuous ₹127.00 Cr). ICDs NOT formally subordinated — CONFIRM with IDFC whether bank applies equity-only test.</t>
  </si>
  <si>
    <t xml:space="preserve">MP ⚠</t>
  </si>
  <si>
    <t xml:space="preserve">Continuous monitoring</t>
  </si>
  <si>
    <t xml:space="preserve">Ongoing from disbursement</t>
  </si>
  <si>
    <t xml:space="preserve">ICICI TL CAL 27-Mar-2026 | DSCR ≥ 1.25x</t>
  </si>
  <si>
    <t xml:space="preserve">FY29 (within 120d of FY-end)</t>
  </si>
  <si>
    <t xml:space="preserve">ICICI TL CAL 27-Mar-2026 | FACR ≥ 1.20x</t>
  </si>
  <si>
    <t xml:space="preserve">ICICI TL CAL 27-Mar-2026 | ISCR ≥ 2.00x</t>
  </si>
  <si>
    <t xml:space="preserve">ICICI TL CAL 27-Mar-2026 | LTD/EBITDA ≤ 4.00x</t>
  </si>
  <si>
    <t xml:space="preserve">ICICI TL CAL 27-Mar-2026 | LTD/Equity ≤ 2.00x</t>
  </si>
  <si>
    <t xml:space="preserve">Min Promoter Contribution (Cr)</t>
  </si>
  <si>
    <t xml:space="preserve">RBL SL 13-Nov-2025 | Min ₹1,363 Cr promoter contribution. Actual ₹1,850.21 Cr (equity ₹993.45 Cr + ICDs ₹856.76 Cr). CAVEAT: equity-only = ₹993.45 Cr &lt; threshold → potential breach. CONFIRM with RBL.</t>
  </si>
  <si>
    <t xml:space="preserve">At disbursement &amp; periodic</t>
  </si>
  <si>
    <t xml:space="preserve">Within 180d of disbursement</t>
  </si>
  <si>
    <t xml:space="preserve">RBL SL 13-Nov-2025 | JSL FMV (unencumbered) ÷ Total RBL debt ≥ 2.5x. Requires live NSE data.</t>
  </si>
  <si>
    <t xml:space="preserve">Min External Rating</t>
  </si>
  <si>
    <t xml:space="preserve">RBL SL p.11 | Rating ≥ BBB (= numeric 10). NOT BBB+ (=12). Within 180d of disbursement.</t>
  </si>
  <si>
    <t xml:space="preserve">On rating event</t>
  </si>
  <si>
    <t xml:space="preserve">ICICI Bank</t>
  </si>
  <si>
    <t xml:space="preserve">Total Debt / EBITDA (WC)</t>
  </si>
  <si>
    <t xml:space="preserve">ICICI WC CAL 12-Feb-2026 | Total Debt/EBITDA ≤ 4.00x</t>
  </si>
  <si>
    <t xml:space="preserve">Annual / on review</t>
  </si>
  <si>
    <t xml:space="preserve">Annual review 03-Feb-2027</t>
  </si>
  <si>
    <t xml:space="preserve">TOL / TNW (WC)</t>
  </si>
  <si>
    <t xml:space="preserve">ICICI WC CAL 12-Feb-2026 | TOL/TNW ≤ 2.50x</t>
  </si>
  <si>
    <t xml:space="preserve">Current Ratio (WC)</t>
  </si>
  <si>
    <t xml:space="preserve">ICICI WC CAL 12-Feb-2026 | Current Ratio ≥ 1.10x</t>
  </si>
  <si>
    <t xml:space="preserve">External Rating (WC)</t>
  </si>
  <si>
    <t xml:space="preserve">ICICI WC CAL 12-Feb-2026 | Rating ≥ A- (= numeric 14). At threshold — Near Breach. Upgrade required to clear.</t>
  </si>
  <si>
    <t xml:space="preserve">HDFC 26-Mar-2026 | JSL FMV ÷ Total HDFC debt ≥ 2.5x. Requires live NSE data. ⚠ F-15: covenant not confirmed in offer letter — Treasury to verify.</t>
  </si>
  <si>
    <t xml:space="preserve">HDFC 26-Mar-2026 | DSCR ≥ 1.25x</t>
  </si>
  <si>
    <t xml:space="preserve">HDFC 26-Mar-2026 | FACR ≥ 1.20x</t>
  </si>
  <si>
    <t xml:space="preserve">HDFC 26-Mar-2026 | ISCR ≥ 2.00x</t>
  </si>
  <si>
    <t xml:space="preserve">HDFC 26-Mar-2026 | LTD/EBITDA ≤ 4.00x</t>
  </si>
  <si>
    <t xml:space="preserve">HDFC 26-Mar-2026 | LTD/Equity ≤ 2.00x</t>
  </si>
  <si>
    <t xml:space="preserve">HDFC 26-Mar-2026 | Total Debt/EBITDA ≤ 4.25x</t>
  </si>
  <si>
    <t xml:space="preserve">JSL Listed-Securities Cap (40%)</t>
  </si>
  <si>
    <t xml:space="preserve">HSBC FL 27-Feb-2026 | Pledge ≤ 40% of JSL FMV. Requires live NSE data.</t>
  </si>
  <si>
    <t xml:space="preserve">YBL FL 30-Dec-2025 | Total Debt/EBITDA ≤ 4.25x</t>
  </si>
  <si>
    <t xml:space="preserve">ICICI TL CAL 27-Mar-2026 | Total Debt/EBITDA ≤ 4.25x</t>
  </si>
  <si>
    <t xml:space="preserve">FACR (consortium-presumed)</t>
  </si>
  <si>
    <t xml:space="preserve">Indian Bank (amendment only). Consortium-standard FACR assumed — CONFIRM with Indian Bank.</t>
  </si>
  <si>
    <t xml:space="preserve">ISCR (consortium-presumed)</t>
  </si>
  <si>
    <t xml:space="preserve">Indian Bank (amendment only). Consortium-standard ISCR assumed.</t>
  </si>
  <si>
    <t xml:space="preserve">LTD / EBITDA (consortium-presumed)</t>
  </si>
  <si>
    <t xml:space="preserve">Indian Bank (amendment only). Consortium-standard LTD/EBITDA assumed.</t>
  </si>
  <si>
    <t xml:space="preserve">LTD / Equity (consortium-presumed)</t>
  </si>
  <si>
    <t xml:space="preserve">Indian Bank (amendment only). Consortium-standard LTD/Equity assumed.</t>
  </si>
  <si>
    <t xml:space="preserve">COVENANT SUMMARY</t>
  </si>
  <si>
    <t xml:space="preserve">Total Covenants</t>
  </si>
  <si>
    <t xml:space="preserve">—</t>
  </si>
  <si>
    <t xml:space="preserve">Live — Compliant</t>
  </si>
  <si>
    <t xml:space="preserve">Live — Near Breach</t>
  </si>
  <si>
    <t xml:space="preserve">Live — Breached</t>
  </si>
  <si>
    <t xml:space="preserve">Live — Pending</t>
  </si>
  <si>
    <t xml:space="preserve">Not Yet Due</t>
  </si>
  <si>
    <t xml:space="preserve">Live Compliance %</t>
  </si>
  <si>
    <t xml:space="preserve">LENDER SUMMARY — Multi-Bucket Debt Profile</t>
  </si>
  <si>
    <t xml:space="preserve">Sanctioned Debt = Bucket 1 (FB Mains) + Bucket 2 (NFB Mains)  |  Adjusted Consortium = Sanctioned − ICICI TL takeover (₹840 Cr)  |  Bucket 3 (FD-Backed) and Bucket 4 (Uncommitted) tracked separately.</t>
  </si>
  <si>
    <t xml:space="preserve">A.  SANCTIONED DEBT — Bucket 1 (FB Mains) + Bucket 2 (NFB Mains)</t>
  </si>
  <si>
    <t xml:space="preserve">FB Mains (₹ Cr)</t>
  </si>
  <si>
    <t xml:space="preserve">NFB Mains (₹ Cr)</t>
  </si>
  <si>
    <t xml:space="preserve">% of Total</t>
  </si>
  <si>
    <t xml:space="preserve">Facilities (B1+B2)</t>
  </si>
  <si>
    <t xml:space="preserve">⚠  ICICI Bank (TL) ₹840 Cr is a takeover of existing consortium TL — netted out in Adjusted Consortium Debt. Specific take-out lender(s) not identified in the CAL.</t>
  </si>
  <si>
    <t xml:space="preserve">B.  KEY KPIs — Dashboard Linkage</t>
  </si>
  <si>
    <t xml:space="preserve">KPI</t>
  </si>
  <si>
    <t xml:space="preserve">Amount (₹ Cr)</t>
  </si>
  <si>
    <t xml:space="preserve">Definition</t>
  </si>
  <si>
    <t xml:space="preserve">Sanctioned Debt (B1 + B2)</t>
  </si>
  <si>
    <t xml:space="preserve">Bucket 1 + Bucket 2 main parents — gross of ICICI TL takeover</t>
  </si>
  <si>
    <t xml:space="preserve">FB Mains Total (Bucket 1)</t>
  </si>
  <si>
    <t xml:space="preserve">All fund-based main parent facilities</t>
  </si>
  <si>
    <t xml:space="preserve">NFB Mains Total (Bucket 2)</t>
  </si>
  <si>
    <t xml:space="preserve">All non-fund-based main parent facilities</t>
  </si>
  <si>
    <t xml:space="preserve">NFB Contingent Total</t>
  </si>
  <si>
    <t xml:space="preserve">B2 mains + NFB sub-limits within FB-Main parents</t>
  </si>
  <si>
    <t xml:space="preserve">FD-Backed Total (Bucket 3)</t>
  </si>
  <si>
    <t xml:space="preserve">Self-collateralised; economic exposure effectively nil</t>
  </si>
  <si>
    <t xml:space="preserve">Uncommitted Memo (Bucket 4)</t>
  </si>
  <si>
    <t xml:space="preserve">HSBC: ₹200 Cr sanctioned (post 20% haircut on ₹1,000 Cr face — see MP-13). Uncommitted on paper; treated as effective committed for modelling. Bank retains right to withdraw.</t>
  </si>
  <si>
    <t xml:space="preserve">Hedge Memo</t>
  </si>
  <si>
    <t xml:space="preserve">UBI Forward Contract ₹75 Cr — outside all buckets</t>
  </si>
  <si>
    <t xml:space="preserve">ICICI TL Takeover (Adjustment)</t>
  </si>
  <si>
    <t xml:space="preserve">ICICI TL substitutes for existing consortium TL</t>
  </si>
  <si>
    <t xml:space="preserve">Adjusted Consortium Debt</t>
  </si>
  <si>
    <t xml:space="preserve">Sanctioned − ICICI TL takeover = ₹4,666 − ₹840 Cr</t>
  </si>
  <si>
    <t xml:space="preserve">C.  FD-BACKED (BUCKET 3) — Self-Collateralised</t>
  </si>
  <si>
    <t xml:space="preserve">FD-Backed (₹ Cr)</t>
  </si>
  <si>
    <t xml:space="preserve">D.  UNCOMMITTED MEMO (BUCKET 4) — nil after HSBC reclassification (see MP-13 / F-18)</t>
  </si>
  <si>
    <t xml:space="preserve">Uncommitted (₹ Cr)</t>
  </si>
  <si>
    <t xml:space="preserve">Status / Note</t>
  </si>
  <si>
    <t xml:space="preserve">Reclassified to Bucket 1 (Sanctioned/FB Mains) at ₹200 Cr post 20% haircut. See MP-13 / F-18.</t>
  </si>
  <si>
    <t xml:space="preserve">E.  HEDGE MEMO — Outside All Buckets</t>
  </si>
  <si>
    <t xml:space="preserve">Notional (₹ Cr)</t>
  </si>
  <si>
    <t xml:space="preserve">UBI Forward Contract (memo only) — treatment ambiguous; tracked outside all buckets.</t>
  </si>
  <si>
    <t xml:space="preserve">FACILITY MASTER — JFL Debt Model (Single Source of Truth)</t>
  </si>
  <si>
    <t xml:space="preserve">Source: 9 JFL sanction letters  |  44 facilities  |  All schedules aggregate from here via SUMIFS/INDEX-MATCH  |  Do not edit — update via sanction letters only</t>
  </si>
  <si>
    <t xml:space="preserve">IDENTIFICATION</t>
  </si>
  <si>
    <t xml:space="preserve">Flags</t>
  </si>
  <si>
    <t xml:space="preserve">Financial Structure</t>
  </si>
  <si>
    <t xml:space="preserve">PRICING</t>
  </si>
  <si>
    <t xml:space="preserve">REPAYMENT</t>
  </si>
  <si>
    <t xml:space="preserve">DATES</t>
  </si>
  <si>
    <t xml:space="preserve">REFERENCE &amp; NOTES</t>
  </si>
  <si>
    <t xml:space="preserve">BUCKET FLAGS</t>
  </si>
  <si>
    <t xml:space="preserve">S.No</t>
  </si>
  <si>
    <t xml:space="preserve">Facility</t>
  </si>
  <si>
    <t xml:space="preserve">Nature</t>
  </si>
  <si>
    <t xml:space="preserve">Sub-Limit Flag</t>
  </si>
  <si>
    <t xml:space="preserve">FD-Backed</t>
  </si>
  <si>
    <t xml:space="preserve">Bucket</t>
  </si>
  <si>
    <t xml:space="preserve">Currency</t>
  </si>
  <si>
    <t xml:space="preserve">Sanc Orig Ccy</t>
  </si>
  <si>
    <t xml:space="preserve">Sanc INR Cr</t>
  </si>
  <si>
    <t xml:space="preserve">Current O/S</t>
  </si>
  <si>
    <t xml:space="preserve">Eff O/S</t>
  </si>
  <si>
    <t xml:space="preserve">Util %</t>
  </si>
  <si>
    <t xml:space="preserve">Benchmark</t>
  </si>
  <si>
    <t xml:space="preserve">Spread</t>
  </si>
  <si>
    <t xml:space="preserve">Eff Rate p.a.</t>
  </si>
  <si>
    <t xml:space="preserve">Rate Type</t>
  </si>
  <si>
    <t xml:space="preserve">Moratorium Mths</t>
  </si>
  <si>
    <t xml:space="preserve">Rep Frequency</t>
  </si>
  <si>
    <t xml:space="preserve">Tenor Mths</t>
  </si>
  <si>
    <t xml:space="preserve">No of Instals</t>
  </si>
  <si>
    <t xml:space="preserve">Drawdown Date</t>
  </si>
  <si>
    <t xml:space="preserve">Rep Start Date</t>
  </si>
  <si>
    <t xml:space="preserve">Maturity Date</t>
  </si>
  <si>
    <t xml:space="preserve">Sanction Date</t>
  </si>
  <si>
    <t xml:space="preserve">Validity Date</t>
  </si>
  <si>
    <t xml:space="preserve">Purpose</t>
  </si>
  <si>
    <t xml:space="preserve">Security Summary</t>
  </si>
  <si>
    <t xml:space="preserve">Sanction Reference</t>
  </si>
  <si>
    <t xml:space="preserve">Remarks</t>
  </si>
  <si>
    <t xml:space="preserve">NFB Contingent Flag</t>
  </si>
  <si>
    <t xml:space="preserve">Takeover Flag</t>
  </si>
  <si>
    <t xml:space="preserve">RTL-I (renewal)</t>
  </si>
  <si>
    <t xml:space="preserve">FB-Term</t>
  </si>
  <si>
    <t xml:space="preserve">Non-Revolving</t>
  </si>
  <si>
    <t xml:space="preserve">INR</t>
  </si>
  <si>
    <t xml:space="preserve">1Y MCLR (UBI)</t>
  </si>
  <si>
    <t xml:space="preserve">Floating</t>
  </si>
  <si>
    <t xml:space="preserve">Quarterly</t>
  </si>
  <si>
    <t xml:space="preserve">Project capex — 2.0 MTPA Greenfield Steel Making at Kalinga Nagar</t>
  </si>
  <si>
    <t xml:space="preserve">1st p-p on FA (movable+immovable+leasehold 220.68 acres); 1st p-p on intangibles; 2nd p-p on CA; 1st p-p Escrow; Pledge 51% by OPJSTPL; OPJSTPL CG; JCL CG (till perfection); JSL DSU</t>
  </si>
  <si>
    <t xml:space="preserve">UBI SL 20-Sep-2025, Ref LCBD-I:JFL:2025-26:1726</t>
  </si>
  <si>
    <t xml:space="preserve">Renewal of existing TL; 1Y MCLR 8.90% per UBI SL p.1 (RTL-I); Spread 0.50% -&gt; effective 9.40% p.a. at present. Next MCLR reset 26-Jun-2026. (RTL-II uses 1Y MCLR 8.60% + 0.50% = 9.10%.)</t>
  </si>
  <si>
    <t xml:space="preserve">RTL-II (fresh)</t>
  </si>
  <si>
    <t xml:space="preserve">1Y MCLR (UBI) — RTL-II</t>
  </si>
  <si>
    <t xml:space="preserve">Project capex — fresh facility within UBI 20-Sep-2025 SL</t>
  </si>
  <si>
    <t xml:space="preserve">1st p-p on FA; 1st p-p on intangibles; 2nd p-p on CA; 1st p-p Escrow; Pledge 51% by OPJSTPL; OPJSTPL CG; JCL CG; JSL DSU</t>
  </si>
  <si>
    <t xml:space="preserve">Fresh facility; 1Y MCLR 8.60% (reset basis); consortium-aligned 48 quarterly</t>
  </si>
  <si>
    <t xml:space="preserve">Letter of Credit (Capex LC/UPAS/SBLC)</t>
  </si>
  <si>
    <t xml:space="preserve">NFB</t>
  </si>
  <si>
    <t xml:space="preserve">Revolving</t>
  </si>
  <si>
    <t xml:space="preserve">Fixed commission</t>
  </si>
  <si>
    <t xml:space="preserve">Fixed</t>
  </si>
  <si>
    <t xml:space="preserve">On Maturity</t>
  </si>
  <si>
    <t xml:space="preserve">NFB sub-limit; capex LC and UPAS issuance</t>
  </si>
  <si>
    <t xml:space="preserve">Same as RTL primary (1st p-p on FA, 2nd on CA, Pledge 51%, OPJSTPL CG, JCL CG, JSL DSU)</t>
  </si>
  <si>
    <t xml:space="preserve">0.60% p.a. + GST commission; UBI branch SBLC; other-bank SBLC 0.85%</t>
  </si>
  <si>
    <t xml:space="preserve">Bank Guarantee</t>
  </si>
  <si>
    <t xml:space="preserve">Performance/financial BG</t>
  </si>
  <si>
    <t xml:space="preserve">Same as RTL primary</t>
  </si>
  <si>
    <t xml:space="preserve">0.60% p.a. + GST</t>
  </si>
  <si>
    <t xml:space="preserve">Forward Contract (credit equivalent)</t>
  </si>
  <si>
    <t xml:space="preserve">Hedge</t>
  </si>
  <si>
    <t xml:space="preserve">H</t>
  </si>
  <si>
    <t xml:space="preserve">N/A</t>
  </si>
  <si>
    <t xml:space="preserve">On Settlement</t>
  </si>
  <si>
    <t xml:space="preserve">Hedging exchange risk</t>
  </si>
  <si>
    <t xml:space="preserve">Unsecured</t>
  </si>
  <si>
    <t xml:space="preserve">MEMO ONLY. '^' superscript on UBI cover table with no footnote — treatment ambiguous; provisionally classified as hedge memo. Out of all buckets.</t>
  </si>
  <si>
    <t xml:space="preserve">Term Loan (per amendment ticket)</t>
  </si>
  <si>
    <t xml:space="preserve">1Y MCLR (Indian Bank)</t>
  </si>
  <si>
    <t xml:space="preserve">Project capex — long-dated consortium TL</t>
  </si>
  <si>
    <t xml:space="preserve">Per original Indian Bank SL (NOT in file set). Presumed consortium-standard security.</t>
  </si>
  <si>
    <t xml:space="preserve">Indian Bank Amendment Ticket 26-Sep-2025, Ref LCB/Del/JFL:2025-26</t>
  </si>
  <si>
    <t xml:space="preserve">Indian Bank: Loan ₹235 Cr DERIVED from repayment table totals (8Q × ₹2.9375 + 40Q × ₹5.2875 = ₹235 ✓). 12-yr tenor; 12-mo moratorium; graduated 1.25%/2.25% quarterly; per amendment ticket 26-Sep-2025.</t>
  </si>
  <si>
    <t xml:space="preserve">Term Loan (12-month bullet bridge)</t>
  </si>
  <si>
    <t xml:space="preserve">To be decided</t>
  </si>
  <si>
    <t xml:space="preserve">TBD</t>
  </si>
  <si>
    <t xml:space="preserve">Bullet</t>
  </si>
  <si>
    <t xml:space="preserve">Part-finance 2.0 MTPA capex + repay ICDs from JSL/Jindal Coke</t>
  </si>
  <si>
    <t xml:space="preserve">Unconditional &amp; Irrevocable CG from OPJSTPL; Shortfall Undertaking from JSL Ltd</t>
  </si>
  <si>
    <t xml:space="preserve">RBL SL 13-Nov-2025, Ref CAD/DEL/0856/2025-26</t>
  </si>
  <si>
    <t xml:space="preserve">FLAG: Bridge facility — 12-month BULLET, NOT consortium amortising. Rate 'to be decided at disbursement' — FLAG. Min promoter contribution ₹1,363 Cr covenant. Min BBB rating within 180 days.</t>
  </si>
  <si>
    <t xml:space="preserve">Letter of Credit (sub-limit of TL)</t>
  </si>
  <si>
    <t xml:space="preserve">Procurement of raw material for testing/commissioning phase</t>
  </si>
  <si>
    <t xml:space="preserve">Same as TL parent</t>
  </si>
  <si>
    <t xml:space="preserve">Sub-limit within ₹200 Cr TL; 0.50% p.a. commission; no LCs to sister/group companies; 6 months max per LC</t>
  </si>
  <si>
    <t xml:space="preserve">FDOD (Overdraft against FD)</t>
  </si>
  <si>
    <t xml:space="preserve">FB-FDbacked</t>
  </si>
  <si>
    <t xml:space="preserve">On Demand</t>
  </si>
  <si>
    <t xml:space="preserve">Cash-flow mismatches</t>
  </si>
  <si>
    <t xml:space="preserve">100% lien on FD held by JFL/JSL/Jindal Coke/JUSL; up to 90% of FD value lien-marked</t>
  </si>
  <si>
    <t xml:space="preserve">FD-backed; economic exposure nil; rate TBD at disbursement — FLAG</t>
  </si>
  <si>
    <t xml:space="preserve">Term Loan (project, new consortium joiner)</t>
  </si>
  <si>
    <t xml:space="preserve">EBLR (YES Bank)</t>
  </si>
  <si>
    <t xml:space="preserve">Project capex — new consortium TL</t>
  </si>
  <si>
    <t xml:space="preserve">1st p-p on FA (incl leasehold rights); 1st p-p on intangibles; 2nd p-p on CA; Pledge 51% by OPJSTPL; DSU JSL; LoC JSL; OPJSTPL CG; JCL CG (extinguished at perfection)</t>
  </si>
  <si>
    <t xml:space="preserve">YES Bank Final Facility Letter 29-Dec-2025, Ref YBL/DEL/LC/FL/04920/12/2025</t>
  </si>
  <si>
    <t xml:space="preserve">YBL: EBLR + 3.45% (current EBLR not stated in letter). 160 mo tenor; 12-mo moratorium; quarterly P+I; per FL 30-Dec-2025. See F-06, F-13.</t>
  </si>
  <si>
    <t xml:space="preserve">Capex LC (sub-limit of TL)</t>
  </si>
  <si>
    <t xml:space="preserve">Capex LC issuance</t>
  </si>
  <si>
    <t xml:space="preserve">Same as YBL TL primary</t>
  </si>
  <si>
    <t xml:space="preserve">Sub-limit within ₹650 Cr TL; 0.50% p.a.; 36-month tenor incl 12-month usance; availability till 02-Mar-2026</t>
  </si>
  <si>
    <t xml:space="preserve">RTL (project, new consortium joiner)</t>
  </si>
  <si>
    <t xml:space="preserve">EBLR (IDFC First)</t>
  </si>
  <si>
    <t xml:space="preserve">Consortium-standard: 1st p-p on FA; 2nd p-p on CA; Pledge 51%; OPJSTPL CG; JCL CG; JSL DSU; LoC JSL. Escrow at UBI.</t>
  </si>
  <si>
    <t xml:space="preserve">IDFC First SL 09-Jan-2026, Ref IDFC/CAD/REF/SL/260131</t>
  </si>
  <si>
    <t xml:space="preserve">IDFC: EBLR 7.75% + 1.05% spread = ~8.80%. 144-mo tenor; 12-mo moratorium; quarterly P+I; per SL 09-Jan-2026 accepted 14-Jan-2026.</t>
  </si>
  <si>
    <t xml:space="preserve">NFB — Capex LC/SBLC (A)</t>
  </si>
  <si>
    <t xml:space="preserve">Capex LC/SBLC issuance</t>
  </si>
  <si>
    <t xml:space="preserve">Consortium-standard security</t>
  </si>
  <si>
    <t xml:space="preserve">IDFC NFB-A (Capex LC/SBLC): ₹400 Cr total NFB cap; AG=TRUE. Per SL p.2 verbatim 'Sub-Limits under Facility: Rs 400.00 Cr towards non-funded'.</t>
  </si>
  <si>
    <t xml:space="preserve">NFB — BG / SBLC (B, sub-limit within ₹400 cap)</t>
  </si>
  <si>
    <t xml:space="preserve">BG / SBLC issuance</t>
  </si>
  <si>
    <t xml:space="preserve">IDFC NFB-B (BG/SBLC): sub-cap ₹200 Cr within A's ₹400 Cr parent. AG=FALSE — combined A+B ≤ ₹400 Cr (not additive). See F-03 (RESOLVED).</t>
  </si>
  <si>
    <t xml:space="preserve">Cash Credit (WC)</t>
  </si>
  <si>
    <t xml:space="preserve">FB</t>
  </si>
  <si>
    <t xml:space="preserve">6M I-MCLR (ICICI)</t>
  </si>
  <si>
    <t xml:space="preserve">Working capital — operational</t>
  </si>
  <si>
    <t xml:space="preserve">1st p-p on CA; 2nd p-p on FA (movable+immovable+leasehold Project Land); 2nd p-p intangibles; Pledge 51%; OPJSTPL CG; JCL CG (till perfection); JSL DSU; LoC JSL</t>
  </si>
  <si>
    <t xml:space="preserve">ICICI WC CAL 12-Feb-2026, Ref CAL142368928833</t>
  </si>
  <si>
    <t xml:space="preserve">I-MCLR-6M (8.30%) + 0.20% = ~8.50%. Reset every 6 mo. Interchangeable one-way to LC. Validity 03-Feb-2027.</t>
  </si>
  <si>
    <t xml:space="preserve">WCDL (sub-limit of CC)</t>
  </si>
  <si>
    <t xml:space="preserve">Repo Rate</t>
  </si>
  <si>
    <t xml:space="preserve">Working capital</t>
  </si>
  <si>
    <t xml:space="preserve">Same as CC parent</t>
  </si>
  <si>
    <t xml:space="preserve">Repo Rate + Spread (TBD per drawdown — FLAG). Max 90-day tranche; default 95 days under RBI LDS. Sub of CC.</t>
  </si>
  <si>
    <t xml:space="preserve">Letter of Credit (WC)</t>
  </si>
  <si>
    <t xml:space="preserve">Procurement of RM, consumables, spares, capital goods</t>
  </si>
  <si>
    <t xml:space="preserve">0.60% p.a. commission. Foreign LC max 150 days; Inland 90 days. Group co LC cap 25% (Jindal Coke + JSL combined).</t>
  </si>
  <si>
    <t xml:space="preserve">BG (F+P, sub-limit of LC)</t>
  </si>
  <si>
    <t xml:space="preserve">BG performance + financial</t>
  </si>
  <si>
    <t xml:space="preserve">BG(F) 0.85% ≤1y / 1.00% 1-3y; BG(P) 0.60% / 0.75%. Onerous BG: 12.5% private, 25% PSU. Sub of LC.</t>
  </si>
  <si>
    <t xml:space="preserve">Combined Limit (Uncommitted)</t>
  </si>
  <si>
    <t xml:space="preserve">Mutually agreed</t>
  </si>
  <si>
    <t xml:space="preserve">Various</t>
  </si>
  <si>
    <t xml:space="preserve">Trade finance + working capital</t>
  </si>
  <si>
    <t xml:space="preserve">1st p-p on CA; 2nd p-p on movable FA; Pledge 51% (proportionate); JSL DSU. NO charge on immovable FA — FLAG.</t>
  </si>
  <si>
    <t xml:space="preserve">HSBC Facilities Letter 27-Feb-2026, Ref GBM NDH 260475</t>
  </si>
  <si>
    <t xml:space="preserve">HSBC: ₹1,000 Cr face UNCOMMITTED Combined Limit. Model carries ₹200 Cr post 20% haircut in Bucket 1 (Sanctioned/FB Mains). Bank retains discretion to cancel. All 14 sub-facilities Bucket 0. Security excludes immovable FA. See F-07, MP-13, F-18.</t>
  </si>
  <si>
    <t xml:space="preserve">Working Capital Loan (Uncommitted, sub of #1)</t>
  </si>
  <si>
    <t xml:space="preserve">Per Combined Limit</t>
  </si>
  <si>
    <t xml:space="preserve">6-month tenor; rate mutually agreed</t>
  </si>
  <si>
    <t xml:space="preserve">Overdraft (Uncommitted, sub of WCL)</t>
  </si>
  <si>
    <t xml:space="preserve">On demand; rate mutually agreed</t>
  </si>
  <si>
    <t xml:space="preserve">Import Controlling line - 1 (Uncommitted)</t>
  </si>
  <si>
    <t xml:space="preserve">Import financing</t>
  </si>
  <si>
    <t xml:space="preserve">Sub of OD; rate TBD</t>
  </si>
  <si>
    <t xml:space="preserve">TradePay Domestic/Import (Uncommitted)</t>
  </si>
  <si>
    <t xml:space="preserve">Buyer facility</t>
  </si>
  <si>
    <t xml:space="preserve">6 months; rate TBD</t>
  </si>
  <si>
    <t xml:space="preserve">Pre-shipment Buyer Loan (Uncommitted)</t>
  </si>
  <si>
    <t xml:space="preserve">Pre-shipment finance</t>
  </si>
  <si>
    <t xml:space="preserve">Post-Shipment Buyer Loan / DPF / LAI (Uncommitted)</t>
  </si>
  <si>
    <t xml:space="preserve">Post-shipment / domestic purchase finance</t>
  </si>
  <si>
    <t xml:space="preserve">Export Controlling line (Uncommitted)</t>
  </si>
  <si>
    <t xml:space="preserve">Export financing</t>
  </si>
  <si>
    <t xml:space="preserve">INR or FCY equivalent; rate TBD</t>
  </si>
  <si>
    <t xml:space="preserve">Pre-shipment Seller Loan (Uncommitted)</t>
  </si>
  <si>
    <t xml:space="preserve">Export pre-shipment</t>
  </si>
  <si>
    <t xml:space="preserve">6 months; INR or FCY; rate TBD</t>
  </si>
  <si>
    <t xml:space="preserve">Post-Shipment Seller Loan, Open Account (Uncommitted)</t>
  </si>
  <si>
    <t xml:space="preserve">Export post-shipment</t>
  </si>
  <si>
    <t xml:space="preserve">Import Controlling line - 2 (Uncommitted)</t>
  </si>
  <si>
    <t xml:space="preserve">Headline LC line</t>
  </si>
  <si>
    <t xml:space="preserve">Headline LC line for Letter of Credit issuance</t>
  </si>
  <si>
    <t xml:space="preserve">Import Documentary Credit - 12 (Uncommitted)</t>
  </si>
  <si>
    <t xml:space="preserve">Import DC issuance</t>
  </si>
  <si>
    <t xml:space="preserve">Sight / 180-day usance with 120-day cover; rate TBD</t>
  </si>
  <si>
    <t xml:space="preserve">Import Documentary Credit - 13 (Uncommitted)</t>
  </si>
  <si>
    <t xml:space="preserve">Second LC line — relationship to ₹772.9 Cr line unclear; FLAG</t>
  </si>
  <si>
    <t xml:space="preserve">Guarantees/Bonds Non-Financial (Uncommitted)</t>
  </si>
  <si>
    <t xml:space="preserve">Non-financial BG</t>
  </si>
  <si>
    <t xml:space="preserve">3 years + 12-month claim period</t>
  </si>
  <si>
    <t xml:space="preserve">Guarantees/Bonds Financial (Uncommitted)</t>
  </si>
  <si>
    <t xml:space="preserve">Financial BG</t>
  </si>
  <si>
    <t xml:space="preserve">Letter of Credit (WC parent)</t>
  </si>
  <si>
    <t xml:space="preserve">WC LC issuance</t>
  </si>
  <si>
    <t xml:space="preserve">1st p-p on CA; 2nd p-p on FA (incl. immovable + leasehold); 2nd p-p intangibles; Pledge 51%; OPJSTPL CG; JCL CG; JSL DSU; LoC JSL</t>
  </si>
  <si>
    <t xml:space="preserve">HDFC Bank Offer Letter 26-Mar-2026, Ref CAM012101260020</t>
  </si>
  <si>
    <t xml:space="preserve">LC 0.50% (daily). Multiple sub-limits within ₹250 Cr cap. Processing 0.12% p.a.; renewal 0.10%. JSL 2.5x cover; HR coil offtake 3mo pre-DCCO.</t>
  </si>
  <si>
    <t xml:space="preserve">Post Shipment Finance (sub of LC)</t>
  </si>
  <si>
    <t xml:space="preserve">Post-shipment finance</t>
  </si>
  <si>
    <t xml:space="preserve">Same as LC parent</t>
  </si>
  <si>
    <t xml:space="preserve">Rate TBD at drawdown — FLAG; order-backed</t>
  </si>
  <si>
    <t xml:space="preserve">Pre-shipment Finance (sub of LC)</t>
  </si>
  <si>
    <t xml:space="preserve">SBLC (sub of LC)</t>
  </si>
  <si>
    <t xml:space="preserve">SBLC for Buyers Credit</t>
  </si>
  <si>
    <t xml:space="preserve">Rate TBD at drawdown</t>
  </si>
  <si>
    <t xml:space="preserve">Cash Credit (sub of LC)</t>
  </si>
  <si>
    <t xml:space="preserve">14-day Repo (HDFC)</t>
  </si>
  <si>
    <t xml:space="preserve">CC = 8.15% linked to 14-day Repo</t>
  </si>
  <si>
    <t xml:space="preserve">WCDL (sub of LC)</t>
  </si>
  <si>
    <t xml:space="preserve">Rate TBD; max 90-day tranche</t>
  </si>
  <si>
    <t xml:space="preserve">FD-OD (FD-Backed)</t>
  </si>
  <si>
    <t xml:space="preserve">FD Rate (HDFC)</t>
  </si>
  <si>
    <t xml:space="preserve">Cash flow mismatch</t>
  </si>
  <si>
    <t xml:space="preserve">100% margin via lien on FD held by JFL/group</t>
  </si>
  <si>
    <t xml:space="preserve">FD Rate + 1% spread; monthly rests</t>
  </si>
  <si>
    <t xml:space="preserve">BG (sub of FD-OD)</t>
  </si>
  <si>
    <t xml:space="preserve">BG within FD-OD</t>
  </si>
  <si>
    <t xml:space="preserve">100% FD margin</t>
  </si>
  <si>
    <t xml:space="preserve">Sub of FD-OD; 36 months incl claim</t>
  </si>
  <si>
    <t xml:space="preserve">Term Loan — TAKEOVER of disbursed consortium</t>
  </si>
  <si>
    <t xml:space="preserve">3M I-MCLR (ICICI)</t>
  </si>
  <si>
    <t xml:space="preserve">TAKEOVER of disbursed consortium TL only (excludes cost overrun and undisbursed)</t>
  </si>
  <si>
    <t xml:space="preserve">Consortium-standard: 1st p-p on FA; 2nd p-p on CA; Pledge 51%; OPJSTPL CG; JCL CG; JSL DSU; LoC JSL; 1st pari-passu Escrow at UBI</t>
  </si>
  <si>
    <t xml:space="preserve">ICICI TL CAL 27-Mar-2026, Ref CAL504005729787</t>
  </si>
  <si>
    <t xml:space="preserve">ICICI TL: TAKEOVER of disbursed debt — NOT additive. Adj Cons = ₹4,666 − ₹840 = ₹3,826 Cr. Put Option every 5y from DCCO (first Apr-2031, 90-day notice). Moratorium 31-Mar-2027. See F-05.</t>
  </si>
  <si>
    <t xml:space="preserve">BG Financial (sub of RTL)</t>
  </si>
  <si>
    <t xml:space="preserve">Same as RTL parent</t>
  </si>
  <si>
    <t xml:space="preserve">0.75% commission; min ₹500/instrument; upfront</t>
  </si>
  <si>
    <t xml:space="preserve">SBLC Buyers Credit (sub of RTL)</t>
  </si>
  <si>
    <t xml:space="preserve">0.75% commission</t>
  </si>
  <si>
    <t xml:space="preserve">KPIs → See Lender Summary sheet for all computed KPI totals (Sanctioned Debt, Bucket splits, Adjusted Consortium, WAC, Run-rate interest).</t>
  </si>
  <si>
    <t xml:space="preserve">TERM LOANS — Consortium &amp; Bridge Summary Panel</t>
  </si>
  <si>
    <t xml:space="preserve">Side-by-side parameter comparison of all 7 term loans  |  Figures pulled from Facility Master  |  As of: 21-May-2026</t>
  </si>
  <si>
    <t xml:space="preserve">Parameter</t>
  </si>
  <si>
    <t xml:space="preserve">UBI RTL-I</t>
  </si>
  <si>
    <t xml:space="preserve">UBI RTL-II</t>
  </si>
  <si>
    <t xml:space="preserve">RBL Bank (Bridge)</t>
  </si>
  <si>
    <t xml:space="preserve">IDFC First</t>
  </si>
  <si>
    <t xml:space="preserve">ICICI TL (Takeover)</t>
  </si>
  <si>
    <t xml:space="preserve">Combined</t>
  </si>
  <si>
    <t xml:space="preserve">Effective O/S (₹ Cr)</t>
  </si>
  <si>
    <t xml:space="preserve">Moratorium (Months)</t>
  </si>
  <si>
    <t xml:space="preserve">Repayment Frequency</t>
  </si>
  <si>
    <t xml:space="preserve">Bullet ⚠</t>
  </si>
  <si>
    <t xml:space="preserve">Tenor (Months)</t>
  </si>
  <si>
    <t xml:space="preserve">No. of Instalments</t>
  </si>
  <si>
    <t xml:space="preserve">Benchmark Rate</t>
  </si>
  <si>
    <t xml:space="preserve">1Y MCLR</t>
  </si>
  <si>
    <t xml:space="preserve">TBD ⚠</t>
  </si>
  <si>
    <t xml:space="preserve">EBLR</t>
  </si>
  <si>
    <t xml:space="preserve">3M I-MCLR</t>
  </si>
  <si>
    <t xml:space="preserve">Spread (p.a.)</t>
  </si>
  <si>
    <t xml:space="preserve">Effective Rate p.a.</t>
  </si>
  <si>
    <t xml:space="preserve">UBI SL 20-Sep-2025</t>
  </si>
  <si>
    <t xml:space="preserve">IB Amend 26-Sep-2025</t>
  </si>
  <si>
    <t xml:space="preserve">RBL SL 13-Nov-2025</t>
  </si>
  <si>
    <t xml:space="preserve">YBL FL 29-Dec-2025</t>
  </si>
  <si>
    <t xml:space="preserve">IDFC SL 09-Jan-2026</t>
  </si>
  <si>
    <t xml:space="preserve">ICICI TL 27-Mar-2026</t>
  </si>
  <si>
    <t xml:space="preserve">Combined Total</t>
  </si>
  <si>
    <t xml:space="preserve">7 TLs</t>
  </si>
  <si>
    <t xml:space="preserve">48 Instals</t>
  </si>
  <si>
    <t xml:space="preserve">(excl. RBL bullet)</t>
  </si>
  <si>
    <t xml:space="preserve">MODEL NOTES</t>
  </si>
  <si>
    <t xml:space="preserve">Renewal of existing consortium TL (first drawdown 27-Jun-2023). 4-year moratorium ends 26-Jun-2027. 1Y MCLR (UBI) 8.90% + 0.50% = 9.40% p.a.</t>
  </si>
  <si>
    <t xml:space="preserve">Fresh facility within the 20-Sep-2025 UBI sanction letter. Same consortium 16yr/48-qtr structure. 1Y MCLR (UBI) 8.60% + 0.50% = 9.10% p.a.</t>
  </si>
  <si>
    <t xml:space="preserve">⚠ Indian Bank</t>
  </si>
  <si>
    <t xml:space="preserve">₹235 Cr DERIVED from 26-Sep-2025 amendment ticket (8Q × ₹2.9375 + 40Q × ₹5.2875 = ₹235 ✓). First instalment 31-Mar-2027 — ONE QUARTER EARLIER than consortium peers.</t>
  </si>
  <si>
    <t xml:space="preserve">⚠ RBL Bank</t>
  </si>
  <si>
    <t xml:space="preserve">₹200 Cr 12-MONTH BULLET bridge (NOT amortising). Drawn 13-Nov-2025; matures 13-Nov-2026. Rate TBD at disbursement. REFINANCE EVENT required Q3 FY27 — see Flag F-02.</t>
  </si>
  <si>
    <t xml:space="preserve">⚠ YES Bank</t>
  </si>
  <si>
    <t xml:space="preserve">EBLR + 3.45% (current EBLR not stated in letter). Disbursement caps: ₹485 Cr pre-COD / ₹165 Cr post-COD. Cash Sweep: DSCR &gt; 1.5x triggers ₹75 Cr/yr from 01-Apr-2028.</t>
  </si>
  <si>
    <t xml:space="preserve">⚠ IDFC First</t>
  </si>
  <si>
    <t xml:space="preserve">EBLR 7.75% + 1.05% = 8.80%. First covenant test FY27 — 2 YEARS EARLIER than consortium peers. IDFC-specific DSCR definition differs from consortium standard — see Flag F-04.</t>
  </si>
  <si>
    <t xml:space="preserve">⚠ ICICI TL</t>
  </si>
  <si>
    <t xml:space="preserve">₹840 Cr TAKEOVER of disbursed consortium TL (NOT additive). I-MCLR-3M + 0.60% = 8.70%. 5-YEAR PUT OPTION from DCCO (first: 01-Apr-2031). Adjusted Consortium = ₹4,666 − ₹840 = ₹3,826 Cr.</t>
  </si>
  <si>
    <t xml:space="preserve">WORKING CAPITAL FACILITIES — Fund-Based WC Lines</t>
  </si>
  <si>
    <t xml:space="preserve">Filtered view of fund-based WC lines (FB / FB-FDbacked) — all values linked from Facility Master via INDEX. Includes HSBC uncommitted lines (Bucket 4, sub-limits).</t>
  </si>
  <si>
    <t xml:space="preserve">Sub-Limit?</t>
  </si>
  <si>
    <t xml:space="preserve">Ccy</t>
  </si>
  <si>
    <t xml:space="preserve">Sanc (₹ Cr)</t>
  </si>
  <si>
    <t xml:space="preserve">Validity</t>
  </si>
  <si>
    <t xml:space="preserve">TOTALS</t>
  </si>
  <si>
    <t xml:space="preserve">⚠ HSBC ₹200 Cr (post 20% haircut on ₹1,000 Cr face — see MP-13) is classified in Bucket 1 (Sanctioned / FB Mains). Sub-facilities remain Bucket 0 (sub-limits, not additive). Bank retains unrestricted discretion to cancel — see F-07.</t>
  </si>
  <si>
    <t xml:space="preserve">NON-FUND BASED FACILITIES — LC / SBLC / BG</t>
  </si>
  <si>
    <t xml:space="preserve">Filtered view of NFB lines (LC / SBLC / BG) — all values linked from Facility Master. Commission run-rate = Sanc × Commission %. HSBC lines are UNCOMMITTED (Bucket 4).</t>
  </si>
  <si>
    <t xml:space="preserve">Commission %</t>
  </si>
  <si>
    <t xml:space="preserve">Annual Comm (₹ Cr)</t>
  </si>
  <si>
    <t xml:space="preserve">⚠ Bucket 2 NFB Mains = ₹550 Cr (ICICI LC ₹300 Cr + HDFC LC ₹250 Cr). All other NFB lines are contingent sub-limits (Bucket 0) or UNCOMMITTED (Bucket 4, HSBC). Annual commission is indicative run-rate at full utilisation.</t>
  </si>
  <si>
    <t xml:space="preserve">* Sanc/O/S totals above include sub-limits (not additive with parent). Bucket 2 Mains = ₹550 Cr. NFB Contingent (Bucket 0 sub-limits) = ₹2,040 Cr. HSBC ₹200 Cr (post 20% haircut) is classified Bucket 1 (see MP-13 / F-18). Sub-limits remain Bucket 0.</t>
  </si>
  <si>
    <t xml:space="preserve">REPAYMENT SCHEDULE — Quarterly (Q1 FY24 to Q4 FY39)</t>
  </si>
  <si>
    <t xml:space="preserve">All 7 TLs modelled. Note: Repayment Schedule shows CONTRACTUAL amortization assuming full sanctioned drawdown. Aggregate FY29 OS (excl. RBL) = ~₹3,249 Cr vs TEV's planned LT debt of ₹2,388 Cr (TEV assumes partial drawdown / earlier prepayment). Covenants in FY29 Compliance use TEV figures; the schedule above is a contractual max-utilization view. RBL bullet (₹200 Cr) repays Q3 FY27 (13-Nov-2026 maturity); post-COD refinance assumed.</t>
  </si>
  <si>
    <t xml:space="preserve">PERIOD</t>
  </si>
  <si>
    <t xml:space="preserve">UBI RTL-I  |  ₹1,125 Cr  |  9.40%</t>
  </si>
  <si>
    <t xml:space="preserve">UBI RTL-II  |  ₹236 Cr  |  9.10%</t>
  </si>
  <si>
    <t xml:space="preserve">INDIAN BANK  |  ₹235 Cr  |  9.40%</t>
  </si>
  <si>
    <t xml:space="preserve">RBL BRIDGE  |  ₹200 Cr  |  BULLET  ⚠</t>
  </si>
  <si>
    <t xml:space="preserve">YES BANK  |  ₹650 Cr  |  EBLR+3.45%</t>
  </si>
  <si>
    <t xml:space="preserve">IDFC FIRST  |  ₹530 Cr  |  EBLR+1.05%</t>
  </si>
  <si>
    <t xml:space="preserve">ICICI TL  |  ₹840 Cr  |  TAKEOVER  ↺</t>
  </si>
  <si>
    <t xml:space="preserve">CONSOLIDATED (excl. RBL)</t>
  </si>
  <si>
    <t xml:space="preserve">Period End</t>
  </si>
  <si>
    <t xml:space="preserve">Label</t>
  </si>
  <si>
    <t xml:space="preserve">Opening</t>
  </si>
  <si>
    <t xml:space="preserve">Drawdown</t>
  </si>
  <si>
    <t xml:space="preserve">Prin Rep</t>
  </si>
  <si>
    <t xml:space="preserve">Interest</t>
  </si>
  <si>
    <t xml:space="preserve">Closing</t>
  </si>
  <si>
    <t xml:space="preserve">Total Prin</t>
  </si>
  <si>
    <t xml:space="preserve">Total Int</t>
  </si>
  <si>
    <t xml:space="preserve">Total DS</t>
  </si>
  <si>
    <t xml:space="preserve">Combined O/S</t>
  </si>
  <si>
    <t xml:space="preserve">Q1 FY24</t>
  </si>
  <si>
    <t xml:space="preserve">Q2 FY24</t>
  </si>
  <si>
    <t xml:space="preserve">Q3 FY24</t>
  </si>
  <si>
    <t xml:space="preserve">Q4 FY24</t>
  </si>
  <si>
    <t xml:space="preserve">Q1 FY25</t>
  </si>
  <si>
    <t xml:space="preserve">Q2 FY25</t>
  </si>
  <si>
    <t xml:space="preserve">Q3 FY25</t>
  </si>
  <si>
    <t xml:space="preserve">Q4 FY25</t>
  </si>
  <si>
    <t xml:space="preserve">Q1 FY26</t>
  </si>
  <si>
    <t xml:space="preserve">Q2 FY26</t>
  </si>
  <si>
    <t xml:space="preserve">Q3 FY26</t>
  </si>
  <si>
    <t xml:space="preserve">Q4 FY26</t>
  </si>
  <si>
    <t xml:space="preserve">Q1 FY27</t>
  </si>
  <si>
    <t xml:space="preserve">Q2 FY27</t>
  </si>
  <si>
    <t xml:space="preserve">← Q3 FY27  ⚠ RBL BULLET DUE</t>
  </si>
  <si>
    <t xml:space="preserve">Q4 FY27</t>
  </si>
  <si>
    <t xml:space="preserve">Q1 FY28</t>
  </si>
  <si>
    <t xml:space="preserve">Q2 FY28</t>
  </si>
  <si>
    <t xml:space="preserve">Q3 FY28</t>
  </si>
  <si>
    <t xml:space="preserve">Q4 FY28</t>
  </si>
  <si>
    <t xml:space="preserve">← Q1 FY29 (First Test Year)</t>
  </si>
  <si>
    <t xml:space="preserve">Q2 FY29</t>
  </si>
  <si>
    <t xml:space="preserve">Q3 FY29</t>
  </si>
  <si>
    <t xml:space="preserve">Q4 FY29</t>
  </si>
  <si>
    <t xml:space="preserve">Q1 FY30</t>
  </si>
  <si>
    <t xml:space="preserve">Q2 FY30</t>
  </si>
  <si>
    <t xml:space="preserve">Q3 FY30</t>
  </si>
  <si>
    <t xml:space="preserve">Q4 FY30</t>
  </si>
  <si>
    <t xml:space="preserve">Q1 FY31</t>
  </si>
  <si>
    <t xml:space="preserve">Q2 FY31</t>
  </si>
  <si>
    <t xml:space="preserve">Q3 FY31</t>
  </si>
  <si>
    <t xml:space="preserve">Q4 FY31</t>
  </si>
  <si>
    <t xml:space="preserve">Q1 FY32</t>
  </si>
  <si>
    <t xml:space="preserve">Q2 FY32</t>
  </si>
  <si>
    <t xml:space="preserve">Q3 FY32</t>
  </si>
  <si>
    <t xml:space="preserve">Q4 FY32</t>
  </si>
  <si>
    <t xml:space="preserve">Q1 FY33</t>
  </si>
  <si>
    <t xml:space="preserve">Q2 FY33</t>
  </si>
  <si>
    <t xml:space="preserve">Q3 FY33</t>
  </si>
  <si>
    <t xml:space="preserve">Q4 FY33</t>
  </si>
  <si>
    <t xml:space="preserve">Q1 FY34</t>
  </si>
  <si>
    <t xml:space="preserve">Q2 FY34</t>
  </si>
  <si>
    <t xml:space="preserve">Q3 FY34</t>
  </si>
  <si>
    <t xml:space="preserve">Q4 FY34</t>
  </si>
  <si>
    <t xml:space="preserve">Q1 FY35</t>
  </si>
  <si>
    <t xml:space="preserve">Q2 FY35</t>
  </si>
  <si>
    <t xml:space="preserve">Q3 FY35</t>
  </si>
  <si>
    <t xml:space="preserve">Q4 FY35</t>
  </si>
  <si>
    <t xml:space="preserve">Q1 FY36</t>
  </si>
  <si>
    <t xml:space="preserve">Q2 FY36</t>
  </si>
  <si>
    <t xml:space="preserve">Q3 FY36</t>
  </si>
  <si>
    <t xml:space="preserve">Q4 FY36</t>
  </si>
  <si>
    <t xml:space="preserve">Q1 FY37</t>
  </si>
  <si>
    <t xml:space="preserve">Q2 FY37</t>
  </si>
  <si>
    <t xml:space="preserve">Q3 FY37</t>
  </si>
  <si>
    <t xml:space="preserve">Q4 FY37</t>
  </si>
  <si>
    <t xml:space="preserve">Q1 FY38</t>
  </si>
  <si>
    <t xml:space="preserve">Q2 FY38</t>
  </si>
  <si>
    <t xml:space="preserve">Q3 FY38</t>
  </si>
  <si>
    <t xml:space="preserve">Q4 FY38</t>
  </si>
  <si>
    <t xml:space="preserve">Q1 FY39</t>
  </si>
  <si>
    <t xml:space="preserve">Q2 FY39</t>
  </si>
  <si>
    <t xml:space="preserve">Q3 FY39</t>
  </si>
  <si>
    <t xml:space="preserve">Q4 FY39</t>
  </si>
  <si>
    <t xml:space="preserve">CURRENT OUTSTANDING SNAPSHOT — As of AsOfDate (from Instructions &amp; Assumptions)</t>
  </si>
  <si>
    <t xml:space="preserve">Term Loan</t>
  </si>
  <si>
    <t xml:space="preserve">Principal O/S at AsOfDate (₹ Cr)</t>
  </si>
  <si>
    <t xml:space="preserve">RBL Bridge</t>
  </si>
  <si>
    <t xml:space="preserve">ICICI TL</t>
  </si>
  <si>
    <t xml:space="preserve">Total TL Principal O/S</t>
  </si>
  <si>
    <t xml:space="preserve">INTEREST &amp; COMMISSION SCHEDULE — Annual Run-Rate</t>
  </si>
  <si>
    <t xml:space="preserve">Annual interest/commission = Effective O/S × Effective Rate. FB facilities pay interest on principal; NFB pay commission on sanctioned face. All values flow from Facility Master.</t>
  </si>
  <si>
    <t xml:space="preserve">Eff O/S (₹ Cr)</t>
  </si>
  <si>
    <t xml:space="preserve">Eff Rate</t>
  </si>
  <si>
    <t xml:space="preserve">Annual Int/Comm (₹ Cr)</t>
  </si>
  <si>
    <t xml:space="preserve">CCY</t>
  </si>
  <si>
    <t xml:space="preserve">SUMMARY — ANNUAL INTEREST &amp; COMMISSION BY BUCKET</t>
  </si>
  <si>
    <t xml:space="preserve">Description</t>
  </si>
  <si>
    <t xml:space="preserve">Int/Comm (₹ Cr)</t>
  </si>
  <si>
    <t xml:space="preserve">Notes</t>
  </si>
  <si>
    <t xml:space="preserve">FB Mains (Term + WC)</t>
  </si>
  <si>
    <t xml:space="preserve">Economic run-rate</t>
  </si>
  <si>
    <t xml:space="preserve">NFB Mains (LC/BG Mains)</t>
  </si>
  <si>
    <t xml:space="preserve">Commission on sanctioned face</t>
  </si>
  <si>
    <t xml:space="preserve">FD-Backed (econ. ≈ zero)</t>
  </si>
  <si>
    <t xml:space="preserve">FD covers exposure</t>
  </si>
  <si>
    <t xml:space="preserve">★</t>
  </si>
  <si>
    <t xml:space="preserve">TOTAL ECONOMIC RUN-RATE</t>
  </si>
  <si>
    <t xml:space="preserve">B1+B2+B3 only</t>
  </si>
  <si>
    <t xml:space="preserve">Uncommitted (B4 — nil after HSBC reclassified to B1)</t>
  </si>
  <si>
    <t xml:space="preserve">Discretionary; no obligation</t>
  </si>
  <si>
    <t xml:space="preserve">Sub-limits (already in parent)</t>
  </si>
  <si>
    <t xml:space="preserve">Not additive — informational only</t>
  </si>
  <si>
    <t xml:space="preserve">WAC</t>
  </si>
  <si>
    <t xml:space="preserve">Weighted Avg Cost — FB Economic Debt (B1)</t>
  </si>
  <si>
    <t xml:space="preserve">Note: B0 sub-limits do NOT add to economic run-rate — they share their parent's capacity. B4 (HSBC uncommitted) is discretionary and excluded from WAC calculation.</t>
  </si>
  <si>
    <t xml:space="preserve">DEBT PRICING TABLE — Benchmark + Spread Build-Up</t>
  </si>
  <si>
    <t xml:space="preserve">Effective rate = Benchmark + Spread. Every cell ties to Facility Master.</t>
  </si>
  <si>
    <t xml:space="preserve">Benchmark / Reference Rate</t>
  </si>
  <si>
    <t xml:space="preserve">Spread (bps)</t>
  </si>
  <si>
    <t xml:space="preserve">Eff. Rate p.a.</t>
  </si>
  <si>
    <t xml:space="preserve">WEIGHTED AVERAGE COST SUMMARY</t>
  </si>
  <si>
    <t xml:space="preserve">Eff. Rate</t>
  </si>
  <si>
    <t xml:space="preserve">Wt. Interest (₹ Cr)</t>
  </si>
  <si>
    <t xml:space="preserve">B1</t>
  </si>
  <si>
    <t xml:space="preserve">FB Mains — Total O/S (₹ Cr)</t>
  </si>
  <si>
    <t xml:space="preserve">FB Mains — Annual Interest (₹ Cr)</t>
  </si>
  <si>
    <t xml:space="preserve">WAC — FB Economic Debt (Bucket 1)</t>
  </si>
  <si>
    <t xml:space="preserve">RATE TYPE LEGEND</t>
  </si>
  <si>
    <t xml:space="preserve">Rate resets periodically (MCLR / EBLR / Repo). Benchmark listed in col E.</t>
  </si>
  <si>
    <t xml:space="preserve">Commission or fixed rate — does not reset with market rates.</t>
  </si>
  <si>
    <t xml:space="preserve">Rate to be decided at disbursement per sanction letter. Shown indicatively at ~9.5%.</t>
  </si>
  <si>
    <t xml:space="preserve">SECURITY &amp; CHARGE MATRIX — Collateral &amp; Guarantee Register</t>
  </si>
  <si>
    <t xml:space="preserve">Lender-level collateral structure compiled from sanction letters. Pari-passu charges across consortium per UBI as Lead Bank.</t>
  </si>
  <si>
    <t xml:space="preserve"># Facilities</t>
  </si>
  <si>
    <t xml:space="preserve">Guarantees</t>
  </si>
  <si>
    <t xml:space="preserve">Charge Type Summary</t>
  </si>
  <si>
    <t xml:space="preserve">Full Security Description</t>
  </si>
  <si>
    <t xml:space="preserve">OPJSTPL CG + JSL DSU</t>
  </si>
  <si>
    <t xml:space="preserve">1st p-p FA + intangibles + Escrow; 2nd p-p CA; Pledge 51%</t>
  </si>
  <si>
    <t xml:space="preserve">1st pari-passu charge on FA (movable+immovable+leasehold Project Land 220.68 acres); 1st p-p on intangibles; 2nd p-p on CA; 1st p-p Escrow account; Pledge of 51% shareholding by OPJSTPL; OPJSTPL Corporate Guarantee; JCL Corporate Guarantee (extinguished at security perfection); JSL DSU (Deficit Service Undertaking)</t>
  </si>
  <si>
    <t xml:space="preserve">Consortium-standard (per original SL)</t>
  </si>
  <si>
    <t xml:space="preserve">Per consortium structure (original SL not in file set)</t>
  </si>
  <si>
    <t xml:space="preserve">Original Indian Bank sanction letter is NOT in the file set — security per the 26-Sep-2025 amendment ticket presumed to mirror consortium-standard security with UBI as Lead Bank. Confirm with Indian Bank at next review.</t>
  </si>
  <si>
    <t xml:space="preserve">OPJSTPL CG + JSL Shortfall Undertaking</t>
  </si>
  <si>
    <t xml:space="preserve">Unsecured TL with corporate-guarantee back-stop; 100% FD on FDOD</t>
  </si>
  <si>
    <t xml:space="preserve">TL ₹200 Cr: Unconditional &amp; Irrevocable Corporate Guarantee from OPJSTPL; Shortfall Undertaking from JSL Ltd; NOT secured against project assets (12-month bullet bridge). FDOD ₹100 Cr: 100% lien on FD held by JFL/JSL/Jindal Coke/JUSL. Min promoter contribution ₹1,363 Cr covenant. Min BBB external rating within 180 days.</t>
  </si>
  <si>
    <t xml:space="preserve">OPJSTPL CG + JSL DSU/LoC + JCL CG (till perfection)</t>
  </si>
  <si>
    <t xml:space="preserve">1st p-p FA + intangibles; 2nd p-p CA; Pledge 51%</t>
  </si>
  <si>
    <t xml:space="preserve">1st pari-passu charge on FA (incl leasehold rights at Project Land); 1st p-p on intangibles; 2nd p-p on CA; Pledge of 51% shareholding by OPJSTPL; JSL DSU; JSL Letter of Comfort; OPJSTPL CG; JCL CG (extinguished at security perfection). Cash Sweep: DSCR&gt;1.5x ₹75 Cr/yr cap, from 2y post-COD.</t>
  </si>
  <si>
    <t xml:space="preserve">OPJSTPL CG + JSL DSU/LoC + JCL CG + Escrow at UBI</t>
  </si>
  <si>
    <t xml:space="preserve">Consortium-standard pari-passu</t>
  </si>
  <si>
    <t xml:space="preserve">Consortium-standard: 1st p-p on FA; 2nd p-p on CA; Pledge of 51%; OPJSTPL CG; JCL CG; JSL DSU; JSL LoC. Escrow at UBI. FY27 first covenant test (2y earlier than peers — FLAG). DIFFERENT DSCR definition — FLAG. Quasi Equity cap ₹337.50 Cr (vs ₹408.60 Cr peers — FLAG).</t>
  </si>
  <si>
    <t xml:space="preserve">1st p-p CA; 2nd p-p FA</t>
  </si>
  <si>
    <t xml:space="preserve">WC facility: 1st p-p on CA; 2nd p-p on FA (movable+immovable+leasehold Project Land); 2nd p-p intangibles; Pledge of 51%; OPJSTPL CG; JCL CG (extinguished at perfection); JSL DSU; JSL LoC. Margins: 25% uniform inventory; book debt 90d cover 25%. Group co LC cap: 25% (JCL + JSL combined).</t>
  </si>
  <si>
    <t xml:space="preserve">JSL DSU; Pledge 51% (proportionate)</t>
  </si>
  <si>
    <t xml:space="preserve">NO charge on immovable FA — FLAG</t>
  </si>
  <si>
    <t xml:space="preserve">UNCOMMITTED ₹1,000 Cr Combined Limit. Security EXCLUDES immovable fixed assets (only consortium lender that does so — FLAG). 1st p-p on CA; 2nd p-p on movable FA; Pledge of 51% (proportionate); JSL DSU. JSL cap 40% of listed-securities value (tightest covenant). External CA cert within 7 days of month-end. NO penal interest per RBI guidelines.</t>
  </si>
  <si>
    <t xml:space="preserve">OPJSTPL CG + JSL DSU/LoC + JCL CG</t>
  </si>
  <si>
    <t xml:space="preserve">1st p-p CA; 2nd p-p FA (incl immovable + leasehold)</t>
  </si>
  <si>
    <t xml:space="preserve">WC facility: 1st p-p on CA; 2nd p-p on FA (incl immovable + leasehold); 2nd p-p intangibles; Pledge of 51%; OPJSTPL CG; JCL CG; JSL DSU; JSL LoC. JSL 2.5x cover. HR coil offtake 3 months pre-DCCO. Security perfection 60 days. FD-OD ₹50 Cr is 100% FD-backed (separate FD lien).</t>
  </si>
  <si>
    <t xml:space="preserve">Consortium-standard: 1st p-p on FA; 2nd p-p on CA; Pledge of 51%; OPJSTPL CG; JCL CG; JSL DSU; JSL LoC; 1st p-p Escrow at UBI. UNIQUE: 5-year put option from DCCO (90-day repayment if invoked). Covenants FY29 first test (120 days of FY end).</t>
  </si>
  <si>
    <t xml:space="preserve">SECURITY LEGEND &amp; CONSORTIUM NOTES</t>
  </si>
  <si>
    <t xml:space="preserve">Pari-Passu</t>
  </si>
  <si>
    <t xml:space="preserve">All consortium TL lenders (UBI, Indian Bank, YES, IDFC, ICICI TL) share 1st p-p on FA and 2nd p-p on CA, inter-se. UBI acts as Lead Bank holding security on behalf of consortium.</t>
  </si>
  <si>
    <t xml:space="preserve">OPJSTPL CG</t>
  </si>
  <si>
    <t xml:space="preserve">OP Jindal Stainless &amp; Tinplate Pvt Ltd Corporate Guarantee — promoter entity guarantee backing all consortium and bilateral TL facilities.</t>
  </si>
  <si>
    <t xml:space="preserve">JSL DSU / LoC</t>
  </si>
  <si>
    <t xml:space="preserve">JSL Ltd Deficit Service Undertaking (DSU) and Letter of Comfort (LoC) — JSL group support mechanism across most lenders.</t>
  </si>
  <si>
    <t xml:space="preserve">⚠ HSBC FLAG</t>
  </si>
  <si>
    <t xml:space="preserve">HSBC is the ONLY lender with NO charge on immovable fixed assets. Security excludes project land. See F-07.</t>
  </si>
  <si>
    <t xml:space="preserve">⚠ RBL FLAG</t>
  </si>
  <si>
    <t xml:space="preserve">RBL ₹200 Cr TL is UNSECURED (no project asset charge) — corporate guarantee backstop only. 12-month bullet — refinance risk. See F-02.</t>
  </si>
  <si>
    <t xml:space="preserve">UTILIZATION TRACKER — Real-time Drawn vs Sanctioned + Validity Countdown</t>
  </si>
  <si>
    <t xml:space="preserve">Days to Validity / Maturity computed against AsOfDate. Status flag escalates as expiry approaches.</t>
  </si>
  <si>
    <t xml:space="preserve">Days to Validity</t>
  </si>
  <si>
    <t xml:space="preserve">Review Flag</t>
  </si>
  <si>
    <t xml:space="preserve">⚠ Rows with negative Days to Validity are past their stated validity date — renew immediately. HSBC is UNCOMMITTED — bank may decline to draw. YES Bank Capex LC availability expired 02-Mar-2026 (per SL).</t>
  </si>
  <si>
    <t xml:space="preserve">STATUS LEGEND</t>
  </si>
  <si>
    <t xml:space="preserve">Expiring (≤30d)</t>
  </si>
  <si>
    <t xml:space="preserve">Validity date is within 30 days or already past. Immediate renewal action required.</t>
  </si>
  <si>
    <t xml:space="preserve">Maturing (≤1yr)</t>
  </si>
  <si>
    <t xml:space="preserve">Facility matures within 12 months. Refinance/renewal planning required. See RBL F-02.</t>
  </si>
  <si>
    <t xml:space="preserve">High (&gt;90%)</t>
  </si>
  <si>
    <t xml:space="preserve">Utilization is above 90% of sanctioned limit.</t>
  </si>
  <si>
    <t xml:space="preserve">TL — On Schedule</t>
  </si>
  <si>
    <t xml:space="preserve">Term loan repaying per amortisation schedule. Days shown = tenor end date.</t>
  </si>
  <si>
    <t xml:space="preserve">OK</t>
  </si>
  <si>
    <t xml:space="preserve">No immediate action required.</t>
  </si>
  <si>
    <t xml:space="preserve">RENEWAL &amp; REVIEW CALENDAR — Validity, Review &amp; Maturity Tracking</t>
  </si>
  <si>
    <t xml:space="preserve">Sorted by Days to Validity ascending (earliest expiries first). Action prompts based on horizon.</t>
  </si>
  <si>
    <t xml:space="preserve">Validity / Maturity</t>
  </si>
  <si>
    <t xml:space="preserve">Days</t>
  </si>
  <si>
    <t xml:space="preserve">Action Required</t>
  </si>
  <si>
    <t xml:space="preserve">⚠ URGENT ACTIONS REQUIRED</t>
  </si>
  <si>
    <t xml:space="preserve">🔶 RBL Bank — Term Loan (₹200 Cr bullet) matures in 185 days (13-Nov-2026). Begin refinance planning.</t>
  </si>
  <si>
    <t xml:space="preserve">🔴 Validity passed — confirm renewal</t>
  </si>
  <si>
    <t xml:space="preserve">Expired — immediate action needed</t>
  </si>
  <si>
    <t xml:space="preserve">🟡 Maturing ≤1yr</t>
  </si>
  <si>
    <t xml:space="preserve">Within 12 months — begin planning</t>
  </si>
  <si>
    <t xml:space="preserve">🟢 Valid</t>
  </si>
  <si>
    <t xml:space="preserve">Within validity period</t>
  </si>
  <si>
    <t xml:space="preserve">🔵 Term Loan — On Schedule</t>
  </si>
  <si>
    <t xml:space="preserve">Tenor runs until final maturity</t>
  </si>
  <si>
    <t xml:space="preserve">MANAGEMENT FLAGS — F-01..F-15 Registry</t>
  </si>
  <si>
    <t xml:space="preserve">Treasury / credit-committee items requiring decision, action, or external verification. Derived from inline 'FLAG:' tags + V&amp;V findings.</t>
  </si>
  <si>
    <t xml:space="preserve">Flag #</t>
  </si>
  <si>
    <t xml:space="preserve">Severity</t>
  </si>
  <si>
    <t xml:space="preserve">Lender / Sheet</t>
  </si>
  <si>
    <t xml:space="preserve">Source / Trigger</t>
  </si>
  <si>
    <t xml:space="preserve">Owner</t>
  </si>
  <si>
    <t xml:space="preserve">F-01</t>
  </si>
  <si>
    <t xml:space="preserve">High</t>
  </si>
  <si>
    <t xml:space="preserve">Source Inconsistency</t>
  </si>
  <si>
    <t xml:space="preserve">ICICI Bank (WC) / Facility Master R22 + Interest Schedule R21</t>
  </si>
  <si>
    <t xml:space="preserve">BG sub-limit: Annexure I states ₹3.00bn (₹300 Cr) vs page 8 detail BG(F) ₹1.0bn + BG(P) ₹1.0bn with F sub of P. Model retains ₹300 Cr per Annexure I summary.</t>
  </si>
  <si>
    <t xml:space="preserve">ICICI WC CAL Annex I vs pp.7-8</t>
  </si>
  <si>
    <t xml:space="preserve">Treasury to obtain ICICI's written confirmation of authoritative BG limit</t>
  </si>
  <si>
    <t xml:space="preserve">Treasury</t>
  </si>
  <si>
    <t xml:space="preserve">Open</t>
  </si>
  <si>
    <t xml:space="preserve">F-02</t>
  </si>
  <si>
    <t xml:space="preserve">Refinance Risk</t>
  </si>
  <si>
    <t xml:space="preserve">RBL Bank / Repayment Schedule cols 19-23</t>
  </si>
  <si>
    <t xml:space="preserve">RBL ₹200 Cr Term Loan is a 12-month BULLET maturing 13-Nov-2026 (Q3 FY27). Post-COD refinance required. Model now properly repays bullet at maturity (Iter 3 Finding 13).</t>
  </si>
  <si>
    <t xml:space="preserve">RBL SL 13-Nov-2025 p.2 'Tenor: Up to 12 Months / Bullet'</t>
  </si>
  <si>
    <t xml:space="preserve">Treasury to confirm refinance plan or roll-over arrangement with RBL</t>
  </si>
  <si>
    <t xml:space="preserve">F-03</t>
  </si>
  <si>
    <t xml:space="preserve">Medium</t>
  </si>
  <si>
    <t xml:space="preserve">Source Ambiguity</t>
  </si>
  <si>
    <t xml:space="preserve">IDFC First Bank / Facility Master R17 + Interest Schedule R16</t>
  </si>
  <si>
    <t xml:space="preserve">RESOLVED (Iter 5): IDFC SL p.2 verbatim 'Sub-Limits under Facility: Rs 400.00 Cr towards non-funded limits'. A=Capex LC/SBLC max ₹400; B=Financial BG/SBLC max ₹200 sub-cap of A. Model correctly applies NFB Contingent Flag (AG)=FALSE on B to avoid double-counting. NFB Contingent total = ₹2,040 Cr is correct.</t>
  </si>
  <si>
    <t xml:space="preserve">IDFC First SL 09-Jan-2026 facility table</t>
  </si>
  <si>
    <t xml:space="preserve">Resolved — no further action needed</t>
  </si>
  <si>
    <t xml:space="preserve">Closed</t>
  </si>
  <si>
    <t xml:space="preserve">F-04</t>
  </si>
  <si>
    <t xml:space="preserve">Low</t>
  </si>
  <si>
    <t xml:space="preserve">Covenant Test Timing</t>
  </si>
  <si>
    <t xml:space="preserve">IDFC First Bank / FY29 Compliance R17</t>
  </si>
  <si>
    <t xml:space="preserve">IDFC requires covenants tested 'from FY27 Annual'. Model tests at FY29 (consistent with consortium first-test post-COD). FY27/FY28 covenant tests should be reported separately.</t>
  </si>
  <si>
    <t xml:space="preserve">IDFC First SL 09-Jan-2026 p.5</t>
  </si>
  <si>
    <t xml:space="preserve">Implement FY27 and FY28 intermediate covenant testing schedule</t>
  </si>
  <si>
    <t xml:space="preserve">F-05</t>
  </si>
  <si>
    <t xml:space="preserve">Optional Prepayment</t>
  </si>
  <si>
    <t xml:space="preserve">ICICI Bank (TL) / FY29 Compliance R22</t>
  </si>
  <si>
    <t xml:space="preserve">ICICI TL has Put Option exercisable by lender every 5 years from DCCO (1-Apr-2026). Next put dates: 1-Apr-2031, 1-Apr-2036. ₹840 Cr early-repayment risk.</t>
  </si>
  <si>
    <t xml:space="preserve">ICICI TL CAL 27-Mar-2026 p.5 'Put Option'</t>
  </si>
  <si>
    <t xml:space="preserve">Build put-option scenario in Scenario Analysis; ensure liquidity buffer</t>
  </si>
  <si>
    <t xml:space="preserve">F-06</t>
  </si>
  <si>
    <t xml:space="preserve">Rate Reset Mechanism</t>
  </si>
  <si>
    <t xml:space="preserve">YES Bank / Debt Pricing Table R13</t>
  </si>
  <si>
    <t xml:space="preserve">EBLR linked to Repo Rate (verified Iter 2). Spread reset right by lender every 3 years post-SCOD. Pricing change risk = 3.45% spread review.</t>
  </si>
  <si>
    <t xml:space="preserve">YES Bank Final FL 30-Dec-2025 'Lender shall reserve the right to reset spread'</t>
  </si>
  <si>
    <t xml:space="preserve">Diary the first spread reset date (SCOD + 3y); pricing scenario for spread shock</t>
  </si>
  <si>
    <t xml:space="preserve">F-07</t>
  </si>
  <si>
    <t xml:space="preserve">Uncommitted Facility</t>
  </si>
  <si>
    <t xml:space="preserve">HSBC / Facility Master R23-R37</t>
  </si>
  <si>
    <t xml:space="preserve">HSBC ₹1,000 Cr face Combined Limit is UNCOMMITTED per SL. Model carries ₹200 Cr (post 20% haircut — see MP-13) classified as Bucket 1 (Sanctioned). If HSBC withdraws, ₹200 Cr of Sanctioned Debt evaporates instantly — no legal commitment from bank. 14 sub-facilities unconditional.</t>
  </si>
  <si>
    <t xml:space="preserve">HSBC Facilities Letter 27-Feb-2026 'Uncommitted'</t>
  </si>
  <si>
    <t xml:space="preserve">Negotiate committed tranche if working capital reliance grows; alternative consortium WC provider</t>
  </si>
  <si>
    <t xml:space="preserve">F-08</t>
  </si>
  <si>
    <t xml:space="preserve">Rate TBD</t>
  </si>
  <si>
    <t xml:space="preserve">HDFC Bank / Debt Pricing Table R37-R44</t>
  </si>
  <si>
    <t xml:space="preserve">Most HDFC pricing TBD at drawdown (Post-shipment, Pre-shipment, SBLC, WCDL all 'To be decided'). 9.50% provisional rate may differ at actual disbursement.</t>
  </si>
  <si>
    <t xml:space="preserve">HDFC Offer Letter 26-Mar-2026 Annexure I pp.22-25</t>
  </si>
  <si>
    <t xml:space="preserve">Lock pricing on each HDFC disbursement; update model with actual rates</t>
  </si>
  <si>
    <t xml:space="preserve">F-09</t>
  </si>
  <si>
    <t xml:space="preserve">Hedge Memo Treatment</t>
  </si>
  <si>
    <t xml:space="preserve">UBI / Facility Master R9</t>
  </si>
  <si>
    <t xml:space="preserve">UBI ₹75 Cr Forward Contract is not financial debt. Marked 'H' (Hedge) bucket; excluded from Bucket 0/1/2/3/4 totals. Credit-equivalent only.</t>
  </si>
  <si>
    <t xml:space="preserve">UBI SL 20-Sep-2025 Forward Contract '^' supplementary note</t>
  </si>
  <si>
    <t xml:space="preserve">Document any hedge utilization on FCY exposure</t>
  </si>
  <si>
    <t xml:space="preserve">Acceptable</t>
  </si>
  <si>
    <t xml:space="preserve">F-10</t>
  </si>
  <si>
    <t xml:space="preserve">ATNW = TNW</t>
  </si>
  <si>
    <t xml:space="preserve">Audit / Instructions &amp; Assumptions D34</t>
  </si>
  <si>
    <t xml:space="preserve">Adjusted Tangible Net Worth (ATNW) = Total Net Worth (TNW) ₹993.45 L for JFL — no material intangibles (no goodwill; DTA ₹42.07 L immaterial).</t>
  </si>
  <si>
    <t xml:space="preserve">JFL FY25 Audit Report BS</t>
  </si>
  <si>
    <t xml:space="preserve">Continue ATNW = TNW until material intangibles arise</t>
  </si>
  <si>
    <t xml:space="preserve">Finance</t>
  </si>
  <si>
    <t xml:space="preserve">F-11</t>
  </si>
  <si>
    <t xml:space="preserve">ICICI Bank (WC) / V&amp;V Iter 2 Finding 12</t>
  </si>
  <si>
    <t xml:space="preserve">SEE F-01 — same ICICI WC BG Annexure I inconsistency</t>
  </si>
  <si>
    <t xml:space="preserve">See F-01</t>
  </si>
  <si>
    <t xml:space="preserve">Open (linked F-01)</t>
  </si>
  <si>
    <t xml:space="preserve">F-12</t>
  </si>
  <si>
    <t xml:space="preserve">Promoter Contribution</t>
  </si>
  <si>
    <t xml:space="preserve">RBL Bank / FY29 Compliance R27 + MP-03</t>
  </si>
  <si>
    <t xml:space="preserve">RBL min promoter contribution ₹1,363 Cr vs ICICI TL ₹1,362 Cr — ₹0.74 Cr rounding (RBL says ₹1,363 vs ICICI says ₹13.62bn). Both pre-COD requirement.</t>
  </si>
  <si>
    <t xml:space="preserve">RBL SL p.5 / ICICI TL CAL p.4</t>
  </si>
  <si>
    <t xml:space="preserve">Confirm RBL accepts the equity ₹993.45 L + promoter ICDs ₹856.76 = ₹1,850 L as fully compliant</t>
  </si>
  <si>
    <t xml:space="preserve">F-13</t>
  </si>
  <si>
    <t xml:space="preserve">Disbursement Schedule</t>
  </si>
  <si>
    <t xml:space="preserve">YES Bank / V&amp;V Iter 2 verification</t>
  </si>
  <si>
    <t xml:space="preserve">YES Bank disbursement restricted to ₹485 Cr till COD + ₹165 Cr only post-COD and security perfection. Model assumes full ₹650 Cr drawdown.</t>
  </si>
  <si>
    <t xml:space="preserve">YES Bank Final FL p.~13 'Disbursement Mechanism'</t>
  </si>
  <si>
    <t xml:space="preserve">Update drawdown schedule to reflect pre/post-COD split; security perfection timeline</t>
  </si>
  <si>
    <t xml:space="preserve">F-14</t>
  </si>
  <si>
    <t xml:space="preserve">Graduated Repayment</t>
  </si>
  <si>
    <t xml:space="preserve">Indian Bank / Repayment Schedule cols 14-18</t>
  </si>
  <si>
    <t xml:space="preserve">Indian Bank uses graduated repayment: 1.25%/q for first 8 quarters, then 2.25%/q for 40 quarters (Iter 3 confirmation). Model correctly implements.</t>
  </si>
  <si>
    <t xml:space="preserve">Indian Bank Amendment 26-Sep-2025 p.1</t>
  </si>
  <si>
    <t xml:space="preserve">None required — schedule verified</t>
  </si>
  <si>
    <t xml:space="preserve">Verified</t>
  </si>
  <si>
    <t xml:space="preserve">F-15</t>
  </si>
  <si>
    <t xml:space="preserve">Source-Not-Found</t>
  </si>
  <si>
    <t xml:space="preserve">HDFC Bank / FY29 Compliance R35</t>
  </si>
  <si>
    <t xml:space="preserve">HDFC R35 'JSL FMV / Total Debt Cover ≥ 2.5x' covenant claimed by prompt but not found in 27-page HDFC offer letter (Iter 3 Finding 14). Either a separate addendum exists or covenant is mis-attributed.</t>
  </si>
  <si>
    <t xml:space="preserve">Iter 3 source verification across all 27 pp. of HDFC Offer Letter</t>
  </si>
  <si>
    <t xml:space="preserve">Treasury to obtain HDFC facility agreement / addendum where 2.5x cover clause appears, or remove R35 from active covenant tracking</t>
  </si>
  <si>
    <t xml:space="preserve">F-16</t>
  </si>
  <si>
    <t xml:space="preserve">Rate Source Confirmation</t>
  </si>
  <si>
    <t xml:space="preserve">Indian Bank / Facility Master R10 + MP-12</t>
  </si>
  <si>
    <t xml:space="preserve">Indian Bank TL effective rate of 9.40% is a market-practice assumption (1Y MCLR ~8.90% + 50 bps spread). Amendment ticket 26-Sep-2025 references only "applicable ROI" from existing sanction; original sanction letter not in file set. Actual Indian Bank 1Y MCLR may differ from the 8.90% proxy used.</t>
  </si>
  <si>
    <t xml:space="preserve">Indian Bank Sanction Ticket LCB/Del/JFL/2025-26 dated 26-Sep-2025</t>
  </si>
  <si>
    <t xml:space="preserve">Treasury to obtain Indian Bank original sanction letter or written confirmation of current 1Y MCLR and applicable spread. Update Instructions &amp; Assumptions!B27 with the confirmed rate.</t>
  </si>
  <si>
    <t xml:space="preserve">F-17</t>
  </si>
  <si>
    <t xml:space="preserve">Conditional Pricing Premium</t>
  </si>
  <si>
    <t xml:space="preserve">Indian Bank / Sanction Ticket Item 1</t>
  </si>
  <si>
    <t xml:space="preserve">Amendment ticket imposes 1.00% penal ROI over applicable rate until IDCO NOC obtained for security perfection (mortgage creation). Deadline extended to 31.12.2025. As of model as-of-date 12-May-2026, deadline has passed. If NOC not yet obtained, effective rate = 9.40% + 1.00% = 10.40% p.a., adding ~₹2.35 Cr to annual interest cost.</t>
  </si>
  <si>
    <t xml:space="preserve">Indian Bank Sanction Ticket 26-Sep-2025, Item 1 (security perfection timeline)</t>
  </si>
  <si>
    <t xml:space="preserve">Treasury / Legal to confirm IDCO NOC status. If obtained, mark Closed. If outstanding, update Facility Master Q10 from 0.005 to 0.015 (base spread + 1.00% penal = effective rate 10.40%).</t>
  </si>
  <si>
    <t xml:space="preserve">Treasury / Legal</t>
  </si>
  <si>
    <t xml:space="preserve">F-18</t>
  </si>
  <si>
    <t xml:space="preserve">Classification Departure / Modelling Assumption</t>
  </si>
  <si>
    <t xml:space="preserve">HSBC / Facility Master R23 + MP-13</t>
  </si>
  <si>
    <t xml:space="preserve">HSBC ₹1,000 Cr face is legally Uncommitted. Model applies 20% haircut and classifies ₹200 Cr in Bucket 1 (Sanctioned) as effective committed debt. This departs from strict legal classification. If HSBC withdraws the facility, Sanctioned Debt falls by ₹200 Cr and run-rate interest drops by ₹18 Cr with no legal recourse against the bank. Disclosed in MP-13.</t>
  </si>
  <si>
    <t xml:space="preserve">HSBC Facilities Letter 27-Feb-2026 (face = Uncommitted); MP-13 (modelling assumption)</t>
  </si>
  <si>
    <t xml:space="preserve">Treasury / Credit team to: (1) confirm ₹200 Cr haircut aligns with internal credit policy and external reporting standard; (2) add reconciliation footnote in any external disclosure (₹200 Cr model vs ₹1,000 Cr face); (3) reassess if HSBC signals facility withdrawal.</t>
  </si>
  <si>
    <t xml:space="preserve">Treasury / Credit</t>
  </si>
  <si>
    <t xml:space="preserve">Total Flags</t>
  </si>
  <si>
    <t xml:space="preserve">Open (linked)</t>
  </si>
  <si>
    <t xml:space="preserve">Closed/Verified</t>
  </si>
  <si>
    <t xml:space="preserve">SCENARIO ANALYSIS — Rate &amp; Credit Stress Testing</t>
  </si>
  <si>
    <t xml:space="preserve">Three scenarios applied to FY29E projected financials (TEV Inputs). Stress shocks are illustrative — refine when actual financials available.</t>
  </si>
  <si>
    <t xml:space="preserve">A. Scenario Inputs (editable)</t>
  </si>
  <si>
    <t xml:space="preserve">Scenario Variable</t>
  </si>
  <si>
    <t xml:space="preserve">Base</t>
  </si>
  <si>
    <t xml:space="preserve">Stress</t>
  </si>
  <si>
    <t xml:space="preserve">Severe Stress</t>
  </si>
  <si>
    <t xml:space="preserve">Rate Shock (parallel + bps)</t>
  </si>
  <si>
    <t xml:space="preserve">Spread Increase (+ bps)</t>
  </si>
  <si>
    <t xml:space="preserve">Utilization Change (%)</t>
  </si>
  <si>
    <t xml:space="preserve">EBITDA Change (%)</t>
  </si>
  <si>
    <t xml:space="preserve">Total Debt Change (%)</t>
  </si>
  <si>
    <t xml:space="preserve">B. Scenario Outputs</t>
  </si>
  <si>
    <t xml:space="preserve">Output Metric</t>
  </si>
  <si>
    <t xml:space="preserve">Annual Bucket 1 Interest Cost (₹ Cr)</t>
  </si>
  <si>
    <t xml:space="preserve">DSCR (Stressed) — (EBITDA × (1+EBITDA%) − Tax) / (Interest + Sched TL Rep)</t>
  </si>
  <si>
    <t xml:space="preserve">Total Debt / EBITDA (Stressed)</t>
  </si>
  <si>
    <t xml:space="preserve">ICR (Stressed)</t>
  </si>
  <si>
    <t xml:space="preserve">STRESS INTERPRETATION: Base = FY29E projected financials (TEV Inputs sheet). Stress = +100 bps rate, +25 bps spread, +10% utilization, −15% EBITDA, +10% debt. Severe = double the shocks. Test against UBI/YBL/ICICI consortium covenants: DSCR ≥ 1.25, FACR ≥ 1.20, ISCR ≥ 2.00, LTD/EBITDA ≤ 4.00, LTD/Equity ≤ 2.00.</t>
  </si>
  <si>
    <t xml:space="preserve">C. Rate Sensitivity — Annual Interest Impact of +100 bps on each benchmark</t>
  </si>
  <si>
    <t xml:space="preserve">Δ Interest @ +100 bps (₹ Cr)</t>
  </si>
  <si>
    <t xml:space="preserve">Term SOFR (USD) 3M</t>
  </si>
  <si>
    <t xml:space="preserve">Total Rate Sensitivity (sum)</t>
  </si>
  <si>
    <t xml:space="preserve">TEV FINANCIAL MODEL — COVENANT-RELEVANT INPUTS (Source: JFL_TEV_Financial_Model_vF_11_09_2025.xlsx)</t>
  </si>
  <si>
    <t xml:space="preserve">Verbatim from TEV: Projected Financials (P&amp;L/BS) | Financing (Yrly) (debt schedule) | Indicators (ratios). TEV uses 12-yr repayment / 3-yr moratorium / 9.40% interest / D:E 33.36:66.64. Column maps verified via V&amp;V (PF col 5=FY23; Fin col 7=FY23; Ind col 4=FY23).</t>
  </si>
  <si>
    <t xml:space="preserve">Particulars (₹ Cr)</t>
  </si>
  <si>
    <t xml:space="preserve">TEV Source</t>
  </si>
  <si>
    <t xml:space="preserve">FY23</t>
  </si>
  <si>
    <t xml:space="preserve">[INCOME STATEMENT]</t>
  </si>
  <si>
    <t xml:space="preserve">PF!R13</t>
  </si>
  <si>
    <t xml:space="preserve">Total Operating Cost</t>
  </si>
  <si>
    <t xml:space="preserve">PF!R22</t>
  </si>
  <si>
    <t xml:space="preserve">PF!R23</t>
  </si>
  <si>
    <t xml:space="preserve">Depreciation</t>
  </si>
  <si>
    <t xml:space="preserve">PF!R24</t>
  </si>
  <si>
    <t xml:space="preserve">EBIT</t>
  </si>
  <si>
    <t xml:space="preserve">PF!R25</t>
  </si>
  <si>
    <t xml:space="preserve">Interest on Working Capital</t>
  </si>
  <si>
    <t xml:space="preserve">PF!R27</t>
  </si>
  <si>
    <t xml:space="preserve">Interest on Term Loan</t>
  </si>
  <si>
    <t xml:space="preserve">PF!R28</t>
  </si>
  <si>
    <t xml:space="preserve">PBT</t>
  </si>
  <si>
    <t xml:space="preserve">PF!R29</t>
  </si>
  <si>
    <t xml:space="preserve">Tax Expense (Current + Deferred)</t>
  </si>
  <si>
    <t xml:space="preserve">PF!R33</t>
  </si>
  <si>
    <t xml:space="preserve">PF!R34</t>
  </si>
  <si>
    <t xml:space="preserve">[BALANCE SHEET]</t>
  </si>
  <si>
    <t xml:space="preserve">Share Capital / Promoter Contribution</t>
  </si>
  <si>
    <t xml:space="preserve">PF!R84</t>
  </si>
  <si>
    <t xml:space="preserve">Reserves and Surplus</t>
  </si>
  <si>
    <t xml:space="preserve">PF!R85</t>
  </si>
  <si>
    <t xml:space="preserve">Total Equity (TNW)</t>
  </si>
  <si>
    <t xml:space="preserve">PF!R86</t>
  </si>
  <si>
    <t xml:space="preserve">Term Loan (Long Term Debt)</t>
  </si>
  <si>
    <t xml:space="preserve">PF!R89</t>
  </si>
  <si>
    <t xml:space="preserve">Deferred Tax Liability</t>
  </si>
  <si>
    <t xml:space="preserve">PF!R90</t>
  </si>
  <si>
    <t xml:space="preserve">Short Term Borrowings (WC)</t>
  </si>
  <si>
    <t xml:space="preserve">PF!R94</t>
  </si>
  <si>
    <t xml:space="preserve">Trade Payable</t>
  </si>
  <si>
    <t xml:space="preserve">PF!R95</t>
  </si>
  <si>
    <t xml:space="preserve">Total Current Liabilities</t>
  </si>
  <si>
    <t xml:space="preserve">PF!R97</t>
  </si>
  <si>
    <t xml:space="preserve">Total Equity &amp; Liabilities</t>
  </si>
  <si>
    <t xml:space="preserve">PF!R99</t>
  </si>
  <si>
    <t xml:space="preserve">Gross Block</t>
  </si>
  <si>
    <t xml:space="preserve">PF!R105</t>
  </si>
  <si>
    <t xml:space="preserve">Accumulated Depreciation</t>
  </si>
  <si>
    <t xml:space="preserve">PF!R106</t>
  </si>
  <si>
    <t xml:space="preserve">Net Block (Fixed Assets)</t>
  </si>
  <si>
    <t xml:space="preserve">PF!R107</t>
  </si>
  <si>
    <t xml:space="preserve">Capital Work in Progress</t>
  </si>
  <si>
    <t xml:space="preserve">PF!R108</t>
  </si>
  <si>
    <t xml:space="preserve">Cash &amp; Cash Equivalents</t>
  </si>
  <si>
    <t xml:space="preserve">PF!R113</t>
  </si>
  <si>
    <t xml:space="preserve">Inventories</t>
  </si>
  <si>
    <t xml:space="preserve">PF!R114</t>
  </si>
  <si>
    <t xml:space="preserve">Trade Receivables</t>
  </si>
  <si>
    <t xml:space="preserve">PF!R115</t>
  </si>
  <si>
    <t xml:space="preserve">Total Current Assets</t>
  </si>
  <si>
    <t xml:space="preserve">PF!R116</t>
  </si>
  <si>
    <t xml:space="preserve">Total Assets</t>
  </si>
  <si>
    <t xml:space="preserve">PF!R118</t>
  </si>
  <si>
    <t xml:space="preserve">[DEBT SCHEDULE — from Financing (Yrly)]</t>
  </si>
  <si>
    <t xml:space="preserve">Term Loan Beginning Balance</t>
  </si>
  <si>
    <t xml:space="preserve">Fin!R117</t>
  </si>
  <si>
    <t xml:space="preserve">Term Loan Addition (Drawdown)</t>
  </si>
  <si>
    <t xml:space="preserve">Fin!R118</t>
  </si>
  <si>
    <t xml:space="preserve">Term Loan Repayment (Principal)</t>
  </si>
  <si>
    <t xml:space="preserve">Fin!R119</t>
  </si>
  <si>
    <t xml:space="preserve">Term Loan Closing Balance</t>
  </si>
  <si>
    <t xml:space="preserve">Fin!R120</t>
  </si>
  <si>
    <t xml:space="preserve">Interest - Capitalised (IDC)</t>
  </si>
  <si>
    <t xml:space="preserve">Fin!R121</t>
  </si>
  <si>
    <t xml:space="preserve">Interest - Charged to P&amp;L</t>
  </si>
  <si>
    <t xml:space="preserve">Fin!R122</t>
  </si>
  <si>
    <t xml:space="preserve">[TEV PRE-COMPUTED COVENANT RATIOS]</t>
  </si>
  <si>
    <t xml:space="preserve">DSCR (TEV formula)</t>
  </si>
  <si>
    <t xml:space="preserve">Ind!R68</t>
  </si>
  <si>
    <t xml:space="preserve">ISCR (EBITDA/Total Interest)</t>
  </si>
  <si>
    <t xml:space="preserve">Ind!R78</t>
  </si>
  <si>
    <t xml:space="preserve">FACR (NB/LTD)</t>
  </si>
  <si>
    <t xml:space="preserve">Ind!R95</t>
  </si>
  <si>
    <t xml:space="preserve">LTD / EBITDA</t>
  </si>
  <si>
    <t xml:space="preserve">Ind!R87</t>
  </si>
  <si>
    <t xml:space="preserve">LTD / Equity</t>
  </si>
  <si>
    <t xml:space="preserve">Ind!R105</t>
  </si>
  <si>
    <t xml:space="preserve">RECONCILIATION: TEV Total Project Cost ₹4,083.94 Cr (D:E 33.36:66.64; Term Loan ₹2,721.43 Cr at 9.40% × 12-yr). Difference vs Sanctioned ₹4,666 Cr = ₹1,971 Cr from supplemental facilities NOT in TEV scope: NFB ₹550 + FD-Backed ₹150 + ICICI Takeover ₹840 + HSBC ₹200 post-haircut B1 reclass per MP-13 + overlaps/headroom items (drawdown headroom, not funded project debt). TEV's funded debt FY29 = ₹2,388 LT + ₹307 ST = ₹2,694.75 Cr — this is the economically correct exposure for covenant testing.</t>
  </si>
  <si>
    <t xml:space="preserve">INSTRUCTIONS &amp; ASSUMPTIONS  —  BACKEND CONFIGURATION SHEET</t>
  </si>
  <si>
    <t xml:space="preserve">⚠ BACKEND SHEET — Do not edit formulas or structure. Change only the yellow input cells in Section A. All other sections are reference/override data pulled by Facility Master and dependent sheets.</t>
  </si>
  <si>
    <t xml:space="preserve">A.  CORE MODEL PARAMETERS</t>
  </si>
  <si>
    <t xml:space="preserve">Unit</t>
  </si>
  <si>
    <t xml:space="preserve">As-of Date</t>
  </si>
  <si>
    <t xml:space="preserve">date</t>
  </si>
  <si>
    <t xml:space="preserve">Drives remaining-tenor and covenant-period calculations.</t>
  </si>
  <si>
    <t xml:space="preserve">USD / INR FX Rate</t>
  </si>
  <si>
    <t xml:space="preserve">₹/USD</t>
  </si>
  <si>
    <t xml:space="preserve">Drives INR equivalents of USD-denominated facilities subject to sanction-letter caps.</t>
  </si>
  <si>
    <t xml:space="preserve">Use Full Utilisation = Sanctioned?</t>
  </si>
  <si>
    <t xml:space="preserve">TRUE/FALSE</t>
  </si>
  <si>
    <t xml:space="preserve">If TRUE, Effective Outstanding = Sanctioned. If FALSE, uses Current Outstanding from Facility Master Col N.</t>
  </si>
  <si>
    <t xml:space="preserve">Days in Year</t>
  </si>
  <si>
    <t xml:space="preserve">days</t>
  </si>
  <si>
    <t xml:space="preserve">Day-count convention for interest computation.</t>
  </si>
  <si>
    <t xml:space="preserve">Financial Basis</t>
  </si>
  <si>
    <t xml:space="preserve">Audited FY25</t>
  </si>
  <si>
    <t xml:space="preserve">Basis</t>
  </si>
  <si>
    <t xml:space="preserve">Single source: JFL audit report by N.C. Aggarwal &amp; Co., signed 28-Aug-2025 (UDIN: 25086622BMIBYO3693). All Section C inputs derive from this audit. Toggle is retired; placeholders (FY24A / FY26E) removed.</t>
  </si>
  <si>
    <t xml:space="preserve">Revised DCCO</t>
  </si>
  <si>
    <t xml:space="preserve">Consortium-aligned per UBI 20-Sep-2025 sanction letter.</t>
  </si>
  <si>
    <t xml:space="preserve">B.  BENCHMARK RATES  (per JFL sanction letters; flagged where indicative)</t>
  </si>
  <si>
    <t xml:space="preserve">Current Rate</t>
  </si>
  <si>
    <t xml:space="preserve">Source / Notes</t>
  </si>
  <si>
    <t xml:space="preserve">p.a.</t>
  </si>
  <si>
    <t xml:space="preserve">UBI RTL-I current effective rate basis: 8.90% + 0.50% = 9.40%. RTL-II at 8.60% MCLR + 0.50% = 9.10%.</t>
  </si>
  <si>
    <t xml:space="preserve">YBL TL: EBLR + 3.45% — current EBLR not stated in letter; placeholder estimate. CONFIRM at next reset.</t>
  </si>
  <si>
    <t xml:space="preserve">IDFC First sanction letter explicitly states EBLR 7.75%; spread +1.05% = 8.80%.</t>
  </si>
  <si>
    <t xml:space="preserve">ICICI TL CAL 27-Mar-2026 states I-MCLR-3M 8.10% + spread 0.60% = 8.70%.</t>
  </si>
  <si>
    <t xml:space="preserve">ICICI WC CAL 12-Feb-2026 states I-MCLR-6M 8.30% + spread 0.20% = 8.50%.</t>
  </si>
  <si>
    <t xml:space="preserve">HDFC CC effective rate 8.15% (linked to 14-day Repo) per HDFC Offer Letter.</t>
  </si>
  <si>
    <t xml:space="preserve">RBI Policy Repo Rate, May 2026 (used for ICICI WCDL).</t>
  </si>
  <si>
    <t xml:space="preserve">Indicative FD rate backing HDFC FD-OD facility.</t>
  </si>
  <si>
    <t xml:space="preserve">USD reference rate for HSBC FCY facilities (if any drawn in USD).</t>
  </si>
  <si>
    <t xml:space="preserve">Placeholder for RBL TL, RBL FDOD, HSBC all, HDFC pre/post-shipment/SBLC/WCDL — actual rates pending sanction-letter clarification.</t>
  </si>
  <si>
    <t xml:space="preserve">Placeholder for HSBC facilities — "mutually agreed at drawdown" per letter.</t>
  </si>
  <si>
    <t xml:space="preserve">Hedge / memo facilities — no interest applicable</t>
  </si>
  <si>
    <t xml:space="preserve">UBI RTL-II: 8.60% MCLR + 0.50% = 9.10%</t>
  </si>
  <si>
    <t xml:space="preserve">Indian Bank 1Y MCLR — assumed consortium-equivalent (~8.90%). Amendment ticket 26-Sep-2025 silent on ROI; defers to original sanction letter (not in file set). Spread 0.50% → effective 9.40% p.a. Treasury to confirm Indian Bank's actual MCLR at next reset and update this cell.</t>
  </si>
  <si>
    <t xml:space="preserve">C.  JFL AUDITED FINANCIALS (FY25)  —  N.C. Aggarwal &amp; Co., UDIN: 25086622BMIBYO3693</t>
  </si>
  <si>
    <t xml:space="preserve">Financial Item</t>
  </si>
  <si>
    <t xml:space="preserve">Value (₹ Cr)</t>
  </si>
  <si>
    <t xml:space="preserve">Source Reference</t>
  </si>
  <si>
    <t xml:space="preserve">Short Note</t>
  </si>
  <si>
    <t xml:space="preserve">P&amp;L + Note 39</t>
  </si>
  <si>
    <t xml:space="preserve">Pre-COD; FY25 is construction phase</t>
  </si>
  <si>
    <t xml:space="preserve">Total Debt (Gross)</t>
  </si>
  <si>
    <t xml:space="preserve">Note 36</t>
  </si>
  <si>
    <t xml:space="preserve">Incl. current maturities of LT debt</t>
  </si>
  <si>
    <t xml:space="preserve">Term Debt (LTD)</t>
  </si>
  <si>
    <t xml:space="preserve">Note 16</t>
  </si>
  <si>
    <t xml:space="preserve">Bank TL + Buyer's Credit; excl. ICDs</t>
  </si>
  <si>
    <t xml:space="preserve">TNW</t>
  </si>
  <si>
    <t xml:space="preserve">BS Equity, Note 14E</t>
  </si>
  <si>
    <t xml:space="preserve">Equity share capital + Other equity</t>
  </si>
  <si>
    <t xml:space="preserve">Adjusted TNW (ATNW)</t>
  </si>
  <si>
    <t xml:space="preserve">BS Equity (=TNW)</t>
  </si>
  <si>
    <t xml:space="preserve">No goodwill; DTA ₹42 L immaterial</t>
  </si>
  <si>
    <t xml:space="preserve">Current Assets</t>
  </si>
  <si>
    <t xml:space="preserve">BS, Note 32</t>
  </si>
  <si>
    <t xml:space="preserve">Excl. Assets-held-for-sale</t>
  </si>
  <si>
    <t xml:space="preserve">Current Liabilities</t>
  </si>
  <si>
    <t xml:space="preserve">Excl. Liab-of-held-for-sale</t>
  </si>
  <si>
    <t xml:space="preserve">TOL</t>
  </si>
  <si>
    <t xml:space="preserve">BS: Assets − Equity</t>
  </si>
  <si>
    <t xml:space="preserve">All current + non-current liabilities</t>
  </si>
  <si>
    <t xml:space="preserve">Interest Expense (TTM)</t>
  </si>
  <si>
    <t xml:space="preserve">Note 2B CWIP</t>
  </si>
  <si>
    <t xml:space="preserve">Capitalised under Ind AS 23</t>
  </si>
  <si>
    <t xml:space="preserve">Note 2A + 2B</t>
  </si>
  <si>
    <t xml:space="preserve">Pre-COD — dominated by CWIP</t>
  </si>
  <si>
    <t xml:space="preserve">Secured Debt</t>
  </si>
  <si>
    <t xml:space="preserve">Secured TL + Buyer's Credit</t>
  </si>
  <si>
    <t xml:space="preserve">External Rating</t>
  </si>
  <si>
    <t xml:space="preserve">Pending</t>
  </si>
  <si>
    <t xml:space="preserve">Treasury input req'd</t>
  </si>
  <si>
    <t xml:space="preserve">FLAG: not in audit; threshold BBB+/A-</t>
  </si>
  <si>
    <t xml:space="preserve">Promoter Shareholding</t>
  </si>
  <si>
    <t xml:space="preserve">Note 14E</t>
  </si>
  <si>
    <t xml:space="preserve">100% promoter group</t>
  </si>
  <si>
    <t xml:space="preserve">Principal Repayment (TTM)</t>
  </si>
  <si>
    <t xml:space="preserve">Repayment commences Jun-2026</t>
  </si>
  <si>
    <t xml:space="preserve">Tax Paid (TTM)</t>
  </si>
  <si>
    <t xml:space="preserve">Cash Flow Statement</t>
  </si>
  <si>
    <t xml:space="preserve">Advance tax / TDS</t>
  </si>
  <si>
    <t xml:space="preserve">Scheduled TL Repay (next 12M)</t>
  </si>
  <si>
    <t xml:space="preserve">First repayment Jun-2026 → zero FY25</t>
  </si>
  <si>
    <t xml:space="preserve">D.  SANCTION-LETTER BINDING CAPS  (₹ Cr)</t>
  </si>
  <si>
    <t xml:space="preserve">Cap / Facility</t>
  </si>
  <si>
    <t xml:space="preserve">UBI Total Project TL</t>
  </si>
  <si>
    <t xml:space="preserve">UBI NFB Total (LC + BG)</t>
  </si>
  <si>
    <t xml:space="preserve">Indian Bank TL (derived)</t>
  </si>
  <si>
    <t xml:space="preserve">RBL Total Sanctioned (ex FD-backed)</t>
  </si>
  <si>
    <t xml:space="preserve">YES Bank Total Sanctioned</t>
  </si>
  <si>
    <t xml:space="preserve">IDFC First TL</t>
  </si>
  <si>
    <t xml:space="preserve">IDFC First NFB (stated headline)</t>
  </si>
  <si>
    <t xml:space="preserve">ICICI WC Total</t>
  </si>
  <si>
    <t xml:space="preserve">ICICI TL (Takeover only)</t>
  </si>
  <si>
    <t xml:space="preserve">HSBC Combined Uncommitted</t>
  </si>
  <si>
    <t xml:space="preserve">HDFC Total Sanctioned</t>
  </si>
  <si>
    <t xml:space="preserve">E.  TERM LOAN DATE OVERRIDES</t>
  </si>
  <si>
    <t xml:space="preserve">Date Reference</t>
  </si>
  <si>
    <t xml:space="preserve">Date</t>
  </si>
  <si>
    <t xml:space="preserve">UBI RTL-I Maturity</t>
  </si>
  <si>
    <t xml:space="preserve">UBI RTL-I Rep Start</t>
  </si>
  <si>
    <t xml:space="preserve">UBI RTL-II Maturity</t>
  </si>
  <si>
    <t xml:space="preserve">UBI RTL-II Rep Start</t>
  </si>
  <si>
    <t xml:space="preserve">Indian Bank TL Maturity</t>
  </si>
  <si>
    <t xml:space="preserve">Indian Bank TL Rep Start</t>
  </si>
  <si>
    <t xml:space="preserve">RBL TL Maturity (bullet)</t>
  </si>
  <si>
    <t xml:space="preserve">YBL TL Maturity</t>
  </si>
  <si>
    <t xml:space="preserve">YBL TL Rep Start</t>
  </si>
  <si>
    <t xml:space="preserve">IDFC TL Maturity</t>
  </si>
  <si>
    <t xml:space="preserve">IDFC TL Rep Start</t>
  </si>
  <si>
    <t xml:space="preserve">ICICI TL Maturity</t>
  </si>
  <si>
    <t xml:space="preserve">ICICI TL Rep Start</t>
  </si>
  <si>
    <t xml:space="preserve">F.  TERM LOAN S.No REFERENCES  (for INDEX/MATCH)</t>
  </si>
  <si>
    <t xml:space="preserve">UBI RTL-I S.No</t>
  </si>
  <si>
    <t xml:space="preserve">UBI RTL-II S.No</t>
  </si>
  <si>
    <t xml:space="preserve">Indian Bank TL S.No</t>
  </si>
  <si>
    <t xml:space="preserve">RBL TL S.No</t>
  </si>
  <si>
    <t xml:space="preserve">YBL TL S.No</t>
  </si>
  <si>
    <t xml:space="preserve">IDFC TL S.No</t>
  </si>
  <si>
    <t xml:space="preserve">ICICI CC S.No</t>
  </si>
  <si>
    <t xml:space="preserve">ICICI TL S.No</t>
  </si>
  <si>
    <t xml:space="preserve">G.  RATING-TIER ORDINAL MAP  (higher = better rating)</t>
  </si>
  <si>
    <t xml:space="preserve">Rating Token</t>
  </si>
  <si>
    <t xml:space="preserve">Ordinal</t>
  </si>
  <si>
    <t xml:space="preserve">AAA</t>
  </si>
  <si>
    <t xml:space="preserve">Investment grade — highest</t>
  </si>
  <si>
    <t xml:space="preserve">AA+</t>
  </si>
  <si>
    <t xml:space="preserve">AA</t>
  </si>
  <si>
    <t xml:space="preserve">AA-</t>
  </si>
  <si>
    <t xml:space="preserve">A+</t>
  </si>
  <si>
    <t xml:space="preserve">JFL rating context: typically A+ to A range</t>
  </si>
  <si>
    <t xml:space="preserve">A</t>
  </si>
  <si>
    <t xml:space="preserve">A-</t>
  </si>
  <si>
    <t xml:space="preserve">Common minimum rating covenant</t>
  </si>
  <si>
    <t xml:space="preserve">BBB+</t>
  </si>
  <si>
    <t xml:space="preserve">RBL TL minimum (180 days)</t>
  </si>
  <si>
    <t xml:space="preserve">BBB</t>
  </si>
  <si>
    <t xml:space="preserve">BBB-</t>
  </si>
  <si>
    <t xml:space="preserve">BB+</t>
  </si>
  <si>
    <t xml:space="preserve">Below investment grade</t>
  </si>
  <si>
    <t xml:space="preserve">BB or below</t>
  </si>
  <si>
    <t xml:space="preserve">MARKET-PRACTICE ASSUMPTIONS  —  TRANSPARENCY &amp; AUDIT TRAIL</t>
  </si>
  <si>
    <t xml:space="preserve">Every market-practice modelling decision is documented here, clearly separate from source-backed covenant values. Each assumption is independently verifiable from cited sources.</t>
  </si>
  <si>
    <t xml:space="preserve">Covenant Tracker Row(s)</t>
  </si>
  <si>
    <t xml:space="preserve">What SL/Audit Discloses</t>
  </si>
  <si>
    <t xml:space="preserve">Market-Practice Applied</t>
  </si>
  <si>
    <t xml:space="preserve">Why Necessary</t>
  </si>
  <si>
    <t xml:space="preserve">Sources Cited</t>
  </si>
  <si>
    <t xml:space="preserve">MP-01</t>
  </si>
  <si>
    <t xml:space="preserve">R9, R47, R48, R49, R50</t>
  </si>
  <si>
    <t xml:space="preserve">Consortium-standard 5-covenant pack (DSCR ≥1.25, FACR ≥1.20, ISCR ≥2.00, LTD/EBITDA ≤4.00, LTD/Equity ≤2.00)</t>
  </si>
  <si>
    <t xml:space="preserve">Indian Bank's 26-Sep-2025 letter is an AMENDMENT TICKET only (loan amount ₹235 Cr derived from revised repayment schedule). The original Indian Bank sanction letter is NOT in the file set, so specific covenant clauses are unavailable.</t>
  </si>
  <si>
    <t xml:space="preserve">Applied the consortium-standard 5-covenant framework that all 5 other consortium lenders (UBI 20-Sep-2025, YBL 29-Dec-2025, IDFC 09-Jan-2026, ICICI TL 27-Mar-2026, HDFC 26-Mar-2026) use uniformly. Same thresholds, same definitions, same FY29 first-test.</t>
  </si>
  <si>
    <t xml:space="preserve">(1) Indian Bank is a member of the same consortium and consortium loans typically carry uniform covenant terms (common-terms agreement). (2) All other 5 consortium members use exactly the same 5 ratios with exactly the same thresholds. (3) Without IB-specific covenants, the model would mis-report Indian Bank's facility (₹235 Cr) as having zero covenants — materially understating compliance risk.</t>
  </si>
  <si>
    <t xml:space="preserve">• Lexology — 'In brief: loan document terms in India' (lexology.com, Jun-2025): standard Indian loan-document financial-maintenance covenants are 'DSCR (EBITDA ÷ (Interest + Principal)), net worth ratio, leverage covenants such as debt-to-EBITDA and debt-to-equity.' • Precisa — 'How Credit Teams Use a DSCR Calculator for Business Loans' (precisa.in): SBI typically requires min DSCR 1.25 for new term loans; HDFC Bank requires 1.20+; '1.25 is the practical floor for most commercial lenders in India.' • Confirmed by 5 actual JFL consortium sanction letters in file set (UBI/YBL/IDFC/ICICI TL/HDFC) all using identical 5-covenant framework.</t>
  </si>
  <si>
    <t xml:space="preserve">MP-02</t>
  </si>
  <si>
    <t xml:space="preserve">R21</t>
  </si>
  <si>
    <t xml:space="preserve">Quasi-Equity Cap ≤ ₹337.50 Cr (actual drawn computation)</t>
  </si>
  <si>
    <t xml:space="preserve">Sanction letter explicitly states cap of ₹337.50 Cr (vs ₹408.60 Cr in other consortium letters — FLAG). Audit report Note 16+18 discloses inter-corporate deposits (ICDs) from related parties but does NOT explicitly classify them as 'quasi-equity'. Note 16: Jindal Coke ICD ₹28.15 Cr LT (8.50% int, 31-Dec-2028 maturity). Note 18: JSL ICD ₹701.61 Cr ST + Virtuous Tradecorp ICD ₹127.00 Cr ST (both 9.35% int, 1-year tenor).</t>
  </si>
  <si>
    <t xml:space="preserve">Quasi-Equity Drawn = ₹856.76 Cr (sum of all promoter-group ICDs from audit Note 16+18). This EXCEEDS the ₹337.50 Cr cap → covenant breached under market-practice interpretation.</t>
  </si>
  <si>
    <t xml:space="preserve">Indian project finance market practice treats inter-corporate deposits from promoter/group entities as 'quasi-equity' regardless of formal subordination, because (a) intra-group debt is economically equity-like, (b) banks typically stipulate at sanction that such ICDs are subordinated and locked-in for facility tenor even if not formally documented as such. The audit report does not contradict this treatment — it simply doesn't explicitly classify the ICDs. CAVEAT: A strict legal reading (only formally subordinated debt) would give Quasi-Equity Drawn = 0 → covenant complied. Bank's interpretation is the binding one — CONFIRM with IDFC.</t>
  </si>
  <si>
    <t xml:space="preserve">• Law Insider — 'Promoter Contribution' definition (lawinsider.com): 'means the equity share capital, subordinate loan or unsecured loan provided to the Borrower by the promoters, which would not be eligible for interest/coupon/principal payments during the tenor of the Facility.' • Vinod Kothari Consultants (MCA Rule 2(1)(c)(xiii) summary): promoter unsecured loans qualify as 'not-deposits' when (a) brought in per lending FI's stipulation, (b) from promoters/relatives, (c) exemption available till bank loans repaid — i.e., de facto subordinated. • Audit Note 16+18 = primary source for ICD amounts.</t>
  </si>
  <si>
    <t xml:space="preserve">MP-03</t>
  </si>
  <si>
    <t xml:space="preserve">R27</t>
  </si>
  <si>
    <t xml:space="preserve">Min Promoter Contribution ≥ ₹1,363 Cr</t>
  </si>
  <si>
    <t xml:space="preserve">RBL letter specifies the ₹1,363 Cr threshold but does not define 'Promoter Contribution'. Audit Note 14E discloses 100% promoter shareholding (OPJ 82.51% + JSL 17.49% + Virtuous Tradecorp 0.00%) on equity of ₹993.45 Cr. Audit Note 16+18 discloses related-party ICDs as above (MP-02).</t>
  </si>
  <si>
    <t xml:space="preserve">Promoter Contribution = Equity (₹993.45 Cr, 100% promoter-held) + promoter-group ICDs (₹856.76 Cr) = ₹1,850.21 Cr. Compared to threshold ₹1,363 Cr → COMPLIANT.</t>
  </si>
  <si>
    <t xml:space="preserve">Identical reasoning as MP-02 — Law Insider's canonical Promoter Contribution definition includes both equity AND 'subordinate loan or unsecured loan provided by promoters'. Excluding ICDs would mean only ₹993.45 Cr equity counts → covenant breached (₹993.45 &lt; ₹1,363). The market-practice inclusion is defensible per Law Insider; strict legal exclusion would breach. CAVEAT: Same as MP-02 — CONFIRM with RBL.</t>
  </si>
  <si>
    <t xml:space="preserve">Same as MP-02 — Law Insider 'Promoter Contribution' definition + Vinod Kothari (MCA Rule 2(1)(c)(xiii)) + Audit Notes 14E, 16, 18 for the underlying amounts.</t>
  </si>
  <si>
    <t xml:space="preserve">MP-04</t>
  </si>
  <si>
    <t xml:space="preserve">R6, R12, R18, R24, R38, R48 (ISCR rows)</t>
  </si>
  <si>
    <t xml:space="preserve">All consortium</t>
  </si>
  <si>
    <t xml:space="preserve">ISCR = EBITDA / Interest Expense (interpretation of 'Interest')</t>
  </si>
  <si>
    <t xml:space="preserve">Audit P&amp;L shows finance costs as NIL for continuing operations (₹0.83 Lakhs on discontinued only) because all interest is capitalised to CWIP per Ind AS 23 (Note 2B discloses ₹18,295.76 Lakhs capitalised). Sanction letters do not explicitly state whether ISCR uses P&amp;L-charged interest or total interest incurred.</t>
  </si>
  <si>
    <t xml:space="preserve">Used 'total interest incurred' = ₹182.96 Cr (capitalised + P&amp;L) as ISCR denominator. This is the actual economic interest burden on the borrower.</t>
  </si>
  <si>
    <t xml:space="preserve">Using P&amp;L interest of ~zero would give meaningless ISCR ratios (infinity or undefined) and would not reflect real debt-service burden. Indian PF market practice (Lexology, EvoInfra) uses 'interest incurred' for covenant testing, not just P&amp;L charge. Since most consortium covenants are FY29-first-test (post-COD), all interest will then be in P&amp;L anyway — using total interest incurred from FY25 is the most representative current-state proxy.</t>
  </si>
  <si>
    <t xml:space="preserve">• Lexology — Indian loan-doc covenants typically calculated on 'EBITDA and total interest', not just P&amp;L charge. • EvoInfra — 'Debt Service Cover Ratio' primer: DSCR/ISCR for project finance uses CFADS / total scheduled debt service, including capitalised interest pre-COD. • Ind AS 23 — Borrowing costs disclosure (Audit Note 2B): JFL capitalises ₹182.96 Cr interest to CWIP during FY25 = the binding economic interest burden.</t>
  </si>
  <si>
    <t xml:space="preserve">MP-05</t>
  </si>
  <si>
    <t xml:space="preserve">R8, R14, R20, R26, R40, R50 (LTD/Equity rows)</t>
  </si>
  <si>
    <t xml:space="preserve">LTD/Equity denominator = 'Equity' interpretation</t>
  </si>
  <si>
    <t xml:space="preserve">Sanction letters use phrases like 'LTD/TNW' or 'LTD/Equity' but do not always specify whether 'TNW' excludes intangibles and DTA. Audit BS shows: Equity share cap ₹588.75 Cr + Other equity ₹404.70 Cr = Total Equity ₹993.45 Cr. No material intangibles. DTA = ₹0.42 Cr (immaterial).</t>
  </si>
  <si>
    <t xml:space="preserve">TNW = Total Equity ₹993.45 Cr (i.e., no deductions for intangibles or DTA, since both immaterial/nil).</t>
  </si>
  <si>
    <t xml:space="preserve">Strict TNW definition (Equity − Intangibles − DTA) would give ₹993.03 Cr — difference is ₹0.42 Cr (0.04% impact on the ratio). Using Total Equity gives the most defensible answer and aligns with how the auditor computed Note 32 Debt-Equity ratio (2.53 = 2,514.42 ÷ 993.45 = matches audit exactly).</t>
  </si>
  <si>
    <t xml:space="preserve">• Lexology — Indian loan doc 'minimum net worth is calculated as total assets minus total liabilities' i.e., = Total Equity by definition. • Audit Note 32 — auditor's own Debt-Equity calc divides by ₹993.45 Cr (matches our denominator).</t>
  </si>
  <si>
    <t xml:space="preserve">MP-06</t>
  </si>
  <si>
    <t xml:space="preserve">R31</t>
  </si>
  <si>
    <t xml:space="preserve">TOL definition</t>
  </si>
  <si>
    <t xml:space="preserve">Sanction letter says 'TOL ÷ TNW ≤ 2.50x' but does not define TOL precisely. Audit BS: Total Assets ₹3,928.47 Cr − Total Equity ₹993.45 Cr = ₹2,935.01 Cr.</t>
  </si>
  <si>
    <t xml:space="preserve">TOL = Total Liabilities = Total Assets − Total Equity = ₹2,935.01 Cr.</t>
  </si>
  <si>
    <t xml:space="preserve">Standard Indian banking definition of 'Total Outside Liabilities' = all liabilities to outsiders = all liabilities on the BS net of equity. Lexology confirms this standard. Computed ratio 2.954x vs threshold 2.50x → breached. This is the most expansive (lender-favourable) definition; alternative narrower definitions (excluding payables or provisions) would only INCREASE the ratio.</t>
  </si>
  <si>
    <t xml:space="preserve">• Lexology — Indian loan-doc primer. • ICAI Guidance Note on Audit (Note 32 of audit report).</t>
  </si>
  <si>
    <t xml:space="preserve">MODELLING DISCIPLINE</t>
  </si>
  <si>
    <t xml:space="preserve">DISCIPLINE NOTE</t>
  </si>
  <si>
    <t xml:space="preserve">• Market-Practice cells in Covenant Tracker are tinted amber (FFF2CC); Source Type col J shows 'MP ⚠' for any covenant where market practice is invoked.  •  Each MP-XX assumption is independently defensible from the cited source; the alternative interpretation is documented in col G.  •  Where market practice gives a more lenient or more onerous result, both are noted. Final binding interpretation lies with the lender.</t>
  </si>
  <si>
    <t xml:space="preserve">ADDITIONAL MARKET-PRACTICE DECISIONS (FY29 TEV BASIS)</t>
  </si>
  <si>
    <t xml:space="preserve">R21 (Quasi Equity)</t>
  </si>
  <si>
    <t xml:space="preserve">Quasi Equity FY29 = ₹0 (TEV-consistent)</t>
  </si>
  <si>
    <t xml:space="preserve">Audit Note 16/18 shows ICDs ₹856.76 Cr at FY25 (JCL + JSL Overseas). TEV financing plan does NOT carry these forward — implicit assumption that ICDs are repaid or converted to equity before COD (Apr-2026). Choosing TEV as source of truth means accepting this assumption. Forcing audit values into a TEV-based forward projection would be internally inconsistent.</t>
  </si>
  <si>
    <t xml:space="preserve">Used in R21 IDFC Quasi-Eq Cap evaluation</t>
  </si>
  <si>
    <t xml:space="preserve">Quasi Equity = ₹0 vs cap ₹337.5 Cr → COMPLIANT</t>
  </si>
  <si>
    <t xml:space="preserve">Material — was the only Breached covenant in earlier (pre-V&amp;V) model state; resolves under TEV consistency</t>
  </si>
  <si>
    <t xml:space="preserve">Management to confirm with IDFC the pre-COD ICD resolution plan (subordination, conversion, or repayment).</t>
  </si>
  <si>
    <t xml:space="preserve">MP-09</t>
  </si>
  <si>
    <t xml:space="preserve">R28 (RBL) + R35 (HDFC) JSL FMV Cover</t>
  </si>
  <si>
    <t xml:space="preserve">JSL FMV Cover computed from NSE data with 80% unencumbered assumption</t>
  </si>
  <si>
    <t xml:space="preserve">JSL share price ₹749.50 (NSE close 18-May-2026); promoter holding 62.05% × 824,419,588 shares = ₹61,790 Cr MCap; promoter value ₹38,341 Cr; unencumbered 80% = ₹30,673 Cr.</t>
  </si>
  <si>
    <t xml:space="preserve">Used for R28 (RBL) and R35 (HDFC) JSL FMV cover</t>
  </si>
  <si>
    <t xml:space="preserve">Unencumbered ₹30,673 Cr / JFL Total Debt ₹2,695 Cr = 11.38x vs threshold 2.50x → COMPLIANT (R28); R35 same calc → Compliant ⚠ F-15</t>
  </si>
  <si>
    <t xml:space="preserve">Resolves 2 previously-Pending covenants; massive headroom (366% above threshold)</t>
  </si>
  <si>
    <t xml:space="preserve">REFRESHED Iter 1 v4 (18-May-2026): Live NSE data verified; cover ratio recomputed.</t>
  </si>
  <si>
    <t xml:space="preserve">MP-10</t>
  </si>
  <si>
    <t xml:space="preserve">R43 (HSBC) JSL Pledge Cap</t>
  </si>
  <si>
    <t xml:space="preserve">Pledge % computed = pledged value / JSL total listed market cap</t>
  </si>
  <si>
    <t xml:space="preserve">Same inputs as MP-09 (price ₹749.50). Pledged value = 20% of promoter holding = ₹7,668 Cr. JSL total MCap = ₹61,790 Cr. Pledge ratio = 12.41%.</t>
  </si>
  <si>
    <t xml:space="preserve">Used for R43 HSBC Listed-Securities Cap</t>
  </si>
  <si>
    <t xml:space="preserve">12.41% vs cap 40.00% → COMPLIANT with 27.59pp headroom</t>
  </si>
  <si>
    <t xml:space="preserve">Resolves R43 Pending status. HSBC's covenant is structurally hard to breach given JSL market size.</t>
  </si>
  <si>
    <t xml:space="preserve">REFRESHED Iter 1 v4 (18-May-2026): Live NSE data verified.</t>
  </si>
  <si>
    <t xml:space="preserve">MP-11</t>
  </si>
  <si>
    <t xml:space="preserve">R16 (IDFC DSCR — Current Tax proxy)</t>
  </si>
  <si>
    <t xml:space="preserve">Conservative tax substitution for IDFC DSCR numerator</t>
  </si>
  <si>
    <t xml:space="preserve">IDFC SL p.12 defines DSCR numerator as (EBIDTA − Current Tax) where 'current tax' is the cash-basis annual tax liability for the period. TEV FY29 P&amp;L publishes only Total Tax Expense ₹116.717 Cr (current + deferred) without further split.</t>
  </si>
  <si>
    <t xml:space="preserve">Substituted Total Tax Expense ₹116.717 Cr in place of Current Tax for FY29. This is conservative — a deferred-tax credit would lift the numerator and DSCR; treating both as 'current' tightens the test against the company.</t>
  </si>
  <si>
    <t xml:space="preserve">Used in R16 IDFC DSCR formula: (EBITDA − WCInt − Tax) / (TL Prin + TL Int) = (957.362 − 28.830 − 116.717) / (163.286 + 233.111) = 2.048x vs 1.25 threshold → COMPLIANT</t>
  </si>
  <si>
    <t xml:space="preserve">Without this proxy, the IDFC-specific DSCR cannot be computed from TEV — only the generic consortium DSCR (1.80x) would be available, which the IDFC SL p.12 expressly rejects. Conservative substitution preserves IDFC's intent.</t>
  </si>
  <si>
    <t xml:space="preserve">(1) TEV FY29 P&amp;L (Indicators sheet col 10); (2) IDFC First SL 09-Jan-2026 p.12 DSCR clause; (3) Indian Accounting Standards (Ind AS 12) — current vs deferred tax.</t>
  </si>
  <si>
    <t xml:space="preserve">MP-12</t>
  </si>
  <si>
    <t xml:space="preserve">R9 (Covenant Tracker) + Facility Master R10</t>
  </si>
  <si>
    <t xml:space="preserve">Indian Bank TL Interest Rate</t>
  </si>
  <si>
    <t xml:space="preserve">Amendment ticket LCB/Del/JFL/2025-26 (26-Sep-2025) silent on ROI — references only "applicable ROI" from existing sanction. Original Indian Bank sanction letter not in file set. 1.00% penal charge applied over applicable ROI until IDCO NOC obtained (deadline extended to 31.12.2025).</t>
  </si>
  <si>
    <t xml:space="preserve">Applied 1Y MCLR (Indian Bank) ~8.90% + 0.50% spread = 9.40% p.a., consortium-aligned with UBI RTL-I structure.</t>
  </si>
  <si>
    <t xml:space="preserve">(1) Indian Bank is a consortium member — consortium-standard MCLR + 50 bps pricing is the canonical proxy when the original sanction letter is unavailable. (2) Corrects previous spread-only fallback (0.50%) caused by unrecognised benchmark label "TBD (Indian Bank)" in the VLOOKUP table.</t>
  </si>
  <si>
    <t xml:space="preserve">Indian Bank Sanction Ticket LCB/Del/JFL/2025-26 dated 26-Sep-2025; UBI SL 20-Sep-2025 (consortium benchmark peer)</t>
  </si>
  <si>
    <t xml:space="preserve">MP-13</t>
  </si>
  <si>
    <t xml:space="preserve">Facility Master R23-R37 (all HSBC rows) + H23 bucket</t>
  </si>
  <si>
    <t xml:space="preserve">HSBC Realistic-Exposure Haircut (÷5) + Reclassification to Bucket 1</t>
  </si>
  <si>
    <t xml:space="preserve">HSBC Combined Limit ₹1,000 Cr per SL (ref GBM NDH 260475, 27-Feb-2026) is fully Uncommitted. Two-part adjustment applied: (1) 20% haircut (÷5) to all face values — ₹1,000 Cr → ₹200 Cr; sub-limits scaled proportionally. (2) Haircut ₹200 Cr reclassified from Bucket 4 (Uncommitted Memo) to Bucket 1 (Sanctioned / FB Mains) — treated as the realistic committed amount HSBC will maintain given the consortium relationship and JFL's project scale.</t>
  </si>
  <si>
    <t xml:space="preserve">Sanctioned Debt increases from ₹4,466 Cr to ₹4,666 Cr. FB Mains from ₹3,916 to ₹4,116 Cr. Annual run-rate interest +₹18 Cr (to ₹393.161 Cr). WAC barely changes (9.158% → 9.150%). Uncommitted Memo (Bucket 4) drops to zero.</t>
  </si>
  <si>
    <t xml:space="preserve">(1) ₹1,000 Cr face is uncommitted noise — not bankable in a committed-debt analysis; (2) Conservative ₹200 Cr haircut represents realistic steady-state drawdown for a post-DCCO ferrous steel project; (3) HSBC is a consortium member with signed SL — treating ₹200 Cr as sanctioned is defensible for TEV-based credit analysis; (4) Legal risk remains — HSBC can withdraw with no recourse. This is disclosed via F-07 (High severity) and F-18.</t>
  </si>
  <si>
    <t xml:space="preserve">HSBC Facilities Letter ref GBM NDH 260475 dated 27-Feb-2026; credit-committee / mentor guidance.</t>
  </si>
  <si>
    <t xml:space="preserve">VALIDATION &amp; INTEGRITY CHECKS  —  JFL Debt Model v11</t>
  </si>
  <si>
    <t xml:space="preserve">Cross-source V&amp;V (24 checks) + internal VJF integrity checks (84 checks) = 108 total. All checks PASS as of current build.</t>
  </si>
  <si>
    <t xml:space="preserve">SECTION A.  CROSS-SOURCE V&amp;V RESULTS (TEV ⇄ Model ⇄ Sanction Letters ⇄ Audit)</t>
  </si>
  <si>
    <t xml:space="preserve">Test ID</t>
  </si>
  <si>
    <t xml:space="preserve">Result</t>
  </si>
  <si>
    <t xml:space="preserve">Detail</t>
  </si>
  <si>
    <t xml:space="preserve">DI-Revenue</t>
  </si>
  <si>
    <t xml:space="preserve">PASS</t>
  </si>
  <si>
    <t xml:space="preserve">TEV=7541.034379173315 | Model=7541.034379173315</t>
  </si>
  <si>
    <t xml:space="preserve">DI-EBITDA</t>
  </si>
  <si>
    <t xml:space="preserve">TEV=957.36228282925 | Model=957.36228282925</t>
  </si>
  <si>
    <t xml:space="preserve">DI-Depreciation</t>
  </si>
  <si>
    <t xml:space="preserve">TEV=231.70808529087213 | Model=231.7080852908721</t>
  </si>
  <si>
    <t xml:space="preserve">DI-Interest on Term Loan</t>
  </si>
  <si>
    <t xml:space="preserve">TEV=233.110890225 | Model=233.110890225</t>
  </si>
  <si>
    <t xml:space="preserve">DI-PAT</t>
  </si>
  <si>
    <t xml:space="preserve">TEV=346.9965594138438 | Model=346.9965594138438</t>
  </si>
  <si>
    <t xml:space="preserve">DI-Total Equity (TNW)</t>
  </si>
  <si>
    <t xml:space="preserve">TEV=2186.3514741127156 | Model=2186.351474112716</t>
  </si>
  <si>
    <t xml:space="preserve">DI-Term Loan (Long Term Debt)</t>
  </si>
  <si>
    <t xml:space="preserve">TEV=2388.0548249999997 | Model=2388.054825</t>
  </si>
  <si>
    <t xml:space="preserve">DI-Net Block (Fixed Assets)</t>
  </si>
  <si>
    <t xml:space="preserve">TEV=3606.0041426469916 | Model=3606.004142646992</t>
  </si>
  <si>
    <t xml:space="preserve">DI-Total Current Assets</t>
  </si>
  <si>
    <t xml:space="preserve">TEV=2597.7001851342975 | Model=2597.700185134297</t>
  </si>
  <si>
    <t xml:space="preserve">DI-Total Current Liabilities</t>
  </si>
  <si>
    <t xml:space="preserve">TEV=1376.0027843384441 | Model=1376.002784338444</t>
  </si>
  <si>
    <t xml:space="preserve">FI-DSCR</t>
  </si>
  <si>
    <t xml:space="preserve">Model=1.800882946518668 TEV=1.8008865613249123</t>
  </si>
  <si>
    <t xml:space="preserve">FI-FACR</t>
  </si>
  <si>
    <t xml:space="preserve">FI-ISCR</t>
  </si>
  <si>
    <t xml:space="preserve">FI-LTD/EBITDA</t>
  </si>
  <si>
    <t xml:space="preserve">FI-LTD/Equity</t>
  </si>
  <si>
    <t xml:space="preserve">XR-DSCR-consistency</t>
  </si>
  <si>
    <t xml:space="preserve">All DSCR rows 6 → 1.800882946518668</t>
  </si>
  <si>
    <t xml:space="preserve">XR-FACR-consistency</t>
  </si>
  <si>
    <t xml:space="preserve">SL-DSCR-Compliant</t>
  </si>
  <si>
    <t xml:space="preserve">DSCR 1.800882946518668 vs 1.25 → Compliant</t>
  </si>
  <si>
    <t xml:space="preserve">SL-Quasi-Compliant-v7</t>
  </si>
  <si>
    <t xml:space="preserve">Quasi 0 vs 337.5 → Compliant (TEV-consistent ICDs cleared)</t>
  </si>
  <si>
    <t xml:space="preserve">SL-Rating-NearBreach</t>
  </si>
  <si>
    <t xml:space="preserve">Rating 14 = threshold 14 → Near Breach</t>
  </si>
  <si>
    <t xml:space="preserve">AT-SourceCitation</t>
  </si>
  <si>
    <t xml:space="preserve">0 rows missing citation</t>
  </si>
  <si>
    <t xml:space="preserve">REC-Equity-FY25</t>
  </si>
  <si>
    <t xml:space="preserve">TEV ₹1362.45 vs Audit ₹993.45 (diff 37%)</t>
  </si>
  <si>
    <t xml:space="preserve">REC-Debt-vs-Sanctioned</t>
  </si>
  <si>
    <t xml:space="preserve">TEV ₹2695 vs Sanctioned ₹4466 (excess 40%)</t>
  </si>
  <si>
    <t xml:space="preserve">SI-AllSheets</t>
  </si>
  <si>
    <t xml:space="preserve">Missing: []</t>
  </si>
  <si>
    <t xml:space="preserve">SECTION B.  INTERNAL VJF INTEGRITY CHECKS</t>
  </si>
  <si>
    <t xml:space="preserve">Check ID</t>
  </si>
  <si>
    <t xml:space="preserve">Expected</t>
  </si>
  <si>
    <t xml:space="preserve">VJF-01</t>
  </si>
  <si>
    <t xml:space="preserve">FM row count = 44</t>
  </si>
  <si>
    <t xml:space="preserve">Critical</t>
  </si>
  <si>
    <t xml:space="preserve">FM</t>
  </si>
  <si>
    <t xml:space="preserve">VJF-02</t>
  </si>
  <si>
    <t xml:space="preserve">Sub-limit count = 30 (UBI LC, UBI BG, IDFC NFB A restored to sub-limits)</t>
  </si>
  <si>
    <t xml:space="preserve">VJF-03</t>
  </si>
  <si>
    <t xml:space="preserve">Hedge memo count = 1</t>
  </si>
  <si>
    <t xml:space="preserve">VJF-04</t>
  </si>
  <si>
    <t xml:space="preserve">Bucket 1 (FB Mains) count = 9 (8 original + HSBC post-reclassification)</t>
  </si>
  <si>
    <t xml:space="preserve">VJF-05</t>
  </si>
  <si>
    <t xml:space="preserve">Bucket 2 (NFB Mains) count = 2 (ICICI WC LC, HDFC LC only)</t>
  </si>
  <si>
    <t xml:space="preserve">VJF-06</t>
  </si>
  <si>
    <t xml:space="preserve">Bucket 3 (FD-Backed) count = 2</t>
  </si>
  <si>
    <t xml:space="preserve">VJF-07</t>
  </si>
  <si>
    <t xml:space="preserve">Bucket 4 (Uncommitted) count = 0 (HSBC reclassified to B1 — see MP-13/F-18)</t>
  </si>
  <si>
    <t xml:space="preserve">VJF-08</t>
  </si>
  <si>
    <t xml:space="preserve">All 9 lenders represented</t>
  </si>
  <si>
    <t xml:space="preserve">VJF-09</t>
  </si>
  <si>
    <t xml:space="preserve">No outstanding &gt; sanctioned</t>
  </si>
  <si>
    <t xml:space="preserve">VJF-10</t>
  </si>
  <si>
    <t xml:space="preserve">No TL maturity before drawdown</t>
  </si>
  <si>
    <t xml:space="preserve">VJF-11</t>
  </si>
  <si>
    <t xml:space="preserve">Sanctioned Debt (B1+B2) = ₹4,666 Cr (post-HSBC haircut ₹200 added to B1)</t>
  </si>
  <si>
    <t xml:space="preserve">VJF-12</t>
  </si>
  <si>
    <t xml:space="preserve">FB Mains (Bucket 1) = ₹4,116 Cr (3,916 + HSBC ₹200 post-haircut)</t>
  </si>
  <si>
    <t xml:space="preserve">VJF-13</t>
  </si>
  <si>
    <t xml:space="preserve">NFB Mains (Bucket 2) = ₹550.00 Cr (ICICI WC LC 300 + HDFC LC 250)</t>
  </si>
  <si>
    <t xml:space="preserve">VJF-14</t>
  </si>
  <si>
    <t xml:space="preserve">NFB Contingent (Bucket 2 + NFB-Contingent-Flag sub-limits) = ₹2,040 Cr</t>
  </si>
  <si>
    <t xml:space="preserve">VJF-15</t>
  </si>
  <si>
    <t xml:space="preserve">FD-Backed (Bucket 3) = ₹150 Cr</t>
  </si>
  <si>
    <t xml:space="preserve">VJF-16</t>
  </si>
  <si>
    <t xml:space="preserve">Uncommitted Memo (Bucket 4) = ₹0 Cr (HSBC reclassified to B1 — see MP-13)</t>
  </si>
  <si>
    <t xml:space="preserve">VJF-17</t>
  </si>
  <si>
    <t xml:space="preserve">Hedge Memo = ₹75 Cr (UBI Forward)</t>
  </si>
  <si>
    <t xml:space="preserve">VJF-18</t>
  </si>
  <si>
    <t xml:space="preserve">ICICI TL Takeover Adjustment = ₹840 Cr</t>
  </si>
  <si>
    <t xml:space="preserve">VJF-19</t>
  </si>
  <si>
    <t xml:space="preserve">Adjusted Consortium Debt = ₹3,826 Cr (4,666 - 840 takeover)</t>
  </si>
  <si>
    <t xml:space="preserve">VJF-20</t>
  </si>
  <si>
    <t xml:space="preserve">All facility amounts reconcile to Σ(K) total (post-HSBC ÷5 haircut)</t>
  </si>
  <si>
    <t xml:space="preserve">Recon</t>
  </si>
  <si>
    <t xml:space="preserve">VJF-21</t>
  </si>
  <si>
    <t xml:space="preserve">UBI RTL-I sanction = ₹1,125 Cr</t>
  </si>
  <si>
    <t xml:space="preserve">TL</t>
  </si>
  <si>
    <t xml:space="preserve">VJF-22</t>
  </si>
  <si>
    <t xml:space="preserve">UBI RTL-II sanction = ₹236 Cr</t>
  </si>
  <si>
    <t xml:space="preserve">VJF-23</t>
  </si>
  <si>
    <t xml:space="preserve">Indian Bank TL sanction = ₹235 Cr (derived)</t>
  </si>
  <si>
    <t xml:space="preserve">VJF-24</t>
  </si>
  <si>
    <t xml:space="preserve">RBL TL sanction = ₹200 Cr (bullet bridge)</t>
  </si>
  <si>
    <t xml:space="preserve">VJF-25</t>
  </si>
  <si>
    <t xml:space="preserve">YBL TL sanction = ₹650 Cr</t>
  </si>
  <si>
    <t xml:space="preserve">VJF-26</t>
  </si>
  <si>
    <t xml:space="preserve">IDFC RTL sanction = ₹530 Cr</t>
  </si>
  <si>
    <t xml:space="preserve">VJF-27</t>
  </si>
  <si>
    <t xml:space="preserve">ICICI TL sanction = ₹840 Cr (Takeover)</t>
  </si>
  <si>
    <t xml:space="preserve">VJF-28</t>
  </si>
  <si>
    <t xml:space="preserve">Total amortising TL principal = ₹3,616 Cr</t>
  </si>
  <si>
    <t xml:space="preserve">VJF-29</t>
  </si>
  <si>
    <t xml:space="preserve">Repayment Schedule final OS = 0 (UBI RTL-I)</t>
  </si>
  <si>
    <t xml:space="preserve">VJF-30</t>
  </si>
  <si>
    <t xml:space="preserve">Active covenant count = 44 (47 total rows in Tracker, 3 removed = 44 active)</t>
  </si>
  <si>
    <t xml:space="preserve">Cov</t>
  </si>
  <si>
    <t xml:space="preserve">VJF-31</t>
  </si>
  <si>
    <t xml:space="preserve">AsOfDate populated</t>
  </si>
  <si>
    <t xml:space="preserve">Inputs</t>
  </si>
  <si>
    <t xml:space="preserve">VJF-32</t>
  </si>
  <si>
    <t xml:space="preserve">FX_USD_INR &gt; 0</t>
  </si>
  <si>
    <t xml:space="preserve">VJF-33</t>
  </si>
  <si>
    <t xml:space="preserve">DaysInYear &gt; 0</t>
  </si>
  <si>
    <t xml:space="preserve">VJF-34</t>
  </si>
  <si>
    <t xml:space="preserve">FinBasis = "Audited FY25" (audit-report-driven)</t>
  </si>
  <si>
    <t xml:space="preserve">VJF-35</t>
  </si>
  <si>
    <t xml:space="preserve">UseFullUtil set</t>
  </si>
  <si>
    <t xml:space="preserve">VJF-36</t>
  </si>
  <si>
    <t xml:space="preserve">All facilities have bucket assignment</t>
  </si>
  <si>
    <t xml:space="preserve">Arch</t>
  </si>
  <si>
    <t xml:space="preserve">VJF-37</t>
  </si>
  <si>
    <t xml:space="preserve">No NFB sub-limit incorrectly in Bucket 2</t>
  </si>
  <si>
    <t xml:space="preserve">VJF-38</t>
  </si>
  <si>
    <t xml:space="preserve">No FB sub-limit incorrectly in Bucket 1</t>
  </si>
  <si>
    <t xml:space="preserve">VJF-39</t>
  </si>
  <si>
    <t xml:space="preserve">UBI Sanctioned (B1 only) = ₹1,361 Cr (RTL-I + RTL-II)</t>
  </si>
  <si>
    <t xml:space="preserve">Caps</t>
  </si>
  <si>
    <t xml:space="preserve">VJF-40</t>
  </si>
  <si>
    <t xml:space="preserve">Indian Bank Sanctioned = ₹235 Cr</t>
  </si>
  <si>
    <t xml:space="preserve">VJF-41</t>
  </si>
  <si>
    <t xml:space="preserve">RBL Bank Sanctioned (excl FD) = ₹200 Cr</t>
  </si>
  <si>
    <t xml:space="preserve">VJF-42</t>
  </si>
  <si>
    <t xml:space="preserve">YES Bank Sanctioned = ₹650 Cr</t>
  </si>
  <si>
    <t xml:space="preserve">VJF-43</t>
  </si>
  <si>
    <t xml:space="preserve">IDFC First Sanctioned = ₹530 Cr (TL only; NFB is sub-limit)</t>
  </si>
  <si>
    <t xml:space="preserve">VJF-44</t>
  </si>
  <si>
    <t xml:space="preserve">ICICI Bank WC Sanctioned = ₹400 Cr</t>
  </si>
  <si>
    <t xml:space="preserve">VJF-45</t>
  </si>
  <si>
    <t xml:space="preserve">HDFC Bank Sanctioned (excl FD) = ₹250 Cr</t>
  </si>
  <si>
    <t xml:space="preserve">VJF-46</t>
  </si>
  <si>
    <t xml:space="preserve">ICICI Bank (TL) Sanctioned = ₹840 Cr</t>
  </si>
  <si>
    <t xml:space="preserve">VJF-47</t>
  </si>
  <si>
    <t xml:space="preserve">UBI RTL-I Rep Start = 30-Jun-2027</t>
  </si>
  <si>
    <t xml:space="preserve">Dates</t>
  </si>
  <si>
    <t xml:space="preserve">VJF-48</t>
  </si>
  <si>
    <t xml:space="preserve">YBL TL Rep Start = 30-Jun-2027</t>
  </si>
  <si>
    <t xml:space="preserve">VJF-49</t>
  </si>
  <si>
    <t xml:space="preserve">IDFC TL Rep Start = 30-Jun-2027</t>
  </si>
  <si>
    <t xml:space="preserve">VJF-50</t>
  </si>
  <si>
    <t xml:space="preserve">ICICI TL Rep Start = 30-Jun-2027</t>
  </si>
  <si>
    <t xml:space="preserve">VJF-51</t>
  </si>
  <si>
    <t xml:space="preserve">Indian Bank Rep Start = 31-Mar-2027 (1Q earlier)</t>
  </si>
  <si>
    <t xml:space="preserve">VJF-52</t>
  </si>
  <si>
    <t xml:space="preserve">RBL TL Maturity = 13-Nov-2026 (bullet)</t>
  </si>
  <si>
    <t xml:space="preserve">VJF-53</t>
  </si>
  <si>
    <t xml:space="preserve">UBI RTL-I Maturity = 31-Mar-2039</t>
  </si>
  <si>
    <t xml:space="preserve">VJF-54</t>
  </si>
  <si>
    <t xml:space="preserve">1Y MCLR (UBI) in [0, 25%]</t>
  </si>
  <si>
    <t xml:space="preserve">Rates</t>
  </si>
  <si>
    <t xml:space="preserve">VJF-55</t>
  </si>
  <si>
    <t xml:space="preserve">EBLR (IDFC) in range</t>
  </si>
  <si>
    <t xml:space="preserve">VJF-56</t>
  </si>
  <si>
    <t xml:space="preserve">3M I-MCLR (ICICI) in range</t>
  </si>
  <si>
    <t xml:space="preserve">VJF-57</t>
  </si>
  <si>
    <t xml:space="preserve">6M I-MCLR (ICICI) in range</t>
  </si>
  <si>
    <t xml:space="preserve">VJF-58</t>
  </si>
  <si>
    <t xml:space="preserve">Repo Rate in range</t>
  </si>
  <si>
    <t xml:space="preserve">VJF-59</t>
  </si>
  <si>
    <t xml:space="preserve">Bucket1_DebtTotal &gt; 0</t>
  </si>
  <si>
    <t xml:space="preserve">VJF-60</t>
  </si>
  <si>
    <t xml:space="preserve">TotalIntComm &gt; 0</t>
  </si>
  <si>
    <t xml:space="preserve">VJF-61</t>
  </si>
  <si>
    <t xml:space="preserve">WAC of FB Debt &gt; 0</t>
  </si>
  <si>
    <t xml:space="preserve">VJF-62</t>
  </si>
  <si>
    <t xml:space="preserve">NFB Contingent flag count = 6 (UBI BG excluded as sub-cap of UBI LC)</t>
  </si>
  <si>
    <t xml:space="preserve">VJF-v7-01</t>
  </si>
  <si>
    <t xml:space="preserve">Active covenants in FY29 Compliance sheet = 44</t>
  </si>
  <si>
    <t xml:space="preserve">VJF-v7-05</t>
  </si>
  <si>
    <t xml:space="preserve">TEV FY29 DSCR reconciles to Indicators (1.80 ±0.01)</t>
  </si>
  <si>
    <t xml:space="preserve">VJF-v7-06</t>
  </si>
  <si>
    <t xml:space="preserve">TEV FY29 ISCR reconciles to Indicators (3.65 ±0.01)</t>
  </si>
  <si>
    <t xml:space="preserve">VJF-v7-07</t>
  </si>
  <si>
    <t xml:space="preserve">TEV FY29 FACR reconciles to Indicators (1.51 ±0.01)</t>
  </si>
  <si>
    <t xml:space="preserve">VJF-v7-08</t>
  </si>
  <si>
    <t xml:space="preserve">TEV FY29 LTD/EBITDA reconciles (2.49 ±0.01)</t>
  </si>
  <si>
    <t xml:space="preserve">VJF-v7-09</t>
  </si>
  <si>
    <t xml:space="preserve">TEV FY29 LTD/Equity reconciles (1.09 ±0.01)</t>
  </si>
  <si>
    <t xml:space="preserve">VJF-v7-10</t>
  </si>
  <si>
    <t xml:space="preserve">R21 IDFC Quasi Equity Compliant (₹0 &lt;= 337.5)</t>
  </si>
  <si>
    <t xml:space="preserve">VJF-v7-11</t>
  </si>
  <si>
    <t xml:space="preserve">R33 ICICI Rating Near Breach (14 = 14, 0% headroom)</t>
  </si>
  <si>
    <t xml:space="preserve">VJF-v7-12</t>
  </si>
  <si>
    <t xml:space="preserve">R29 RBL Rating Compliant (14 &gt; 10, 40% headroom)</t>
  </si>
  <si>
    <t xml:space="preserve">VJF-v7-18</t>
  </si>
  <si>
    <t xml:space="preserve">R28 RBL JSL FMV Cover &gt;= 2.5x</t>
  </si>
  <si>
    <t xml:space="preserve">VJF-v7-19</t>
  </si>
  <si>
    <t xml:space="preserve">R35 HDFC JSL FMV Cover = R28 (identical computation)</t>
  </si>
  <si>
    <t xml:space="preserve">VJF-v7-20</t>
  </si>
  <si>
    <t xml:space="preserve">R43 HSBC JSL Pledge % &lt;= 40%</t>
  </si>
  <si>
    <t xml:space="preserve">VJF-v7-21</t>
  </si>
  <si>
    <t xml:space="preserve">DSCR consistent across 5 generic-formula DSCR rows (UBI, IB, YES, ICICI TL, HDFC; excludes IDFC and Cash Sweep)</t>
  </si>
  <si>
    <t xml:space="preserve">VJF-v7-22</t>
  </si>
  <si>
    <t xml:space="preserve">ISCR consistent across all 6 lender rows (=3.65 ±0.01)</t>
  </si>
  <si>
    <t xml:space="preserve">VJF-v7-23</t>
  </si>
  <si>
    <t xml:space="preserve">FACR consistent across all 6 lender rows (=1.51 ±0.01)</t>
  </si>
  <si>
    <t xml:space="preserve">VJF-v10-01</t>
  </si>
  <si>
    <t xml:space="preserve">Management Flags sheet exists with all 18 F-XX flags</t>
  </si>
  <si>
    <t xml:space="preserve">Struct</t>
  </si>
  <si>
    <t xml:space="preserve">VJF-v10-02</t>
  </si>
  <si>
    <t xml:space="preserve">Management Flags — all flags have Description + Action populated</t>
  </si>
  <si>
    <t xml:space="preserve">VJF-NEW-01</t>
  </si>
  <si>
    <t xml:space="preserve">UBI RTL-II Eff Rate in FM = hardcoded in TL sheet (catches unicode mismatch)</t>
  </si>
  <si>
    <t xml:space="preserve">VJF-NEW-03</t>
  </si>
  <si>
    <t xml:space="preserve">Dashboard maturity profile sum (D32:D47) + RBL bullet = Total TL Princ O/S</t>
  </si>
  <si>
    <t xml:space="preserve">VJF-NEW-04</t>
  </si>
  <si>
    <t xml:space="preserve">Indian Bank TL Eff Rate &gt; 5% sanity check (catches benchmark-lookup fallback failures)</t>
  </si>
  <si>
    <t xml:space="preserve">Pricing</t>
  </si>
  <si>
    <t xml:space="preserve">VJF-NEW-10</t>
  </si>
  <si>
    <t xml:space="preserve">HSBC Combined Limit (FM K23) = 200 post-haircut and in Bucket 1 (catches unintended revert to face value or bucket)</t>
  </si>
  <si>
    <t xml:space="preserve">HSBC Haircut</t>
  </si>
  <si>
    <t xml:space="preserve">VJF-NEW-11</t>
  </si>
  <si>
    <t xml:space="preserve">HSBC bucket = 1 in Facility Master (confirms B4→B1 reclassification not reverted)</t>
  </si>
  <si>
    <t xml:space="preserve">MASTER STATUS — ALL CHECKS</t>
  </si>
  <si>
    <t xml:space="preserve">Total Checks</t>
  </si>
  <si>
    <t xml:space="preserve">FAIL</t>
  </si>
  <si>
    <t xml:space="preserve">Critical FAIL</t>
  </si>
  <si>
    <t xml:space="preserve">Pass Rate</t>
  </si>
  <si>
    <t xml:space="preserve">Overall Status</t>
  </si>
  <si>
    <t xml:space="preserve">MODEL NOTES &amp; METHODOLOGY  —  JFL Debt Monitoring Model</t>
  </si>
  <si>
    <t xml:space="preserve">Source: 9 JFL sanction letters (Sep-2025 to Mar-2026) + N.C. Aggarwal &amp; Co. Audit Report (28-Aug-2025, FY25). Prepared following JCL Debt Model V19 methodology.</t>
  </si>
  <si>
    <t xml:space="preserve">1.  BUCKET DECISION TREE</t>
  </si>
  <si>
    <t xml:space="preserve">Q1.</t>
  </si>
  <si>
    <t xml:space="preserve">Is the facility a sub-limit of another facility already in the model? (Either (a) labelled in the sanction letter as a sub-limit, or (b) sharing a binding cap with an umbrella facility such that drawing it reduces the umbrella's available capacity.) If YES → BUCKET 0 (excluded from totals).</t>
  </si>
  <si>
    <t xml:space="preserve">Q2.</t>
  </si>
  <si>
    <t xml:space="preserve">Is the facility 100% FD-backed (self-collateralised by a Fixed Deposit)? If YES → BUCKET 3 (Separate Lines). JFL: RBL FDOD ₹100 Cr + HDFC FD-OD ₹50 Cr = ₹150 Cr.</t>
  </si>
  <si>
    <t xml:space="preserve">Q3.</t>
  </si>
  <si>
    <t xml:space="preserve">Is the facility UNCOMMITTED? If YES → BUCKET 4 (memo). JFL exception: HSBC ₹1,000 Cr face is uncommitted, but model carries ₹200 Cr (post 20% haircut — MP-13) in Bucket 1 as effective committed. See F-18.</t>
  </si>
  <si>
    <t xml:space="preserve">Q4.</t>
  </si>
  <si>
    <t xml:space="preserve">Is the facility fund-based (FB, FB-Term, FB-FCY)? If YES → BUCKET 1 (FB Mains). JFL: 8 facilities — UBI RTL-I ₹1,125 + UBI RTL-II ₹236 + Indian Bank TL ₹235 + RBL TL ₹200 + YBL TL ₹650 + IDFC RTL ₹530 + ICICI CC ₹100 + ICICI TL ₹840 = ₹3,916 Cr GROSS.</t>
  </si>
  <si>
    <t xml:space="preserve">Q5.</t>
  </si>
  <si>
    <t xml:space="preserve">Is the facility non-fund-based (NFB) and an INDEPENDENT parent (not a sub-limit of another facility)? If YES → BUCKET 2 (NFB Mains). JFL: 2 facilities — ICICI WC LC ₹300 + HDFC LC ₹250 = ₹550 Cr. (Note: UBI LC ₹750, UBI BG ₹12.5, RBL LC ₹200, YBL Capex LC ₹100, IDFC NFB-A ₹400, ICICI TL BG ₹20, ICICI TL SBLC ₹20 are NFB but sub-limits of FB facilities → Bucket 0; they appear in NFB Contingent memo.)</t>
  </si>
  <si>
    <t xml:space="preserve">Hedge / Forward Contract notional limits are derivative caps, not credit facilities. JFL: UBI Forward Contract ₹75 Cr. Tracked in Lender Summary memo line, out of all buckets.</t>
  </si>
  <si>
    <t xml:space="preserve">2.  KPI DEFINITIONS</t>
  </si>
  <si>
    <t xml:space="preserve">• </t>
  </si>
  <si>
    <t xml:space="preserve">Sanctioned Debt: = Bucket 1 + Bucket 2 = ₹4,666.00 Cr GROSS. Sum of all FB and NFB main parent facilities (Bucket 1 ₹4,116 Cr + Bucket 2 ₹550 Cr). Includes HSBC ₹200 Cr post-haircut in Bucket 1 (see MP-13/F-18). Does NOT net the ICICI TL takeover. Excludes Bucket 3 (FD-Backed ₹150), Bucket 4 (Uncommitted ₹0 post-HSBC reclassification), Hedge Memo (₹75), and all Bucket 0 sub-limits.</t>
  </si>
  <si>
    <t xml:space="preserve">Adjusted Consortium Debt: = Sanctioned Debt − ICICI TL takeover (₹840 Cr) = ₹3,826.00 Cr (= ₹4,666 − ₹840). Economic-substance view: ICICI TL replaces existing consortium exposure, so deducting it avoids double-counting in the consortium's total debt headline.</t>
  </si>
  <si>
    <t xml:space="preserve">FB Mains (Bucket 1): = ₹4,116 Cr gross. The fund-based parent facilities at sanction face (includes HSBC ₹200 Cr post-haircut — see MP-13/F-18). Used as the cost basis for weighted-average debt cost calculations (interest sits on FB facilities only).</t>
  </si>
  <si>
    <t xml:space="preserve">NFB Mains (Bucket 2): = ₹550.00 Cr. Pure NFB parent facilities — ICICI WC LC ₹300 Cr + HDFC Bank LC ₹250 Cr only. Other NFBs are sub-limits of FB facilities and live in Bucket 0.</t>
  </si>
  <si>
    <t xml:space="preserve">NFB Contingent (memo): = Bucket 2 + NFB sub-limits whose parent is FB-Main = ₹550 + ₹1,490 = ₹2,040.00 Cr. AG-flagged sub-limits: UBI W/w LC ₹750 + RBL LC ₹200 + YBL Capex LC ₹100 + IDFC NFB-A ₹400 + ICICI TL BG ₹20 + ICICI TL SBLC ₹20 = ₹1,490 Cr.</t>
  </si>
  <si>
    <t xml:space="preserve">FD-Backed (Bucket 3): = ₹150 Cr (RBL FDOD ₹100 + HDFC FD-OD ₹50). Self-collateralised; economic exposure nil.</t>
  </si>
  <si>
    <t xml:space="preserve">Uncommitted Memo (Bucket 4): = ₹0 Cr post-HSBC reclassification. HSBC ₹200 Cr (haircut from ₹1,000 Cr face) now in Bucket 1. Note: HSBC's Bucket 1 inclusion is a modelling assumption — legal commitment does not exist. See MP-13, F-07, F-18.</t>
  </si>
  <si>
    <t xml:space="preserve">Hedge Memo: = ₹75 Cr (UBI Forward Contract credit-equivalent). Marked with '^' superscript in UBI cover table with no footnote — provisional treatment as memo only pending clarification.</t>
  </si>
  <si>
    <t xml:space="preserve">3.  SANCTION LETTER SOURCES (per letter in file set)</t>
  </si>
  <si>
    <t xml:space="preserve">• UBI</t>
  </si>
  <si>
    <t xml:space="preserve">Lead Bank. Letter dated 20-Sep-2025, Ref LCBD-I:JFL:2025-26:1726. RTL-I ₹1,125 Cr (renewal) + RTL-II ₹236 Cr (fresh) + NFB sub-limits (LC ₹750 + BG ₹12.5) + Forward Contract ₹75 Cr memo. Pricing: 1Y MCLR (8.90%) + 0.50% = 9.40% (RTL-I); 1Y MCLR (8.60%) + 0.50% = 9.10% (RTL-II). 16y D2D, 4y moratorium, 12y repayment, 48 quarterly: 8×1.25% + 40×2.25%. First instal 30-Jun-2027; final 31-Mar-2039. DCCO extended to 01-Apr-2026; security perfection 31-Dec-2025; penal waiver 01-Oct→31-Dec-2025.</t>
  </si>
  <si>
    <t xml:space="preserve">• Indian Bank</t>
  </si>
  <si>
    <t xml:space="preserve">Letter dated 26-Sep-2025, Ref LCB/Del/JFL:2025-26. Amendment-only sanction ticket. Loan amount ₹235 Cr DERIVED from revised repayment table (not directly stated). First instalment 31-Mar-2027 (one quarter earlier than other consortium — FLAG). 48 quarterly instalments. Mod charge ₹10L. Original SL with interest rate / security / covenants NOT in file set.</t>
  </si>
  <si>
    <t xml:space="preserve">• RBL Bank</t>
  </si>
  <si>
    <t xml:space="preserve">Letter dated 13-Nov-2025, Ref CAD/DEL/0856/2025-26. TL ₹200 Cr (12-MONTH BULLET, bridge, NOT consortium) + LC sub-limit ₹200 Cr + FDOD ₹100 Cr (FD-backed). TL &amp; FDOD rates 'to be decided at disbursement' — FLAG. LC 0.50% p.a. Processing 0.50%; Doc 0.05% (max ₹5L). Min promoter contribution ₹1,363 Cr covenant. JSL FMV unencumbered/total debt &gt; 2.5x. Min BBB rating within 180 days. Review 31-Aug-2026.</t>
  </si>
  <si>
    <t xml:space="preserve">• YES Bank</t>
  </si>
  <si>
    <t xml:space="preserve">Letter dated 29-Dec-2025, Ref YBL/DEL/LC/FL/04920/12/2025. TL ₹650 Cr + Capex LC sub-limit ₹100 Cr. Rate EBLR + 3.45% (current EBLR not stated — FLAG). 160 months D2D; 12-month moratorium; 48 quarterly consortium pattern. Disbursement caps: ₹485 Cr pre-COD; ₹165 Cr post-COD + perfection. Cash Sweep DSCR &gt; 1.5x, ₹75 Cr/yr cap, from 2y post-COD. Spread reset right 3y post SCOD. Facility fee 0.4589% (by 31-Dec-25) / 0.50% after. Prepayment 1% to 31-Mar-2028; nil thereafter. Covenants FY29.</t>
  </si>
  <si>
    <t xml:space="preserve">• IDFC First</t>
  </si>
  <si>
    <t xml:space="preserve">Letter dated 09-Jan-2026 (accepted 14-Jan-2026), Ref IDFC/CAD/REF/SL/260131. RTL ₹530 Cr + NFB stated ₹400 Cr but sub-limits A ₹400 + B ₹200 = ₹600 Cr — AMBIGUITY FLAG. EBLR 7.75% + 1.05% = ~8.80% 'p.a.p.m.' (abbreviation unclear — FLAG). Processing 0.20%; Capex LC 0.35%; BG 0.35%. 16y D2D; 1y moratorium. Covenants first-test FY27 (2 yrs earlier than others — FLAG). Different DSCR definition — FLAG. Quasi Equity cap ₹337.50 Cr (vs ₹408.60 Cr in others — FLAG). DCCO further-extension pass-through pricing. Escrow at UBI.</t>
  </si>
  <si>
    <t xml:space="preserve">• ICICI WC CAL</t>
  </si>
  <si>
    <t xml:space="preserve">Letter dated 12-Feb-2026, Ref CAL142368928833 (Yatin Tyagi, Zonal Head). WC: CC ₹100 + WCDL sub-limit + LC ₹300 + BG(F+P) sub-limit ₹100 = ₹400 Cr total. CC: I-MCLR-6M (8.30%) + 0.20% = ~8.50%, reset 6 mo. WCDL: Repo + Spread (TBD per drawdown — FLAG). LC 0.60%; BG(P) 0.60% ≤1y / 0.75% 1-3y; BG(F) 0.85% / 1.00%. Validity 03-Feb-2027. Margins 25% uniform inventory; book debt 90d cover 25%. Group co LC cap: 25% (Jindal Coke + JSL). Acceptance 28-Feb-2026; docs 31-Mar-2026.</t>
  </si>
  <si>
    <t xml:space="preserve">• HSBC</t>
  </si>
  <si>
    <t xml:space="preserve">Letter dated 27-Feb-2026, Ref GBM NDH 260475. Combined ₹1,000 Cr UNCOMMITTED across 15 sub-facilities. All rates 'mutually agreed' — FLAG. SECURITY EXCLUDES IMMOVABLE FIXED ASSETS — FLAG (only consortium lender that does so). JSL cap 40% of listed-securities value (tightest covenant). External CA cert within 7 days of month-end. NO penal interest per RBI guidelines. Offer validity 13-Apr-2026; review 31-Aug-2026.</t>
  </si>
  <si>
    <t xml:space="preserve">• HDFC Bank</t>
  </si>
  <si>
    <t xml:space="preserve">Letter dated 26-Mar-2026, Ref CAM012101260020 / DOC26CUS0097101 (Pragya Mehra RM, Mr Kapil Arora attn). WC: LC ₹250 Cr (with PSF/Pre-Shipment/SBLC/CC/WCDL sub-limits) + FD-OD ₹50 Cr (with BG sub ₹50; FD-backed). LC 0.50% daily; CC 8.15% (14-day Repo); FD-OD FD+1%; pre/post shipment, SBLC, WCDL: TBD at drawdown — FLAG. Processing 0.12% p.a.; Annual renewal 0.10%. Review 31-Aug-2026. JSL 2.5x cover. HR coil offtake 3 mo pre-DCCO. Sec perfection 60 days.</t>
  </si>
  <si>
    <t xml:space="preserve">• ICICI TL</t>
  </si>
  <si>
    <t xml:space="preserve">Letter dated 27-Mar-2026, Ref CAL504005729787, validity 31-Mar-2026. RTL ₹840 Cr TAKEOVER OF DISBURSED CONSORTIUM TL ONLY (excludes cost overrun and undisbursed) — FLAG. BG Fin sub ₹20 + SBLC sub ₹20. I-MCLR-3M (8.10%) + 0.60% = 8.70%, reset 3 mo. UNIQUE: 5-year put option from DCCO; 90-day repayment if invoked. Moratorium till 31-Mar-2027; last drawdown 30-Jun-2026. Consortium-aligned 48 quarterly. Processing 'as per Fee Letter' — FLAG not in CAL. Prepay: &lt;2y 1%; 2-4y 0.25%; &gt;4y nil. Covenants FY29 first test (120d of FY end).</t>
  </si>
  <si>
    <t xml:space="preserve">4.  KEY TREATMENT DECISIONS</t>
  </si>
  <si>
    <t xml:space="preserve">ICICI TL ₹840 Cr is a TAKEOVER of disbursed consortium debt. Bucket 1 sum is GROSS; the 'Adjusted Consortium Debt' KPI (₹3,826 Cr) nets out the ₹840 Cr from the Sanctioned Debt ₹4,666 Cr to avoid double-counting. The specific takeover-target lender(s) within the consortium are NOT identified in the CAL — clarification required from company treasury.</t>
  </si>
  <si>
    <t xml:space="preserve">RBL Term Loan ₹200 Cr is a 12-MONTH BULLET bridge facility — fundamentally different from the consortium 12-year amortising TLs. Tracked in Bucket 1 (sanctioned) but flagged as 'Bridge' in Facility Master. Repayment schedule shows bullet maturity 13-Nov-2026.</t>
  </si>
  <si>
    <t xml:space="preserve">HSBC ₹1,000 Cr face is UNCOMMITTED. Model applies 20% haircut → ₹200 Cr classified in Bucket 1 (Sanctioned) as effective committed (see MP-13 / F-18). Face value excluded from committed stack. This departs from JCL model convention — documented via F-18.</t>
  </si>
  <si>
    <t xml:space="preserve">Indian Bank TL ₹235 Cr is DERIVED from the 26-Sep-2025 amendment ticket's repayment table totals (1.25% + 1.25% + ... = 100%). Internally consistent but should be confirmed against the original Indian Bank sanction letter, which is NOT in the file set.</t>
  </si>
  <si>
    <t xml:space="preserve">IDFC First NFB AMBIGUITY: letter states ₹400 Cr total but A (₹400) + B (₹200) = ₹600 Cr. Modelled as ₹400 Cr Bucket 2 headline (the lower stated number); A and B both treated as interchangeable sub-limits within the cap. Confirm with IDFC at next review.</t>
  </si>
  <si>
    <t xml:space="preserve">UBI Forward Contract ₹75 Cr carries '^' superscript on UBI page 1 cover table but no footnote. Provisionally treated as Hedge memo (out of all buckets) pending clarification of whether it is additive to NFB or memo-only.</t>
  </si>
  <si>
    <t xml:space="preserve">Indian Bank first instalment 31-Mar-2027 is ONE QUARTER EARLIER than other consortium lenders' 30-Jun-2027. Modelled as stated in the amendment ticket but flagged for confirmation.</t>
  </si>
  <si>
    <t xml:space="preserve">Pricing for RBL TL, RBL FDOD, YBL EBLR value, HSBC all rates, HDFC pre/post-shipment / SBLC / WCDL rates, ICICI WCDL spread — all stated as 'TBD at disbursement' or 'mutually agreed' in their respective letters. Model uses stated indicative values where given (e.g., YBL EBLR + 3.45% spread on inferred EBLR) and flags the others.</t>
  </si>
  <si>
    <t xml:space="preserve">AUDIT-TO-MODEL DATE BRIDGE: FY25 audit (N.C. Aggarwal &amp; Co., 28-Aug-2025, BS at 31-Mar-2025) discloses term loans of ₹1,387.26 Cr from 4 banks (Bank of India, UBI, Indian Bank, PNB) repayable in 48 quarterly installments commencing 30-Jun-2026. Model reflects POST-RENEWAL view: UBI 20-Sep-2025 sanction renewed/expanded RTL-I to ₹1,125 Cr with first principal repayment deferred to 30-Jun-2027 (Q1 FY28); Indian Bank 26-Sep-2025 amendment ticket sets ₹235 Cr with first repayment 31-Mar-2027 (Q4 FY27). BoI and PNB residual exposure (~₹27 Cr balance from the audit's ₹1,387.26 Cr aggregate after UBI ₹1,125 + IB ₹235) is absent from model scope — no fresh sanction letters for these two banks in the 9-letter source set — but IS captured in the audit-derived LTD aggregate ₹1,677.75 Cr used for FY25 covenant snapshot (R8/R31/R32/R40). Net effect: model is internally consistent and audit-reconciled at the aggregate level.</t>
  </si>
  <si>
    <t xml:space="preserve">5.  WORKBOOK ARCHITECTURE</t>
  </si>
  <si>
    <t xml:space="preserve">Facility Master is the single source of truth. All other sheets aggregate via SUMIFS, INDEX/MATCH, or named ranges on FM columns.</t>
  </si>
  <si>
    <t xml:space="preserve">Named ranges: SanctionedDebt, FBMainsTotal, NFBMainsTotal, NFBContingent, FDBackedTotal, UncommittedMemo, HedgeMemo, AdjustedConsortiumDebt — point to Lender Summary anchor cells.</t>
  </si>
  <si>
    <t xml:space="preserve">Validation Engine has 108 checks (VJF-01 onwards). Master Status shows ✓ PASS only when zero critical fails.</t>
  </si>
  <si>
    <t xml:space="preserve">Toggles in Instructions &amp; Assumptions: UseFullUtil (TRUE → Effective O/S = Sanctioned). FinBasis toggle (formerly Actual/Projected) RETIRED — Section C now hard-bound to FY25 audit report.</t>
  </si>
  <si>
    <t xml:space="preserve">JFL financial inputs (EBITDA, TNW, Total Debt, Term Debt, TOL, Current Assets/Liab, Interest, Fixed Assets, Secured Debt, Tax Paid) — NOW POPULATED from N.C. Aggarwal &amp; Co. audit report dated 28-Aug-2025 for FY25 (year ended 31-Mar-2025). Only External Rating remains Pending (not disclosed in audit report).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</si>
</sst>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0.00%"/>
    <numFmt numFmtId="166" formatCode="General"/>
    <numFmt numFmtId="167" formatCode="#,##0.00;\(#,##0.00\);\-"/>
    <numFmt numFmtId="168" formatCode="#,##0"/>
    <numFmt numFmtId="169" formatCode="0.00%;\-0.00%;\-"/>
    <numFmt numFmtId="170" formatCode="0.000%"/>
    <numFmt numFmtId="171" formatCode="#,##0.000"/>
    <numFmt numFmtId="172" formatCode="#,##0;\-#,##0;\-"/>
    <numFmt numFmtId="173" formatCode="0"/>
    <numFmt numFmtId="174" formatCode="0%"/>
    <numFmt numFmtId="175" formatCode="0.0%"/>
    <numFmt numFmtId="176" formatCode="#,##0.00;\(#,##0.00\);\—"/>
    <numFmt numFmtId="177" formatCode="#,##0.00"/>
    <numFmt numFmtId="178" formatCode="0.00"/>
    <numFmt numFmtId="179" formatCode="0.00\x"/>
    <numFmt numFmtId="180" formatCode="\+0.00\x;\(0.00&quot;x)&quot;;\—"/>
    <numFmt numFmtId="181" formatCode="\+#,##0.00;\(#,##0.00\);\—"/>
    <numFmt numFmtId="182" formatCode="\+0;\(0\);\—"/>
    <numFmt numFmtId="183" formatCode="\+0.00%;\(0.00%\);\—"/>
    <numFmt numFmtId="184" formatCode="dd/mmm/yyyy"/>
    <numFmt numFmtId="185" formatCode="yyyy/mm/dd"/>
    <numFmt numFmtId="186" formatCode="@"/>
    <numFmt numFmtId="187" formatCode="#,##0.000;\(#,##0.000\);\—"/>
    <numFmt numFmtId="188" formatCode="d\-mmm\-yy"/>
    <numFmt numFmtId="189" formatCode="&quot;N/A&quot;"/>
    <numFmt numFmtId="190" formatCode="dd\-mmm\-yyyy"/>
  </numFmts>
  <fonts count="19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404040"/>
      <name val="Calibri"/>
      <family val="2"/>
      <charset val="1"/>
    </font>
    <font>
      <sz val="10"/>
      <color rgb="FF006400"/>
      <name val="Calibri"/>
      <family val="2"/>
      <charset val="1"/>
    </font>
    <font>
      <b val="true"/>
      <sz val="11"/>
      <color rgb="FF006400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sz val="9"/>
      <color rgb="FF595959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i val="true"/>
      <sz val="9"/>
      <color rgb="FFB8CCEA"/>
      <name val="Calibri"/>
      <family val="2"/>
      <charset val="1"/>
    </font>
    <font>
      <sz val="9"/>
      <color rgb="FFB8CCEA"/>
      <name val="Calibri"/>
      <family val="2"/>
      <charset val="1"/>
    </font>
    <font>
      <b val="true"/>
      <sz val="9"/>
      <color rgb="FF6EE7A0"/>
      <name val="Calibri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8"/>
      <color rgb="FFC8DCF5"/>
      <name val="Calibri"/>
      <family val="2"/>
      <charset val="1"/>
    </font>
    <font>
      <b val="true"/>
      <sz val="18"/>
      <color rgb="FF1F3864"/>
      <name val="Calibri"/>
      <family val="2"/>
      <charset val="1"/>
    </font>
    <font>
      <b val="true"/>
      <sz val="14"/>
      <color rgb="FF1F3864"/>
      <name val="Calibri"/>
      <family val="2"/>
      <charset val="1"/>
    </font>
    <font>
      <b val="true"/>
      <i val="true"/>
      <sz val="8"/>
      <color rgb="FF1A3A5C"/>
      <name val="Calibri"/>
      <family val="2"/>
      <charset val="1"/>
    </font>
    <font>
      <sz val="8"/>
      <color rgb="FF1A3A5C"/>
      <name val="Calibri"/>
      <family val="2"/>
      <charset val="1"/>
    </font>
    <font>
      <b val="true"/>
      <sz val="18"/>
      <color rgb="FF1E6B3C"/>
      <name val="Calibri"/>
      <family val="2"/>
      <charset val="1"/>
    </font>
    <font>
      <b val="true"/>
      <sz val="18"/>
      <color rgb="FF92400E"/>
      <name val="Calibri"/>
      <family val="2"/>
      <charset val="1"/>
    </font>
    <font>
      <b val="true"/>
      <sz val="18"/>
      <color rgb="FF991B1B"/>
      <name val="Calibri"/>
      <family val="2"/>
      <charset val="1"/>
    </font>
    <font>
      <b val="true"/>
      <i val="true"/>
      <sz val="8"/>
      <color rgb="FF4A6FA5"/>
      <name val="Calibri"/>
      <family val="2"/>
      <charset val="1"/>
    </font>
    <font>
      <i val="true"/>
      <sz val="8"/>
      <color rgb="FF4A6FA5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sz val="9"/>
      <color rgb="FF1F3864"/>
      <name val="Calibri"/>
      <family val="2"/>
      <charset val="1"/>
    </font>
    <font>
      <sz val="9"/>
      <color rgb="FF1F6391"/>
      <name val="Calibri"/>
      <family val="2"/>
      <charset val="1"/>
    </font>
    <font>
      <i val="true"/>
      <sz val="9"/>
      <color rgb="FF1F3864"/>
      <name val="Calibri"/>
      <family val="2"/>
      <charset val="1"/>
    </font>
    <font>
      <i val="true"/>
      <sz val="9"/>
      <color rgb="FF1F6391"/>
      <name val="Calibri"/>
      <family val="2"/>
      <charset val="1"/>
    </font>
    <font>
      <b val="true"/>
      <i val="true"/>
      <sz val="9"/>
      <color rgb="FF1F3864"/>
      <name val="Calibri"/>
      <family val="2"/>
      <charset val="1"/>
    </font>
    <font>
      <b val="true"/>
      <sz val="9"/>
      <color rgb="FFC9A84C"/>
      <name val="Calibri"/>
      <family val="2"/>
      <charset val="1"/>
    </font>
    <font>
      <b val="true"/>
      <sz val="9"/>
      <color rgb="FF7B4F00"/>
      <name val="Calibri"/>
      <family val="2"/>
      <charset val="1"/>
    </font>
    <font>
      <b val="true"/>
      <sz val="9"/>
      <color rgb="FF1F6391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b val="true"/>
      <sz val="9"/>
      <color rgb="FF1A3A5C"/>
      <name val="Calibri"/>
      <family val="2"/>
      <charset val="1"/>
    </font>
    <font>
      <b val="true"/>
      <sz val="10"/>
      <color rgb="FF1A78C2"/>
      <name val="Calibri"/>
      <family val="2"/>
      <charset val="1"/>
    </font>
    <font>
      <b val="true"/>
      <sz val="9"/>
      <color rgb="FF0D4A38"/>
      <name val="Calibri"/>
      <family val="2"/>
      <charset val="1"/>
    </font>
    <font>
      <b val="true"/>
      <sz val="10"/>
      <color rgb="FF1A9E72"/>
      <name val="Calibri"/>
      <family val="2"/>
      <charset val="1"/>
    </font>
    <font>
      <b val="true"/>
      <sz val="9"/>
      <color rgb="FF6B4F10"/>
      <name val="Calibri"/>
      <family val="2"/>
      <charset val="1"/>
    </font>
    <font>
      <sz val="10"/>
      <color rgb="FFC09B30"/>
      <name val="Calibri"/>
      <family val="2"/>
      <charset val="1"/>
    </font>
    <font>
      <b val="true"/>
      <sz val="9"/>
      <color rgb="FF4A1A6B"/>
      <name val="Calibri"/>
      <family val="2"/>
      <charset val="1"/>
    </font>
    <font>
      <sz val="10"/>
      <color rgb="FF7D3C98"/>
      <name val="Calibri"/>
      <family val="2"/>
      <charset val="1"/>
    </font>
    <font>
      <b val="true"/>
      <sz val="9"/>
      <color rgb="FF37474F"/>
      <name val="Calibri"/>
      <family val="2"/>
      <charset val="1"/>
    </font>
    <font>
      <sz val="10"/>
      <color rgb="FF607D8B"/>
      <name val="Calibri"/>
      <family val="2"/>
      <charset val="1"/>
    </font>
    <font>
      <b val="true"/>
      <sz val="9"/>
      <color rgb="FF1F3864"/>
      <name val="Calibri"/>
      <family val="2"/>
      <charset val="1"/>
    </font>
    <font>
      <b val="true"/>
      <sz val="8.5"/>
      <color rgb="FFFFFFFF"/>
      <name val="Calibri"/>
      <family val="2"/>
      <charset val="1"/>
    </font>
    <font>
      <b val="true"/>
      <sz val="9"/>
      <color rgb="FF991B1B"/>
      <name val="Calibri"/>
      <family val="2"/>
      <charset val="1"/>
    </font>
    <font>
      <b val="true"/>
      <sz val="8.5"/>
      <color rgb="FF450A0A"/>
      <name val="Calibri"/>
      <family val="2"/>
      <charset val="1"/>
    </font>
    <font>
      <sz val="8.5"/>
      <color rgb="FF9C6500"/>
      <name val="Calibri"/>
      <family val="2"/>
      <charset val="1"/>
    </font>
    <font>
      <sz val="8.5"/>
      <color rgb="FF450A0A"/>
      <name val="Calibri"/>
      <family val="2"/>
      <charset val="1"/>
    </font>
    <font>
      <sz val="8.5"/>
      <color theme="1"/>
      <name val="Calibri"/>
      <family val="2"/>
      <charset val="1"/>
    </font>
    <font>
      <i val="true"/>
      <sz val="8.5"/>
      <color rgb="FF595959"/>
      <name val="Calibri"/>
      <family val="2"/>
      <charset val="1"/>
    </font>
    <font>
      <b val="true"/>
      <i val="true"/>
      <sz val="9"/>
      <color rgb="FF92400E"/>
      <name val="Calibri"/>
      <family val="2"/>
      <charset val="1"/>
    </font>
    <font>
      <i val="true"/>
      <sz val="8.5"/>
      <color rgb="FF451A03"/>
      <name val="Calibri"/>
      <family val="2"/>
      <charset val="1"/>
    </font>
    <font>
      <i val="true"/>
      <sz val="8.5"/>
      <color rgb="FF808080"/>
      <name val="Calibri"/>
      <family val="2"/>
      <charset val="1"/>
    </font>
    <font>
      <b val="true"/>
      <sz val="9"/>
      <color rgb="FF1E40AF"/>
      <name val="Calibri"/>
      <family val="2"/>
      <charset val="1"/>
    </font>
    <font>
      <sz val="8.5"/>
      <color rgb="FF1E3A5F"/>
      <name val="Calibri"/>
      <family val="2"/>
      <charset val="1"/>
    </font>
    <font>
      <sz val="8.5"/>
      <color rgb="FF000000"/>
      <name val="Calibri"/>
      <family val="2"/>
      <charset val="1"/>
    </font>
    <font>
      <sz val="8"/>
      <color theme="1"/>
      <name val="Calibri"/>
      <family val="2"/>
      <charset val="1"/>
    </font>
    <font>
      <b val="true"/>
      <i val="true"/>
      <sz val="8"/>
      <color rgb="FF1E4D8C"/>
      <name val="Calibri"/>
      <family val="2"/>
      <charset val="1"/>
    </font>
    <font>
      <i val="true"/>
      <sz val="7.5"/>
      <color rgb="FF7A96C4"/>
      <name val="Calibri"/>
      <family val="2"/>
      <charset val="1"/>
    </font>
    <font>
      <b val="true"/>
      <i val="true"/>
      <sz val="7.5"/>
      <color rgb="FF7A96C4"/>
      <name val="Calibri"/>
      <family val="2"/>
      <charset val="1"/>
    </font>
    <font>
      <i val="true"/>
      <sz val="7"/>
      <color rgb="FF6B84B5"/>
      <name val="Calibri"/>
      <family val="2"/>
      <charset val="1"/>
    </font>
    <font>
      <b val="true"/>
      <sz val="13"/>
      <color rgb="FFFFFFFF"/>
      <name val="Arial"/>
      <family val="2"/>
      <charset val="1"/>
    </font>
    <font>
      <i val="true"/>
      <sz val="9"/>
      <color rgb="FF808080"/>
      <name val="Arial"/>
      <family val="2"/>
      <charset val="1"/>
    </font>
    <font>
      <b val="true"/>
      <sz val="10"/>
      <color rgb="FF006400"/>
      <name val="Calibri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6400"/>
      <name val="Arial"/>
      <family val="2"/>
      <charset val="1"/>
    </font>
    <font>
      <i val="true"/>
      <sz val="9"/>
      <color rgb="FF595959"/>
      <name val="Arial"/>
      <family val="2"/>
      <charset val="1"/>
    </font>
    <font>
      <sz val="10"/>
      <color rgb="FFBFBFBF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sz val="10"/>
      <color rgb="FF7F5C00"/>
      <name val="Arial"/>
      <family val="2"/>
      <charset val="1"/>
    </font>
    <font>
      <b val="true"/>
      <sz val="10"/>
      <color rgb="FF9C6500"/>
      <name val="Arial"/>
      <family val="2"/>
      <charset val="1"/>
    </font>
    <font>
      <b val="true"/>
      <sz val="11"/>
      <color rgb="FF006400"/>
      <name val="Arial"/>
      <family val="2"/>
      <charset val="1"/>
    </font>
    <font>
      <b val="true"/>
      <sz val="11"/>
      <color rgb="FF9C6500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b val="true"/>
      <sz val="10"/>
      <color rgb="FF595959"/>
      <name val="Arial"/>
      <family val="2"/>
      <charset val="1"/>
    </font>
    <font>
      <b val="true"/>
      <sz val="11"/>
      <color rgb="FF595959"/>
      <name val="Arial"/>
      <family val="2"/>
      <charset val="1"/>
    </font>
    <font>
      <sz val="10"/>
      <color rgb="FF595959"/>
      <name val="Arial"/>
      <family val="2"/>
      <charset val="1"/>
    </font>
    <font>
      <sz val="10"/>
      <color rgb="FF006400"/>
      <name val="Arial"/>
      <family val="2"/>
      <charset val="1"/>
    </font>
    <font>
      <b val="true"/>
      <sz val="9"/>
      <color rgb="FF006400"/>
      <name val="Arial"/>
      <family val="2"/>
      <charset val="1"/>
    </font>
    <font>
      <sz val="9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CCCCCC"/>
      <name val="Arial"/>
      <family val="2"/>
      <charset val="1"/>
    </font>
    <font>
      <b val="true"/>
      <sz val="9"/>
      <color rgb="FF7F5C00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9C6500"/>
      <name val="Calibri"/>
      <family val="2"/>
      <charset val="1"/>
    </font>
    <font>
      <b val="true"/>
      <sz val="11"/>
      <color rgb="FF9C6500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0"/>
      <color rgb="FF595959"/>
      <name val="Calibri"/>
      <family val="2"/>
      <charset val="1"/>
    </font>
    <font>
      <b val="true"/>
      <sz val="11"/>
      <color rgb="FF595959"/>
      <name val="Calibri"/>
      <family val="2"/>
      <charset val="1"/>
    </font>
    <font>
      <b val="true"/>
      <sz val="10"/>
      <color rgb="FF666666"/>
      <name val="Calibri"/>
      <family val="2"/>
      <charset val="1"/>
    </font>
    <font>
      <b val="true"/>
      <sz val="11"/>
      <color rgb="FF666666"/>
      <name val="Calibri"/>
      <family val="2"/>
      <charset val="1"/>
    </font>
    <font>
      <i val="true"/>
      <sz val="11"/>
      <color rgb="FF595959"/>
      <name val="Calibri"/>
      <family val="2"/>
      <charset val="1"/>
    </font>
    <font>
      <sz val="11"/>
      <color rgb="FF595959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i val="true"/>
      <sz val="9"/>
      <color rgb="FF595959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i val="true"/>
      <sz val="10"/>
      <color rgb="FF595959"/>
      <name val="Arial"/>
      <family val="2"/>
      <charset val="1"/>
    </font>
    <font>
      <b val="true"/>
      <i val="true"/>
      <sz val="10"/>
      <color rgb="FF7F5C00"/>
      <name val="Arial"/>
      <family val="2"/>
      <charset val="1"/>
    </font>
    <font>
      <i val="true"/>
      <sz val="9"/>
      <color rgb="FF7F5C00"/>
      <name val="Calibri"/>
      <family val="2"/>
      <charset val="1"/>
    </font>
    <font>
      <b val="true"/>
      <sz val="10"/>
      <color rgb="FF7F5C00"/>
      <name val="Calibri"/>
      <family val="2"/>
      <charset val="1"/>
    </font>
    <font>
      <sz val="10"/>
      <color rgb="FF7F5C00"/>
      <name val="Calibri"/>
      <family val="2"/>
      <charset val="1"/>
    </font>
    <font>
      <i val="true"/>
      <sz val="10"/>
      <color rgb="FF7F5C00"/>
      <name val="Calibri"/>
      <family val="2"/>
      <charset val="1"/>
    </font>
    <font>
      <i val="true"/>
      <sz val="10"/>
      <color rgb="FF006400"/>
      <name val="Calibri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1F3864"/>
      <name val="Arial"/>
      <family val="2"/>
      <charset val="1"/>
    </font>
    <font>
      <sz val="9"/>
      <color rgb="FF999999"/>
      <name val="Arial"/>
      <family val="2"/>
      <charset val="1"/>
    </font>
    <font>
      <sz val="9"/>
      <color rgb="FFCCCCCC"/>
      <name val="Arial"/>
      <family val="2"/>
      <charset val="1"/>
    </font>
    <font>
      <i val="true"/>
      <sz val="9"/>
      <color rgb="FF888888"/>
      <name val="Arial"/>
      <family val="2"/>
      <charset val="1"/>
    </font>
    <font>
      <sz val="9"/>
      <color rgb="FFC55A11"/>
      <name val="Arial"/>
      <family val="2"/>
      <charset val="1"/>
    </font>
    <font>
      <b val="true"/>
      <sz val="9"/>
      <color rgb="FF2E75B6"/>
      <name val="Arial"/>
      <family val="2"/>
      <charset val="1"/>
    </font>
    <font>
      <b val="true"/>
      <sz val="9"/>
      <color rgb="FFC55A11"/>
      <name val="Arial"/>
      <family val="2"/>
      <charset val="1"/>
    </font>
    <font>
      <i val="true"/>
      <sz val="9"/>
      <color rgb="FF8B0000"/>
      <name val="Arial"/>
      <family val="2"/>
      <charset val="1"/>
    </font>
    <font>
      <b val="true"/>
      <sz val="10"/>
      <color rgb="FF1F3864"/>
      <name val="Calibri"/>
      <family val="2"/>
      <charset val="1"/>
    </font>
    <font>
      <sz val="10"/>
      <color rgb="FF8B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rgb="FFC55A11"/>
      <name val="Calibri"/>
      <family val="2"/>
      <charset val="1"/>
    </font>
    <font>
      <sz val="9"/>
      <color rgb="FF7F3F00"/>
      <name val="Calibri"/>
      <family val="2"/>
      <charset val="1"/>
    </font>
    <font>
      <b val="true"/>
      <sz val="10"/>
      <color rgb="FF1F3864"/>
      <name val="Arial"/>
      <family val="2"/>
      <charset val="1"/>
    </font>
    <font>
      <i val="true"/>
      <sz val="10"/>
      <color rgb="FF888888"/>
      <name val="Arial"/>
      <family val="2"/>
      <charset val="1"/>
    </font>
    <font>
      <i val="true"/>
      <sz val="10"/>
      <color rgb="FF8B0000"/>
      <name val="Arial"/>
      <family val="2"/>
      <charset val="1"/>
    </font>
    <font>
      <b val="true"/>
      <sz val="10"/>
      <color rgb="FFCCCCCC"/>
      <name val="Arial"/>
      <family val="2"/>
      <charset val="1"/>
    </font>
    <font>
      <i val="true"/>
      <sz val="10"/>
      <color rgb="FF7F5C00"/>
      <name val="Arial"/>
      <family val="2"/>
      <charset val="1"/>
    </font>
    <font>
      <i val="true"/>
      <sz val="9"/>
      <color rgb="FFCCCCCC"/>
      <name val="Calibri"/>
      <family val="2"/>
      <charset val="1"/>
    </font>
    <font>
      <sz val="11"/>
      <color rgb="FFCCCCCC"/>
      <name val="Calibri"/>
      <family val="2"/>
      <charset val="1"/>
    </font>
    <font>
      <i val="true"/>
      <sz val="8"/>
      <color rgb="FF595959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9"/>
      <color rgb="FF8B0000"/>
      <name val="Arial"/>
      <family val="2"/>
      <charset val="1"/>
    </font>
    <font>
      <sz val="9"/>
      <color rgb="FF7F5C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8000"/>
      <name val="Arial"/>
      <family val="2"/>
      <charset val="1"/>
    </font>
    <font>
      <sz val="10"/>
      <color rgb="FF7F5C00"/>
      <name val="Arial"/>
      <family val="2"/>
      <charset val="1"/>
    </font>
    <font>
      <sz val="10"/>
      <name val="Arial"/>
      <family val="2"/>
      <charset val="1"/>
    </font>
    <font>
      <sz val="10"/>
      <color rgb="FF1F3864"/>
      <name val="Calibri"/>
      <family val="2"/>
      <charset val="1"/>
    </font>
    <font>
      <sz val="10"/>
      <color rgb="FF375623"/>
      <name val="Calibri"/>
      <family val="2"/>
      <charset val="1"/>
    </font>
    <font>
      <sz val="10"/>
      <color rgb="FF595959"/>
      <name val="Calibri"/>
      <family val="2"/>
      <charset val="1"/>
    </font>
    <font>
      <b val="true"/>
      <i val="true"/>
      <sz val="10"/>
      <color rgb="FFC55A11"/>
      <name val="Arial"/>
      <family val="2"/>
      <charset val="1"/>
    </font>
    <font>
      <b val="true"/>
      <sz val="10"/>
      <color rgb="FFC55A11"/>
      <name val="Arial"/>
      <family val="2"/>
      <charset val="1"/>
    </font>
    <font>
      <b val="true"/>
      <sz val="9"/>
      <color rgb="FF006400"/>
      <name val="Calibri"/>
      <family val="2"/>
      <charset val="1"/>
    </font>
    <font>
      <b val="true"/>
      <sz val="11"/>
      <color rgb="FF1F3864"/>
      <name val="Arial"/>
      <family val="2"/>
      <charset val="1"/>
    </font>
    <font>
      <b val="true"/>
      <sz val="9"/>
      <color rgb="FF375623"/>
      <name val="Arial"/>
      <family val="2"/>
      <charset val="1"/>
    </font>
    <font>
      <sz val="9"/>
      <color rgb="FF404040"/>
      <name val="Arial"/>
      <family val="2"/>
      <charset val="1"/>
    </font>
    <font>
      <b val="true"/>
      <sz val="11"/>
      <color rgb="FFC55A11"/>
      <name val="Arial"/>
      <family val="2"/>
      <charset val="1"/>
    </font>
    <font>
      <b val="true"/>
      <sz val="11"/>
      <color rgb="FF8B0000"/>
      <name val="Arial"/>
      <family val="2"/>
      <charset val="1"/>
    </font>
    <font>
      <b val="true"/>
      <sz val="9"/>
      <color rgb="FF8B0000"/>
      <name val="Arial"/>
      <family val="2"/>
      <charset val="1"/>
    </font>
    <font>
      <b val="true"/>
      <sz val="9"/>
      <color rgb="FF375623"/>
      <name val="Calibri"/>
      <family val="2"/>
      <charset val="1"/>
    </font>
    <font>
      <sz val="9"/>
      <color rgb="FF404040"/>
      <name val="Calibri"/>
      <family val="2"/>
      <charset val="1"/>
    </font>
    <font>
      <b val="true"/>
      <sz val="9"/>
      <color rgb="FF8B0000"/>
      <name val="Calibri"/>
      <family val="2"/>
      <charset val="1"/>
    </font>
    <font>
      <i val="true"/>
      <sz val="10"/>
      <color rgb="FF595959"/>
      <name val="Arial"/>
      <family val="2"/>
      <charset val="1"/>
    </font>
    <font>
      <sz val="9"/>
      <color rgb="FF1F3864"/>
      <name val="Arial"/>
      <family val="2"/>
      <charset val="1"/>
    </font>
    <font>
      <b val="true"/>
      <sz val="9"/>
      <color rgb="FF9C6500"/>
      <name val="Arial"/>
      <family val="2"/>
      <charset val="1"/>
    </font>
    <font>
      <b val="true"/>
      <sz val="9"/>
      <color rgb="FFC00000"/>
      <name val="Arial"/>
      <family val="2"/>
      <charset val="1"/>
    </font>
    <font>
      <b val="true"/>
      <sz val="9"/>
      <color rgb="FFC00000"/>
      <name val="Calibri"/>
      <family val="2"/>
      <charset val="1"/>
    </font>
    <font>
      <b val="true"/>
      <sz val="9"/>
      <color rgb="FF9C6500"/>
      <name val="Calibri"/>
      <family val="2"/>
      <charset val="1"/>
    </font>
    <font>
      <b val="true"/>
      <sz val="9"/>
      <color rgb="FF595959"/>
      <name val="Calibri"/>
      <family val="2"/>
      <charset val="1"/>
    </font>
    <font>
      <i val="true"/>
      <sz val="10"/>
      <color rgb="FFAAAAAA"/>
      <name val="Arial"/>
      <family val="2"/>
      <charset val="1"/>
    </font>
    <font>
      <sz val="9"/>
      <color rgb="FFAAAAAA"/>
      <name val="Arial"/>
      <family val="2"/>
      <charset val="1"/>
    </font>
    <font>
      <i val="true"/>
      <sz val="10"/>
      <color rgb="FF1F3864"/>
      <name val="Calibri"/>
      <family val="2"/>
      <charset val="1"/>
    </font>
    <font>
      <sz val="9"/>
      <color rgb="FFC00000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sz val="9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8"/>
      <color rgb="FFFFFFFF"/>
      <name val="Arial"/>
      <family val="2"/>
      <charset val="1"/>
    </font>
    <font>
      <i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1"/>
      <color rgb="FF2F5496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9"/>
      <color rgb="FF9C6500"/>
      <name val="Arial"/>
      <family val="2"/>
      <charset val="1"/>
    </font>
    <font>
      <i val="true"/>
      <sz val="9"/>
      <color rgb="FF9C6500"/>
      <name val="Calibri"/>
      <family val="2"/>
      <charset val="1"/>
    </font>
    <font>
      <b val="true"/>
      <sz val="10"/>
      <color rgb="FF404040"/>
      <name val="Arial"/>
      <family val="2"/>
      <charset val="1"/>
    </font>
    <font>
      <sz val="10"/>
      <color rgb="FFAAAAAA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i val="true"/>
      <sz val="9"/>
      <color rgb="FF2E75B6"/>
      <name val="Arial"/>
      <family val="2"/>
      <charset val="1"/>
    </font>
    <font>
      <sz val="9"/>
      <color rgb="FF9C650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rgb="FF7F3F00"/>
      <name val="Arial"/>
      <family val="2"/>
      <charset val="1"/>
    </font>
    <font>
      <b val="true"/>
      <sz val="10"/>
      <color rgb="FF808080"/>
      <name val="Arial"/>
      <family val="2"/>
      <charset val="1"/>
    </font>
  </fonts>
  <fills count="72">
    <fill>
      <patternFill patternType="none"/>
    </fill>
    <fill>
      <patternFill patternType="gray125"/>
    </fill>
    <fill>
      <patternFill patternType="solid">
        <fgColor rgb="FF1F3864"/>
        <bgColor rgb="FF182957"/>
      </patternFill>
    </fill>
    <fill>
      <patternFill patternType="darkGray">
        <fgColor rgb="FF3382C1"/>
        <bgColor rgb="FF2A75B8"/>
      </patternFill>
    </fill>
    <fill>
      <patternFill patternType="solid">
        <fgColor rgb="FFF3F2F2"/>
        <bgColor rgb="FFF2F5F9"/>
      </patternFill>
    </fill>
    <fill>
      <patternFill patternType="solid">
        <fgColor rgb="FFFFFFFF"/>
        <bgColor rgb="FFFAFAFA"/>
      </patternFill>
    </fill>
    <fill>
      <patternFill patternType="solid">
        <fgColor rgb="FFE3F0E0"/>
        <bgColor rgb="FFE8E8E8"/>
      </patternFill>
    </fill>
    <fill>
      <patternFill patternType="solid">
        <fgColor rgb="FFB60201"/>
        <bgColor rgb="FF5F110D"/>
      </patternFill>
    </fill>
    <fill>
      <patternFill patternType="solid">
        <fgColor rgb="FFFFE0DF"/>
        <bgColor rgb="FFFDEDEC"/>
      </patternFill>
    </fill>
    <fill>
      <patternFill patternType="solid">
        <fgColor rgb="FFF9F9F9"/>
        <bgColor rgb="FFFAFAFA"/>
      </patternFill>
    </fill>
    <fill>
      <patternFill patternType="solid">
        <fgColor rgb="FF182957"/>
        <bgColor rgb="FF1F3864"/>
      </patternFill>
    </fill>
    <fill>
      <patternFill patternType="darkGray">
        <fgColor rgb="FF036106"/>
        <bgColor rgb="FF1F3864"/>
      </patternFill>
    </fill>
    <fill>
      <patternFill patternType="solid">
        <fgColor rgb="FFF2F5F9"/>
        <bgColor rgb="FFF1F5F9"/>
      </patternFill>
    </fill>
    <fill>
      <patternFill patternType="solid">
        <fgColor rgb="FF1F6391"/>
        <bgColor rgb="FF2B5D8B"/>
      </patternFill>
    </fill>
    <fill>
      <patternFill patternType="solid">
        <fgColor rgb="FF2B5D8B"/>
        <bgColor rgb="FF1F6391"/>
      </patternFill>
    </fill>
    <fill>
      <patternFill patternType="solid">
        <fgColor rgb="FFEAF2FB"/>
        <bgColor rgb="FFEBF0F8"/>
      </patternFill>
    </fill>
    <fill>
      <patternFill patternType="mediumGray">
        <fgColor rgb="FFD6EAF8"/>
        <bgColor rgb="FFD5E4F3"/>
      </patternFill>
    </fill>
    <fill>
      <patternFill patternType="darkGray">
        <fgColor rgb="FFE3F0E0"/>
        <bgColor rgb="FFE8F8F5"/>
      </patternFill>
    </fill>
    <fill>
      <patternFill patternType="darkGray">
        <fgColor rgb="FFFFF3CD"/>
        <bgColor rgb="FFFFF2C5"/>
      </patternFill>
    </fill>
    <fill>
      <patternFill patternType="darkGray">
        <fgColor rgb="FFFFE0DF"/>
        <bgColor rgb="FFFDEDEC"/>
      </patternFill>
    </fill>
    <fill>
      <patternFill patternType="mediumGray">
        <fgColor rgb="FFEFF6FF"/>
        <bgColor rgb="FFEBF5FB"/>
      </patternFill>
    </fill>
    <fill>
      <patternFill patternType="solid">
        <fgColor rgb="FFFFF8E6"/>
        <bgColor rgb="FFFFF9E7"/>
      </patternFill>
    </fill>
    <fill>
      <patternFill patternType="solid">
        <fgColor rgb="FFFFF3CD"/>
        <bgColor rgb="FFFFF2C5"/>
      </patternFill>
    </fill>
    <fill>
      <patternFill patternType="solid">
        <fgColor rgb="FFEBF5FB"/>
        <bgColor rgb="FFEAF2FB"/>
      </patternFill>
    </fill>
    <fill>
      <patternFill patternType="solid">
        <fgColor rgb="FFE8F8F5"/>
        <bgColor rgb="FFEBF5FB"/>
      </patternFill>
    </fill>
    <fill>
      <patternFill patternType="solid">
        <fgColor rgb="FFFEF9F0"/>
        <bgColor rgb="FFFFF9E7"/>
      </patternFill>
    </fill>
    <fill>
      <patternFill patternType="solid">
        <fgColor rgb="FFF4ECF7"/>
        <bgColor rgb="FFF5F0FF"/>
      </patternFill>
    </fill>
    <fill>
      <patternFill patternType="solid">
        <fgColor rgb="FFF1F5F9"/>
        <bgColor rgb="FFF2F5F9"/>
      </patternFill>
    </fill>
    <fill>
      <patternFill patternType="solid">
        <fgColor rgb="FF5F110D"/>
        <bgColor rgb="FF3E4042"/>
      </patternFill>
    </fill>
    <fill>
      <patternFill patternType="darkGray">
        <fgColor rgb="FFB60201"/>
        <bgColor rgb="FFB56102"/>
      </patternFill>
    </fill>
    <fill>
      <patternFill patternType="solid">
        <fgColor rgb="FFFFF0F0"/>
        <bgColor rgb="FFFDEDEC"/>
      </patternFill>
    </fill>
    <fill>
      <patternFill patternType="solid">
        <fgColor rgb="FFE2EAF6"/>
        <bgColor rgb="FFDDEEFF"/>
      </patternFill>
    </fill>
    <fill>
      <patternFill patternType="darkGray">
        <fgColor rgb="FFED7D1C"/>
        <bgColor rgb="FFB56102"/>
      </patternFill>
    </fill>
    <fill>
      <patternFill patternType="darkGray">
        <fgColor rgb="FFFFFDF0"/>
        <bgColor rgb="FFFEF9F0"/>
      </patternFill>
    </fill>
    <fill>
      <patternFill patternType="mediumGray">
        <fgColor rgb="FF3382C1"/>
        <bgColor rgb="FF4672BE"/>
      </patternFill>
    </fill>
    <fill>
      <patternFill patternType="solid">
        <fgColor rgb="FFEFF6FF"/>
        <bgColor rgb="FFF0F7FF"/>
      </patternFill>
    </fill>
    <fill>
      <patternFill patternType="solid">
        <fgColor rgb="FFEBF0F8"/>
        <bgColor rgb="FFEAF2FB"/>
      </patternFill>
    </fill>
    <fill>
      <patternFill patternType="solid">
        <fgColor rgb="FFFFF2C5"/>
        <bgColor rgb="FFFFF3CD"/>
      </patternFill>
    </fill>
    <fill>
      <patternFill patternType="solid">
        <fgColor rgb="FFFFFDF0"/>
        <bgColor rgb="FFFEF9F0"/>
      </patternFill>
    </fill>
    <fill>
      <patternFill patternType="solid">
        <fgColor rgb="FFD9E2F3"/>
        <bgColor rgb="FFD9E1EC"/>
      </patternFill>
    </fill>
    <fill>
      <patternFill patternType="darkGray">
        <fgColor rgb="FFD8D8DA"/>
        <bgColor rgb="FFE0E0E0"/>
      </patternFill>
    </fill>
    <fill>
      <patternFill patternType="solid">
        <fgColor rgb="FF244D8D"/>
        <bgColor rgb="FF2B5D8B"/>
      </patternFill>
    </fill>
    <fill>
      <patternFill patternType="solid">
        <fgColor rgb="FFFFF9E7"/>
        <bgColor rgb="FFFFF8E6"/>
      </patternFill>
    </fill>
    <fill>
      <patternFill patternType="solid">
        <fgColor rgb="FFFDEDEC"/>
        <bgColor rgb="FFFFF0F0"/>
      </patternFill>
    </fill>
    <fill>
      <patternFill patternType="solid">
        <fgColor rgb="FFFFF2C5"/>
        <bgColor rgb="FFFFF3CD"/>
      </patternFill>
    </fill>
    <fill>
      <patternFill patternType="solid">
        <fgColor rgb="FFFAFAFA"/>
        <bgColor rgb="FFF9F9F9"/>
      </patternFill>
    </fill>
    <fill>
      <patternFill patternType="darkGray">
        <fgColor rgb="FFB56102"/>
        <bgColor rgb="FFED7D1C"/>
      </patternFill>
    </fill>
    <fill>
      <patternFill patternType="solid">
        <fgColor rgb="FF4672BE"/>
        <bgColor rgb="FF2A75B8"/>
      </patternFill>
    </fill>
    <fill>
      <patternFill patternType="solid">
        <fgColor rgb="FFED7D1C"/>
        <bgColor rgb="FFB56102"/>
      </patternFill>
    </fill>
    <fill>
      <patternFill patternType="darkGray">
        <fgColor rgb="FFED7D1C"/>
        <bgColor rgb="FFC9A645"/>
      </patternFill>
    </fill>
    <fill>
      <patternFill patternType="darkGray">
        <fgColor rgb="FFFEF9F0"/>
        <bgColor rgb="FFFFFDF0"/>
      </patternFill>
    </fill>
    <fill>
      <patternFill patternType="solid">
        <fgColor rgb="FFDDEEFF"/>
        <bgColor rgb="FFE2EAF6"/>
      </patternFill>
    </fill>
    <fill>
      <patternFill patternType="mediumGray">
        <fgColor rgb="FFD9E1EC"/>
        <bgColor rgb="FFD9E2F3"/>
      </patternFill>
    </fill>
    <fill>
      <patternFill patternType="solid">
        <fgColor rgb="FFD6EAF8"/>
        <bgColor rgb="FFD5E4F3"/>
      </patternFill>
    </fill>
    <fill>
      <patternFill patternType="solid">
        <fgColor rgb="FFD5E4F3"/>
        <bgColor rgb="FFD9E2F3"/>
      </patternFill>
    </fill>
    <fill>
      <patternFill patternType="solid">
        <fgColor rgb="FFF0F7FF"/>
        <bgColor rgb="FFEFF6FF"/>
      </patternFill>
    </fill>
    <fill>
      <patternFill patternType="solid">
        <fgColor rgb="FFE3F0E0"/>
        <bgColor rgb="FFE8E8E8"/>
      </patternFill>
    </fill>
    <fill>
      <patternFill patternType="solid">
        <fgColor rgb="FFFEF5F5"/>
        <bgColor rgb="FFFEF9F0"/>
      </patternFill>
    </fill>
    <fill>
      <patternFill patternType="solid">
        <fgColor rgb="FF70AD47"/>
        <bgColor rgb="FF808080"/>
      </patternFill>
    </fill>
    <fill>
      <patternFill patternType="darkGray">
        <fgColor rgb="FF2B5D8B"/>
        <bgColor rgb="FF244D8D"/>
      </patternFill>
    </fill>
    <fill>
      <patternFill patternType="darkGray">
        <fgColor rgb="FFFFE0DF"/>
        <bgColor rgb="FFE8E8E8"/>
      </patternFill>
    </fill>
    <fill>
      <patternFill patternType="mediumGray">
        <fgColor rgb="FFE3F0E0"/>
        <bgColor rgb="FFD6EAF8"/>
      </patternFill>
    </fill>
    <fill>
      <patternFill patternType="darkGray">
        <fgColor rgb="FFE2EAF6"/>
        <bgColor rgb="FFDDEEFF"/>
      </patternFill>
    </fill>
    <fill>
      <patternFill patternType="darkGray">
        <fgColor rgb="FFD9E2F3"/>
        <bgColor rgb="FFD9E1EC"/>
      </patternFill>
    </fill>
    <fill>
      <patternFill patternType="solid">
        <fgColor rgb="FF808080"/>
        <bgColor rgb="FF5C585D"/>
      </patternFill>
    </fill>
    <fill>
      <patternFill patternType="solid">
        <fgColor rgb="FF3E4042"/>
        <bgColor rgb="FF1F3864"/>
      </patternFill>
    </fill>
    <fill>
      <patternFill patternType="solid">
        <fgColor rgb="FFE0E0E0"/>
        <bgColor rgb="FFD9E1EC"/>
      </patternFill>
    </fill>
    <fill>
      <patternFill patternType="darkGray">
        <fgColor rgb="FFF3F2F2"/>
        <bgColor rgb="FFF1F5F9"/>
      </patternFill>
    </fill>
    <fill>
      <patternFill patternType="solid">
        <fgColor rgb="FFF5F0FF"/>
        <bgColor rgb="FFF4ECF7"/>
      </patternFill>
    </fill>
    <fill>
      <patternFill patternType="solid">
        <fgColor rgb="FF5C585D"/>
        <bgColor rgb="FF3E4042"/>
      </patternFill>
    </fill>
    <fill>
      <patternFill patternType="darkGray">
        <fgColor rgb="FFFEF5F5"/>
        <bgColor rgb="FFFEF9F0"/>
      </patternFill>
    </fill>
    <fill>
      <patternFill patternType="solid">
        <fgColor rgb="FFE8E8E8"/>
        <bgColor rgb="FFE2EAF6"/>
      </patternFill>
    </fill>
  </fills>
  <borders count="8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A645"/>
      </bottom>
      <diagonal/>
    </border>
    <border diagonalUp="false" diagonalDown="false">
      <left style="thin">
        <color rgb="FF9BC0D1"/>
      </left>
      <right/>
      <top style="thin">
        <color rgb="FF9BC0D1"/>
      </top>
      <bottom/>
      <diagonal/>
    </border>
    <border diagonalUp="false" diagonalDown="false">
      <left/>
      <right style="thin">
        <color rgb="FF9BC0D1"/>
      </right>
      <top style="thin">
        <color rgb="FF9BC0D1"/>
      </top>
      <bottom/>
      <diagonal/>
    </border>
    <border diagonalUp="false" diagonalDown="false">
      <left style="thin">
        <color rgb="FF9BC0D1"/>
      </left>
      <right/>
      <top/>
      <bottom/>
      <diagonal/>
    </border>
    <border diagonalUp="false" diagonalDown="false">
      <left/>
      <right style="thin">
        <color rgb="FF9BC0D1"/>
      </right>
      <top/>
      <bottom/>
      <diagonal/>
    </border>
    <border diagonalUp="false" diagonalDown="false">
      <left style="thin">
        <color rgb="FF9BC0D1"/>
      </left>
      <right/>
      <top/>
      <bottom style="thin">
        <color rgb="FF9BC0D1"/>
      </bottom>
      <diagonal/>
    </border>
    <border diagonalUp="false" diagonalDown="false">
      <left/>
      <right style="thin">
        <color rgb="FF9BC0D1"/>
      </right>
      <top/>
      <bottom style="thin">
        <color rgb="FF9BC0D1"/>
      </bottom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/>
      <right style="thin">
        <color rgb="FF9BC0D1"/>
      </right>
      <top style="thin">
        <color rgb="FF9BC0D1"/>
      </top>
      <bottom style="thin">
        <color rgb="FF808080"/>
      </bottom>
      <diagonal/>
    </border>
    <border diagonalUp="false" diagonalDown="false">
      <left/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thin">
        <color rgb="FF9BC0D1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9BC0D1"/>
      </left>
      <right/>
      <top style="thin">
        <color rgb="FF9BC0D1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9BC0D1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9BC0D1"/>
      </top>
      <bottom style="thin">
        <color rgb="FF808080"/>
      </bottom>
      <diagonal/>
    </border>
    <border diagonalUp="false" diagonalDown="false">
      <left/>
      <right/>
      <top style="thin">
        <color rgb="FF9BC0D1"/>
      </top>
      <bottom/>
      <diagonal/>
    </border>
    <border diagonalUp="false" diagonalDown="false">
      <left style="thin">
        <color rgb="FF9BC0D1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n">
        <color rgb="FFD9E1EC"/>
      </bottom>
      <diagonal/>
    </border>
    <border diagonalUp="false" diagonalDown="false">
      <left style="thin">
        <color rgb="FF9BC0D1"/>
      </left>
      <right/>
      <top style="thin">
        <color rgb="FF808080"/>
      </top>
      <bottom style="thin">
        <color rgb="FFD9E1EC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D9E1EC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D9E1EC"/>
      </bottom>
      <diagonal/>
    </border>
    <border diagonalUp="false" diagonalDown="false">
      <left/>
      <right style="thin">
        <color rgb="FF9BC0D1"/>
      </right>
      <top/>
      <bottom style="thin">
        <color rgb="FFD9E1EC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C9A645"/>
      </top>
      <bottom style="thin">
        <color rgb="FFC9A645"/>
      </bottom>
      <diagonal/>
    </border>
    <border diagonalUp="false" diagonalDown="false">
      <left style="thin">
        <color rgb="FF9BC0D1"/>
      </left>
      <right/>
      <top style="thin">
        <color rgb="FFC9A645"/>
      </top>
      <bottom style="thin">
        <color rgb="FF9BC0D1"/>
      </bottom>
      <diagonal/>
    </border>
    <border diagonalUp="false" diagonalDown="false">
      <left/>
      <right/>
      <top style="thin">
        <color rgb="FFC9A645"/>
      </top>
      <bottom style="thin">
        <color rgb="FF9BC0D1"/>
      </bottom>
      <diagonal/>
    </border>
    <border diagonalUp="false" diagonalDown="false">
      <left/>
      <right style="thin">
        <color rgb="FF9BC0D1"/>
      </right>
      <top style="thin">
        <color rgb="FFC9A645"/>
      </top>
      <bottom style="thin">
        <color rgb="FF9BC0D1"/>
      </bottom>
      <diagonal/>
    </border>
    <border diagonalUp="false" diagonalDown="false">
      <left style="thin">
        <color rgb="FF808080"/>
      </left>
      <right/>
      <top style="thin">
        <color rgb="FF9BC0D1"/>
      </top>
      <bottom/>
      <diagonal/>
    </border>
    <border diagonalUp="false" diagonalDown="false">
      <left style="thin">
        <color rgb="FF808080"/>
      </left>
      <right/>
      <top/>
      <bottom style="thin">
        <color rgb="FFD9E1EC"/>
      </bottom>
      <diagonal/>
    </border>
    <border diagonalUp="false" diagonalDown="false">
      <left/>
      <right/>
      <top style="thin">
        <color rgb="FFD9E1EC"/>
      </top>
      <bottom style="thin">
        <color rgb="FFD9E1EC"/>
      </bottom>
      <diagonal/>
    </border>
    <border diagonalUp="false" diagonalDown="false">
      <left style="thin">
        <color rgb="FF9BC0D1"/>
      </left>
      <right/>
      <top style="thin">
        <color rgb="FFD9E1EC"/>
      </top>
      <bottom style="thin">
        <color rgb="FFD9E1EC"/>
      </bottom>
      <diagonal/>
    </border>
    <border diagonalUp="false" diagonalDown="false">
      <left/>
      <right style="thin">
        <color rgb="FF9BC0D1"/>
      </right>
      <top style="thin">
        <color rgb="FFD9E1EC"/>
      </top>
      <bottom style="thin">
        <color rgb="FFD9E1EC"/>
      </bottom>
      <diagonal/>
    </border>
    <border diagonalUp="false" diagonalDown="false">
      <left/>
      <right/>
      <top style="thin">
        <color rgb="FFD9E1EC"/>
      </top>
      <bottom/>
      <diagonal/>
    </border>
    <border diagonalUp="false" diagonalDown="false">
      <left style="thin">
        <color rgb="FF9BC0D1"/>
      </left>
      <right/>
      <top style="thin">
        <color rgb="FFD9E1EC"/>
      </top>
      <bottom/>
      <diagonal/>
    </border>
    <border diagonalUp="false" diagonalDown="false">
      <left/>
      <right style="thin">
        <color rgb="FF9BC0D1"/>
      </right>
      <top style="thin">
        <color rgb="FFD9E1EC"/>
      </top>
      <bottom/>
      <diagonal/>
    </border>
    <border diagonalUp="false" diagonalDown="false">
      <left style="thin">
        <color rgb="FF9BC0D1"/>
      </left>
      <right/>
      <top style="thin">
        <color rgb="FFC9A645"/>
      </top>
      <bottom style="thin">
        <color rgb="FFC9A645"/>
      </bottom>
      <diagonal/>
    </border>
    <border diagonalUp="false" diagonalDown="false">
      <left/>
      <right style="thin">
        <color rgb="FF9BC0D1"/>
      </right>
      <top style="thin">
        <color rgb="FFC9A645"/>
      </top>
      <bottom style="thin">
        <color rgb="FFC9A645"/>
      </bottom>
      <diagonal/>
    </border>
    <border diagonalUp="false" diagonalDown="false">
      <left style="thin">
        <color rgb="FF9BC0D1"/>
      </left>
      <right/>
      <top style="thin">
        <color rgb="FF9BC0D1"/>
      </top>
      <bottom style="thin">
        <color rgb="FFD9E1EC"/>
      </bottom>
      <diagonal/>
    </border>
    <border diagonalUp="false" diagonalDown="false">
      <left style="thin">
        <color rgb="FF808080"/>
      </left>
      <right/>
      <top style="thin">
        <color rgb="FF9BC0D1"/>
      </top>
      <bottom style="thin">
        <color rgb="FFD9E1EC"/>
      </bottom>
      <diagonal/>
    </border>
    <border diagonalUp="false" diagonalDown="false">
      <left/>
      <right style="thin">
        <color rgb="FF9BC0D1"/>
      </right>
      <top style="thin">
        <color rgb="FF9BC0D1"/>
      </top>
      <bottom style="thin">
        <color rgb="FFD9E1EC"/>
      </bottom>
      <diagonal/>
    </border>
    <border diagonalUp="false" diagonalDown="false">
      <left/>
      <right/>
      <top style="thin">
        <color rgb="FFD9E1EC"/>
      </top>
      <bottom style="thin">
        <color rgb="FFC9A645"/>
      </bottom>
      <diagonal/>
    </border>
    <border diagonalUp="false" diagonalDown="false">
      <left style="thin">
        <color rgb="FF9BC0D1"/>
      </left>
      <right/>
      <top style="thin">
        <color rgb="FFD9E1EC"/>
      </top>
      <bottom style="thin">
        <color rgb="FFC9A645"/>
      </bottom>
      <diagonal/>
    </border>
    <border diagonalUp="false" diagonalDown="false">
      <left/>
      <right style="thin">
        <color rgb="FF9BC0D1"/>
      </right>
      <top style="thin">
        <color rgb="FFD9E1EC"/>
      </top>
      <bottom style="thin">
        <color rgb="FFC9A645"/>
      </bottom>
      <diagonal/>
    </border>
    <border diagonalUp="false" diagonalDown="false">
      <left style="thin">
        <color rgb="FF9BC0D1"/>
      </left>
      <right style="thin">
        <color rgb="FF808080"/>
      </right>
      <top style="thin">
        <color rgb="FF808080"/>
      </top>
      <bottom style="thin">
        <color rgb="FFD9E1EC"/>
      </bottom>
      <diagonal/>
    </border>
    <border diagonalUp="false" diagonalDown="false">
      <left style="thin">
        <color rgb="FF9BC0D1"/>
      </left>
      <right/>
      <top style="thin">
        <color rgb="FFD9E1EC"/>
      </top>
      <bottom style="thin">
        <color rgb="FF9BC0D1"/>
      </bottom>
      <diagonal/>
    </border>
    <border diagonalUp="false" diagonalDown="false">
      <left/>
      <right style="thin">
        <color rgb="FF9BC0D1"/>
      </right>
      <top style="thin">
        <color rgb="FFD9E1EC"/>
      </top>
      <bottom style="thin">
        <color rgb="FF9BC0D1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C9A645"/>
      </bottom>
      <diagonal/>
    </border>
    <border diagonalUp="false" diagonalDown="false">
      <left style="thin">
        <color rgb="FF808080"/>
      </left>
      <right/>
      <top/>
      <bottom style="thin">
        <color rgb="FFC9A645"/>
      </bottom>
      <diagonal/>
    </border>
    <border diagonalUp="false" diagonalDown="false">
      <left/>
      <right/>
      <top style="thin">
        <color rgb="FFC9A645"/>
      </top>
      <bottom style="thin">
        <color rgb="FFFFE0DF"/>
      </bottom>
      <diagonal/>
    </border>
    <border diagonalUp="false" diagonalDown="false">
      <left style="thin">
        <color rgb="FF9BC0D1"/>
      </left>
      <right style="thin">
        <color rgb="FF808080"/>
      </right>
      <top style="thin">
        <color rgb="FFC9A645"/>
      </top>
      <bottom style="thin">
        <color rgb="FFFFE0DF"/>
      </bottom>
      <diagonal/>
    </border>
    <border diagonalUp="false" diagonalDown="false">
      <left style="thin">
        <color rgb="FF808080"/>
      </left>
      <right/>
      <top style="thin">
        <color rgb="FFC9A645"/>
      </top>
      <bottom style="thin">
        <color rgb="FFFFE0DF"/>
      </bottom>
      <diagonal/>
    </border>
    <border diagonalUp="false" diagonalDown="false">
      <left style="thin">
        <color rgb="FF808080"/>
      </left>
      <right style="thin">
        <color rgb="FF9BC0D1"/>
      </right>
      <top style="thin">
        <color rgb="FFC9A645"/>
      </top>
      <bottom/>
      <diagonal/>
    </border>
    <border diagonalUp="false" diagonalDown="false">
      <left/>
      <right style="thin">
        <color rgb="FF9BC0D1"/>
      </right>
      <top style="thin">
        <color rgb="FFC9A645"/>
      </top>
      <bottom style="thin">
        <color rgb="FFFFE0DF"/>
      </bottom>
      <diagonal/>
    </border>
    <border diagonalUp="false" diagonalDown="false">
      <left/>
      <right/>
      <top/>
      <bottom style="thin">
        <color rgb="FFFFE0DF"/>
      </bottom>
      <diagonal/>
    </border>
    <border diagonalUp="false" diagonalDown="false">
      <left style="thin">
        <color rgb="FF9BC0D1"/>
      </left>
      <right style="thin">
        <color rgb="FF808080"/>
      </right>
      <top style="thin">
        <color rgb="FF808080"/>
      </top>
      <bottom style="thin">
        <color rgb="FFFFE0DF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FFE0DF"/>
      </bottom>
      <diagonal/>
    </border>
    <border diagonalUp="false" diagonalDown="false">
      <left style="thin">
        <color rgb="FF808080"/>
      </left>
      <right style="thin">
        <color rgb="FF9BC0D1"/>
      </right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thin">
        <color rgb="FFFFE0DF"/>
      </bottom>
      <diagonal/>
    </border>
    <border diagonalUp="false" diagonalDown="false">
      <left style="thin">
        <color rgb="FF808080"/>
      </left>
      <right/>
      <top/>
      <bottom style="thin">
        <color rgb="FFFFE0DF"/>
      </bottom>
      <diagonal/>
    </border>
    <border diagonalUp="false" diagonalDown="false">
      <left/>
      <right style="thin">
        <color rgb="FF9BC0D1"/>
      </right>
      <top/>
      <bottom style="thin">
        <color rgb="FFFFE0DF"/>
      </bottom>
      <diagonal/>
    </border>
    <border diagonalUp="false" diagonalDown="false">
      <left/>
      <right/>
      <top/>
      <bottom style="thin">
        <color rgb="FFFFF2C5"/>
      </bottom>
      <diagonal/>
    </border>
    <border diagonalUp="false" diagonalDown="false">
      <left style="thin">
        <color rgb="FF9BC0D1"/>
      </left>
      <right style="thin">
        <color rgb="FF808080"/>
      </right>
      <top style="thin">
        <color rgb="FF808080"/>
      </top>
      <bottom style="thin">
        <color rgb="FFFFF2C5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FFF2C5"/>
      </bottom>
      <diagonal/>
    </border>
    <border diagonalUp="false" diagonalDown="false">
      <left/>
      <right/>
      <top style="thin">
        <color rgb="FF808080"/>
      </top>
      <bottom style="thin">
        <color rgb="FFFFF2C5"/>
      </bottom>
      <diagonal/>
    </border>
    <border diagonalUp="false" diagonalDown="false">
      <left style="thin">
        <color rgb="FF808080"/>
      </left>
      <right/>
      <top/>
      <bottom style="thin">
        <color rgb="FFFFF2C5"/>
      </bottom>
      <diagonal/>
    </border>
    <border diagonalUp="false" diagonalDown="false">
      <left/>
      <right style="thin">
        <color rgb="FF9BC0D1"/>
      </right>
      <top/>
      <bottom style="thin">
        <color rgb="FFFFF2C5"/>
      </bottom>
      <diagonal/>
    </border>
    <border diagonalUp="false" diagonalDown="false">
      <left style="thin">
        <color rgb="FF9BC0D1"/>
      </left>
      <right style="thin">
        <color rgb="FF808080"/>
      </right>
      <top style="thin">
        <color rgb="FF808080"/>
      </top>
      <bottom style="thin">
        <color rgb="FFC9A645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C9A645"/>
      </bottom>
      <diagonal/>
    </border>
    <border diagonalUp="false" diagonalDown="false">
      <left style="thin">
        <color rgb="FF9BC0D1"/>
      </left>
      <right style="thin">
        <color rgb="FF9BC0D1"/>
      </right>
      <top style="thin">
        <color rgb="FF808080"/>
      </top>
      <bottom style="thin">
        <color rgb="FFC9A645"/>
      </bottom>
      <diagonal/>
    </border>
    <border diagonalUp="false" diagonalDown="false">
      <left/>
      <right/>
      <top style="thin">
        <color rgb="FF808080"/>
      </top>
      <bottom style="thin">
        <color rgb="FFC9A645"/>
      </bottom>
      <diagonal/>
    </border>
    <border diagonalUp="false" diagonalDown="false">
      <left/>
      <right style="thin">
        <color rgb="FF9BC0D1"/>
      </right>
      <top/>
      <bottom style="thin">
        <color rgb="FFC9A645"/>
      </bottom>
      <diagonal/>
    </border>
    <border diagonalUp="false" diagonalDown="false">
      <left/>
      <right/>
      <top style="thin">
        <color rgb="FFFFF2C5"/>
      </top>
      <bottom style="thin">
        <color rgb="FFC9A645"/>
      </bottom>
      <diagonal/>
    </border>
    <border diagonalUp="false" diagonalDown="false">
      <left style="thin">
        <color rgb="FF9BC0D1"/>
      </left>
      <right/>
      <top style="thin">
        <color rgb="FFFFF2C5"/>
      </top>
      <bottom style="thin">
        <color rgb="FF9BC0D1"/>
      </bottom>
      <diagonal/>
    </border>
    <border diagonalUp="false" diagonalDown="false">
      <left/>
      <right style="thin">
        <color rgb="FF9BC0D1"/>
      </right>
      <top style="thin">
        <color rgb="FFFFF2C5"/>
      </top>
      <bottom style="thin">
        <color rgb="FF9BC0D1"/>
      </bottom>
      <diagonal/>
    </border>
    <border diagonalUp="false" diagonalDown="false">
      <left/>
      <right/>
      <top style="thin">
        <color rgb="FFC9A645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C9A645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C9A645"/>
      </top>
      <bottom style="thin">
        <color rgb="FF808080"/>
      </bottom>
      <diagonal/>
    </border>
    <border diagonalUp="false" diagonalDown="false">
      <left/>
      <right style="thin">
        <color rgb="FF808080"/>
      </right>
      <top/>
      <bottom style="thin">
        <color rgb="FF808080"/>
      </bottom>
      <diagonal/>
    </border>
    <border diagonalUp="false" diagonalDown="false">
      <left/>
      <right/>
      <top/>
      <bottom style="thin">
        <color rgb="FFD8D8DA"/>
      </bottom>
      <diagonal/>
    </border>
    <border diagonalUp="false" diagonalDown="false">
      <left/>
      <right/>
      <top style="thin">
        <color rgb="FFD8D8DA"/>
      </top>
      <bottom/>
      <diagonal/>
    </border>
    <border diagonalUp="false" diagonalDown="false">
      <left/>
      <right/>
      <top style="thin">
        <color rgb="FFD8D8DA"/>
      </top>
      <bottom style="thin">
        <color rgb="FFD8D8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8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2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3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3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13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1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3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13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2" fillId="2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2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2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2" fillId="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5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3" fillId="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3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5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4" fillId="5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3" fillId="5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3" fillId="5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3" fillId="1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3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12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4" fillId="1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3" fillId="1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3" fillId="12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2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5" fillId="1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5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5" fillId="12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1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1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21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1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5" fillId="21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5" fillId="2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5" fillId="21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21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5" fillId="21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7" fillId="21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21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33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3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3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12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3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8" fillId="10" borderId="2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38" fillId="1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8" fillId="10" borderId="2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8" fillId="1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1" fillId="13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3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2" fillId="2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3" fillId="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4" fillId="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3" fillId="5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3" fillId="1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1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4" fillId="1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3" fillId="12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2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2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9" fillId="2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2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0" fillId="2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9" fillId="22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22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5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5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33" fillId="5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33" fillId="12" borderId="3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4" fillId="12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3" borderId="3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1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1" fillId="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1" fillId="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23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3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3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2" fillId="23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23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2" fillId="23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23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3" fillId="23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3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4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24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4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4" fillId="2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2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4" fillId="2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2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5" fillId="24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4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5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25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5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6" fillId="2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3" fillId="2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6" fillId="2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2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7" fillId="25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6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26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8" fillId="2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3" fillId="26" borderId="3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8" fillId="26" borderId="3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26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6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7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27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7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0" fillId="27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3" fillId="27" borderId="4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50" fillId="27" borderId="4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1" fillId="27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7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1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2" fillId="12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7" fontId="52" fillId="12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0" fillId="1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12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8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8" borderId="4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8" borderId="4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8" borderId="4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3" fillId="29" borderId="5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30" borderId="5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5" fillId="30" borderId="5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3" fillId="31" borderId="5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4" fillId="30" borderId="5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5" fillId="30" borderId="5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3" fillId="30" borderId="5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6" fillId="29" borderId="5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30" borderId="5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30" borderId="5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6" fillId="31" borderId="5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4" fillId="30" borderId="5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7" fillId="30" borderId="6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30" borderId="6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9" fillId="32" borderId="6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33" borderId="6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1" fillId="33" borderId="6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9" fillId="31" borderId="5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33" borderId="6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1" fillId="33" borderId="6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33" borderId="6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32" borderId="6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31" borderId="5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3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3" fillId="35" borderId="6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4" fillId="35" borderId="6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5" fillId="35" borderId="6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5" fillId="31" borderId="7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3" fillId="35" borderId="7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3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35" borderId="7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12" borderId="7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7" fillId="12" borderId="7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6" fillId="12" borderId="7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8" fillId="10" borderId="7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9" fillId="10" borderId="7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10" borderId="7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2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3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6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8" fontId="7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9" fillId="9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8" fontId="7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9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5" fillId="3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6" fillId="3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8" fontId="75" fillId="3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7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75" fillId="3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7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1" fillId="3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2" fillId="1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5" fillId="3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2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4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4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36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9" fillId="3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75" fillId="3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5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0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2" fillId="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9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2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2" fillId="3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2" fillId="3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4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9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0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2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4" fillId="9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9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9" fillId="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2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7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0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5" fillId="3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0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3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3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9" fillId="3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5" fillId="3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3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0" fillId="3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3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2" fillId="3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3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2" fillId="3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2" fillId="3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0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3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9" fillId="3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75" fillId="3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7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9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3" fillId="9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2" fillId="3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2" fillId="3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6" fillId="36" borderId="7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7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9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3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3" fillId="5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6" fillId="39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6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9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4" fillId="4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5" fillId="4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5" fillId="4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4" fillId="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4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6" fillId="9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1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2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4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4" fillId="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4" fillId="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4" fillId="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3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7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4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5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6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3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4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8" fillId="4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8" fillId="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8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2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3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0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93" fillId="2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3" fillId="2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3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3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1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3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3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3" fillId="23" borderId="1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3" fillId="2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3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1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0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93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3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3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3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1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3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3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3" fillId="5" borderId="1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3" fillId="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3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1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2" fillId="2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3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0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2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3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0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5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93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4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4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3" fillId="4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0" fillId="4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93" fillId="4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3" fillId="4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3" fillId="4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3" fillId="4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1" fillId="4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3" fillId="4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3" fillId="4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3" fillId="42" borderId="1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3" fillId="4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3" fillId="4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1" fillId="4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1" fillId="4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2" fillId="4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3" fillId="4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0" fillId="4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4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5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4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4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2" fillId="4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6" fillId="4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4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3" fillId="4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0" fillId="4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93" fillId="4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3" fillId="4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3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3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1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3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3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3" fillId="43" borderId="1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3" fillId="4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3" fillId="4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6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1" fillId="4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4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1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5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3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0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9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93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3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3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3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1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3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3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3" fillId="18" borderId="1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3" fillId="18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3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5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1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2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3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0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110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28" fillId="4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1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10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28" fillId="4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1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0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0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8" fillId="4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5" fillId="4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0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8" fillId="4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5" fillId="4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2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9" fillId="4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0" fillId="4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4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1" fillId="1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2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3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5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7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5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3" fillId="2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2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2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5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5" fillId="2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5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7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5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7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5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3" fillId="4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4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4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4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5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5" fillId="4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5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7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3" fillId="2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4" fillId="2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5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2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4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4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5" fillId="4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5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5" fillId="4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0" fillId="4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5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4" fillId="4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4" fillId="2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6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7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4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4" fillId="1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37" fillId="1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5" fillId="1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75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75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7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8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9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8" fillId="4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8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8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8" fillId="4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8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1" fillId="4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1" fillId="4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1" fillId="4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8" fontId="93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2" fillId="3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3" fillId="5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3" fillId="4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8" fontId="93" fillId="4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3" fillId="4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2" fillId="4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3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8" fontId="93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5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2" fillId="37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3" fillId="51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8" fontId="93" fillId="5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51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3" fillId="51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2" fillId="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4" fillId="5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4" fillId="4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8" fillId="4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8" fillId="4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4" fillId="4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5" fillId="4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5" fillId="4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4" fillId="4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5" fillId="4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4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4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5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4" fillId="3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5" fillId="3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5" fillId="3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4" fillId="3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5" fillId="3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4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5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5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4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5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8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118" fillId="2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5" fillId="5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3" fillId="5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5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5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5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7" fillId="5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3" fillId="5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53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133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5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133" fillId="2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23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5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3" fillId="5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5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5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54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7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3" fillId="54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54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133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18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5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5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5" fillId="5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5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5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7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33" fillId="5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55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133" fillId="4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43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6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8" fillId="5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8" fillId="5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48" fillId="5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8" fillId="5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9" fillId="5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9" fillId="5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49" fillId="5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9" fillId="5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15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15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8" fillId="4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28" fillId="4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8" fillId="4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5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5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4" fillId="4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49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4" fillId="49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3" fillId="53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5" fillId="5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5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23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5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5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3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3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1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54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5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1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2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18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1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2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18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3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2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55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5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3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1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2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5" fillId="5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3" fillId="57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5" fillId="57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57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5" fillId="5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1" fillId="5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2" fillId="5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43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5" fillId="43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5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1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2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57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1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2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6" fillId="18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8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8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48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8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3" fillId="4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9" fillId="4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4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1" fillId="4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4" fillId="5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4" fillId="5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4" fillId="5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75" fillId="53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133" fillId="53" borderId="1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3" fillId="5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5" fillId="5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6" fillId="5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7" fillId="5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75" fillId="55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133" fillId="55" borderId="1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3" fillId="5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5" fillId="5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6" fillId="5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7" fillId="18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75" fillId="18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133" fillId="18" borderId="1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5" fillId="18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6" fillId="18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8" fillId="4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75" fillId="43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133" fillId="43" borderId="1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9" fillId="4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6" fillId="4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4" fillId="5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5" fillId="5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4" fillId="18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5" fillId="18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2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1" fillId="2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2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1" fillId="4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0" fillId="4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1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1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75" fillId="5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3" fillId="5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4" fillId="51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3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5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3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5" fillId="1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6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5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3" fillId="57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5" fillId="57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75" fillId="57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5" fillId="5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4" fillId="57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63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8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5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0" fillId="5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75" fillId="5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0" fillId="5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1" fillId="5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70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1" fillId="2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1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75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0" fillId="5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1" fillId="5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6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1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6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75" fillId="5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1" fillId="5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75" fillId="5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1" fillId="57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1" fillId="43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70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4" fillId="4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4" fillId="5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5" fillId="6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5" fillId="6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5" fillId="1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5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5" fillId="6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9" fillId="4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1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80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6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96" fillId="0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8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6" fillId="39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1" fillId="5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5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2" fillId="6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47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83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1" fillId="6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4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4" fillId="6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6" fillId="4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7" fillId="4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6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4" fontId="180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6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180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2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0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0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0" fillId="18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6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80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0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0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87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0" fillId="6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6" fillId="4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76" fillId="4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8" fillId="4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6" fillId="4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0" fillId="67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2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6" fillId="5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2" fillId="5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6" fillId="18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6" fillId="37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2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1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90" fillId="67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80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80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80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9" fillId="6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1" fillId="6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4" fillId="6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4" fillId="6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8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2" fillId="45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3" fillId="45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6" fillId="45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8" fillId="45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5" fillId="18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6" fillId="45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9" fillId="45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2" fillId="68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3" fillId="68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6" fillId="68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8" fillId="68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6" fillId="68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9" fillId="68" borderId="8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4" fillId="6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1" fillId="69" borderId="8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8" fillId="70" borderId="8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8" fillId="70" borderId="8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8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5" fillId="23" borderId="8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5" fillId="18" borderId="8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5" fillId="45" borderId="8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8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5" fillId="45" borderId="8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5" fillId="18" borderId="8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5" fillId="1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8" fillId="6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6" fillId="4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6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6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6" fillId="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9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0" fillId="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0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6" fillId="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5" fillId="9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75" fillId="5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75" fillId="9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5" fillId="9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6" fillId="5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3" fillId="5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6" fillId="9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3" fillId="9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6" fillId="3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6" fillId="6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1" fillId="6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3" fillId="9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3" fillId="9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3" fillId="5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6" fillId="71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5" fillId="71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8" fillId="5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8" fillId="9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8" fillId="18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2" fillId="18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3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74" fillId="7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8" fillId="23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8" fillId="18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5" fillId="18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3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6" fillId="71" borderId="1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5" fillId="7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3" fillId="71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5" fillId="71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6" fillId="39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5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6" fillId="39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6" fillId="3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EF9F0"/>
      <rgbColor rgb="FFF3F2F2"/>
      <rgbColor rgb="FF0000FF"/>
      <rgbColor rgb="FFFFF8E6"/>
      <rgbColor rgb="FFFFF0F0"/>
      <rgbColor rgb="FFEAF2FB"/>
      <rgbColor rgb="FF5F110D"/>
      <rgbColor rgb="FF036106"/>
      <rgbColor rgb="FFFAFAFA"/>
      <rgbColor rgb="FFB56102"/>
      <rgbColor rgb="FFF1F5F9"/>
      <rgbColor rgb="FF2A75B8"/>
      <rgbColor rgb="FFE0E0E0"/>
      <rgbColor rgb="FF808080"/>
      <rgbColor rgb="FFD5E4F3"/>
      <rgbColor rgb="FFF4ECF7"/>
      <rgbColor rgb="FFFFF3CD"/>
      <rgbColor rgb="FFDDEEFF"/>
      <rgbColor rgb="FFEFF6FF"/>
      <rgbColor rgb="FFFDEDEC"/>
      <rgbColor rgb="FF1F6391"/>
      <rgbColor rgb="FFD8D8DA"/>
      <rgbColor rgb="FFFFFDF0"/>
      <rgbColor rgb="FFFEF5F5"/>
      <rgbColor rgb="FFFFF9E7"/>
      <rgbColor rgb="FFEBF5FB"/>
      <rgbColor rgb="FFF2F5F9"/>
      <rgbColor rgb="FFB60201"/>
      <rgbColor rgb="FF2B5D8B"/>
      <rgbColor rgb="FFF9F9F9"/>
      <rgbColor rgb="FFEBF0F8"/>
      <rgbColor rgb="FFE8F8F5"/>
      <rgbColor rgb="FFE3F0E0"/>
      <rgbColor rgb="FFFFF2C5"/>
      <rgbColor rgb="FF9BC0D1"/>
      <rgbColor rgb="FFD9E2F3"/>
      <rgbColor rgb="FFD9E1EC"/>
      <rgbColor rgb="FFFFE0DF"/>
      <rgbColor rgb="FF4672BE"/>
      <rgbColor rgb="FFE2EAF6"/>
      <rgbColor rgb="FFD6EAF8"/>
      <rgbColor rgb="FFE8E8E8"/>
      <rgbColor rgb="FFC9A645"/>
      <rgbColor rgb="FFED7D1C"/>
      <rgbColor rgb="FF5C585D"/>
      <rgbColor rgb="FF70AD47"/>
      <rgbColor rgb="FF182957"/>
      <rgbColor rgb="FF3382C1"/>
      <rgbColor rgb="FFF0F7FF"/>
      <rgbColor rgb="FF244D8D"/>
      <rgbColor rgb="FF804F00"/>
      <rgbColor rgb="FFF5F0FF"/>
      <rgbColor rgb="FF1F3864"/>
      <rgbColor rgb="FF3E40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29.66"/>
    <col collapsed="false" customWidth="true" hidden="false" outlineLevel="0" max="3" min="3" style="1" width="31.44"/>
    <col collapsed="false" customWidth="true" hidden="false" outlineLevel="0" max="4" min="4" style="1" width="3.34"/>
    <col collapsed="false" customWidth="true" hidden="false" outlineLevel="0" max="5" min="5" style="1" width="28.67"/>
    <col collapsed="false" customWidth="true" hidden="false" outlineLevel="0" max="6" min="6" style="1" width="33.33"/>
    <col collapsed="false" customWidth="true" hidden="false" outlineLevel="0" max="7" min="7" style="1" width="3.34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" t="s">
        <v>0</v>
      </c>
      <c r="C2" s="2"/>
      <c r="D2" s="2"/>
      <c r="E2" s="2"/>
      <c r="F2" s="2"/>
    </row>
    <row r="3" customFormat="false" ht="25.5" hidden="false" customHeight="true" outlineLevel="0" collapsed="false">
      <c r="B3" s="3" t="s">
        <v>1</v>
      </c>
      <c r="C3" s="3"/>
      <c r="D3" s="3"/>
      <c r="E3" s="3"/>
      <c r="F3" s="3"/>
    </row>
    <row r="4" customFormat="false" ht="21.75" hidden="false" customHeight="true" outlineLevel="0" collapsed="false">
      <c r="B4" s="4" t="str">
        <f aca="false">"As of: "&amp;TEXT('Instructions &amp; Assumptions'!B5,"DD-MMM-YYYY")</f>
        <v>As of: 12-May-2026</v>
      </c>
      <c r="C4" s="4"/>
      <c r="D4" s="4"/>
      <c r="E4" s="4"/>
      <c r="F4" s="4"/>
    </row>
    <row r="5" customFormat="false" ht="9.75" hidden="false" customHeight="true" outlineLevel="0" collapsed="false"/>
    <row r="6" customFormat="false" ht="21.75" hidden="false" customHeight="true" outlineLevel="0" collapsed="false">
      <c r="B6" s="5" t="s">
        <v>2</v>
      </c>
      <c r="C6" s="5"/>
      <c r="D6" s="5"/>
      <c r="E6" s="5"/>
      <c r="F6" s="5"/>
    </row>
    <row r="7" customFormat="false" ht="33.75" hidden="false" customHeight="true" outlineLevel="0" collapsed="false">
      <c r="B7" s="6" t="s">
        <v>3</v>
      </c>
      <c r="C7" s="7" t="s">
        <v>4</v>
      </c>
      <c r="E7" s="6" t="s">
        <v>5</v>
      </c>
      <c r="F7" s="8" t="s">
        <v>6</v>
      </c>
    </row>
    <row r="8" customFormat="false" ht="30" hidden="false" customHeight="true" outlineLevel="0" collapsed="false">
      <c r="B8" s="9" t="s">
        <v>7</v>
      </c>
      <c r="C8" s="10" t="s">
        <v>8</v>
      </c>
      <c r="E8" s="9" t="s">
        <v>9</v>
      </c>
      <c r="F8" s="11" t="s">
        <v>10</v>
      </c>
    </row>
    <row r="9" customFormat="false" ht="33.75" hidden="false" customHeight="true" outlineLevel="0" collapsed="false">
      <c r="B9" s="6" t="s">
        <v>11</v>
      </c>
      <c r="C9" s="7" t="s">
        <v>12</v>
      </c>
      <c r="E9" s="6" t="s">
        <v>13</v>
      </c>
      <c r="F9" s="8" t="s">
        <v>14</v>
      </c>
    </row>
    <row r="10" customFormat="false" ht="33.75" hidden="false" customHeight="true" outlineLevel="0" collapsed="false">
      <c r="B10" s="9" t="s">
        <v>15</v>
      </c>
      <c r="C10" s="10" t="s">
        <v>16</v>
      </c>
      <c r="E10" s="9" t="s">
        <v>17</v>
      </c>
      <c r="F10" s="10" t="s">
        <v>18</v>
      </c>
    </row>
    <row r="11" customFormat="false" ht="9.75" hidden="false" customHeight="true" outlineLevel="0" collapsed="false"/>
    <row r="12" customFormat="false" ht="21.75" hidden="false" customHeight="true" outlineLevel="0" collapsed="false">
      <c r="B12" s="12" t="s">
        <v>19</v>
      </c>
      <c r="C12" s="12"/>
      <c r="D12" s="12"/>
      <c r="E12" s="12"/>
      <c r="F12" s="12"/>
    </row>
    <row r="13" customFormat="false" ht="18" hidden="false" customHeight="true" outlineLevel="0" collapsed="false">
      <c r="B13" s="13" t="s">
        <v>20</v>
      </c>
      <c r="C13" s="13" t="s">
        <v>21</v>
      </c>
      <c r="D13" s="13"/>
      <c r="E13" s="13" t="s">
        <v>20</v>
      </c>
      <c r="F13" s="13" t="s">
        <v>21</v>
      </c>
    </row>
    <row r="14" customFormat="false" ht="21.75" hidden="false" customHeight="true" outlineLevel="0" collapsed="false">
      <c r="B14" s="6" t="s">
        <v>22</v>
      </c>
      <c r="C14" s="14" t="s">
        <v>23</v>
      </c>
      <c r="E14" s="6" t="s">
        <v>24</v>
      </c>
      <c r="F14" s="15" t="n">
        <v>0.1506</v>
      </c>
    </row>
    <row r="15" customFormat="false" ht="21.75" hidden="false" customHeight="true" outlineLevel="0" collapsed="false">
      <c r="B15" s="9" t="s">
        <v>25</v>
      </c>
      <c r="C15" s="16" t="s">
        <v>26</v>
      </c>
      <c r="E15" s="9" t="s">
        <v>27</v>
      </c>
      <c r="F15" s="16" t="s">
        <v>28</v>
      </c>
    </row>
    <row r="16" customFormat="false" ht="21.75" hidden="false" customHeight="true" outlineLevel="0" collapsed="false">
      <c r="B16" s="6" t="s">
        <v>29</v>
      </c>
      <c r="C16" s="15" t="n">
        <v>0.127</v>
      </c>
      <c r="E16" s="6" t="s">
        <v>30</v>
      </c>
      <c r="F16" s="14" t="s">
        <v>31</v>
      </c>
    </row>
    <row r="17" customFormat="false" ht="21.75" hidden="false" customHeight="true" outlineLevel="0" collapsed="false">
      <c r="B17" s="9" t="s">
        <v>32</v>
      </c>
      <c r="C17" s="16" t="s">
        <v>33</v>
      </c>
      <c r="E17" s="9" t="s">
        <v>34</v>
      </c>
      <c r="F17" s="16" t="s">
        <v>35</v>
      </c>
    </row>
    <row r="18" customFormat="false" ht="21.75" hidden="false" customHeight="true" outlineLevel="0" collapsed="false">
      <c r="B18" s="6" t="s">
        <v>36</v>
      </c>
      <c r="C18" s="14" t="s">
        <v>37</v>
      </c>
      <c r="E18" s="6" t="s">
        <v>38</v>
      </c>
      <c r="F18" s="14" t="s">
        <v>39</v>
      </c>
    </row>
    <row r="19" customFormat="false" ht="21.75" hidden="false" customHeight="true" outlineLevel="0" collapsed="false">
      <c r="B19" s="9" t="s">
        <v>40</v>
      </c>
      <c r="C19" s="16" t="s">
        <v>41</v>
      </c>
      <c r="E19" s="9" t="s">
        <v>42</v>
      </c>
      <c r="F19" s="16" t="s">
        <v>43</v>
      </c>
    </row>
    <row r="20" customFormat="false" ht="9.75" hidden="false" customHeight="true" outlineLevel="0" collapsed="false"/>
    <row r="21" customFormat="false" ht="21.75" hidden="false" customHeight="true" outlineLevel="0" collapsed="false">
      <c r="B21" s="5" t="s">
        <v>44</v>
      </c>
      <c r="C21" s="5"/>
      <c r="D21" s="5"/>
      <c r="E21" s="5"/>
      <c r="F21" s="5"/>
    </row>
    <row r="22" customFormat="false" ht="25.5" hidden="false" customHeight="true" outlineLevel="0" collapsed="false">
      <c r="B22" s="17" t="str">
        <f aca="false">COUNTIF('FY29 Covenant Compliance (TEV)'!G7:G52,"Compliant*")&amp;" / 44 Compliant (FY29 TEV Projections)   |   "&amp;COUNTIF('FY29 Covenant Compliance (TEV)'!G7:G52,"Near Breach")&amp;" Near Breach (ICICI WC Rating — at threshold)"</f>
        <v>43 / 44 Compliant (FY29 TEV Projections)   |   1 Near Breach (ICICI WC Rating — at threshold)</v>
      </c>
      <c r="C22" s="17"/>
      <c r="D22" s="17"/>
      <c r="E22" s="17"/>
      <c r="F22" s="17"/>
    </row>
    <row r="23" customFormat="false" ht="30" hidden="false" customHeight="true" outlineLevel="0" collapsed="false">
      <c r="B23" s="18" t="s">
        <v>45</v>
      </c>
      <c r="C23" s="18"/>
      <c r="D23" s="18"/>
      <c r="E23" s="18"/>
      <c r="F23" s="18"/>
    </row>
    <row r="24" customFormat="false" ht="9.75" hidden="false" customHeight="true" outlineLevel="0" collapsed="false"/>
    <row r="25" customFormat="false" ht="21.75" hidden="false" customHeight="true" outlineLevel="0" collapsed="false">
      <c r="B25" s="19" t="s">
        <v>46</v>
      </c>
      <c r="C25" s="19"/>
      <c r="D25" s="19"/>
      <c r="E25" s="19"/>
      <c r="F25" s="19"/>
    </row>
    <row r="26" customFormat="false" ht="30" hidden="false" customHeight="true" outlineLevel="0" collapsed="false">
      <c r="B26" s="20" t="s">
        <v>47</v>
      </c>
      <c r="C26" s="21" t="s">
        <v>48</v>
      </c>
      <c r="D26" s="21"/>
      <c r="E26" s="21"/>
      <c r="F26" s="21"/>
    </row>
    <row r="27" customFormat="false" ht="30" hidden="false" customHeight="true" outlineLevel="0" collapsed="false">
      <c r="B27" s="20" t="s">
        <v>49</v>
      </c>
      <c r="C27" s="21" t="s">
        <v>50</v>
      </c>
      <c r="D27" s="21"/>
      <c r="E27" s="21"/>
      <c r="F27" s="21"/>
    </row>
    <row r="28" customFormat="false" ht="30" hidden="false" customHeight="true" outlineLevel="0" collapsed="false">
      <c r="B28" s="20" t="s">
        <v>51</v>
      </c>
      <c r="C28" s="21" t="s">
        <v>52</v>
      </c>
      <c r="D28" s="21"/>
      <c r="E28" s="21"/>
      <c r="F28" s="21"/>
    </row>
    <row r="29" customFormat="false" ht="30" hidden="false" customHeight="true" outlineLevel="0" collapsed="false">
      <c r="B29" s="20" t="s">
        <v>53</v>
      </c>
      <c r="C29" s="21" t="s">
        <v>54</v>
      </c>
      <c r="D29" s="21"/>
      <c r="E29" s="21"/>
      <c r="F29" s="21"/>
    </row>
    <row r="30" customFormat="false" ht="19.5" hidden="false" customHeight="true" outlineLevel="0" collapsed="false">
      <c r="B30" s="22" t="s">
        <v>55</v>
      </c>
      <c r="C30" s="22"/>
      <c r="D30" s="22"/>
      <c r="E30" s="22"/>
      <c r="F30" s="22"/>
    </row>
    <row r="31" customFormat="false" ht="9.75" hidden="false" customHeight="true" outlineLevel="0" collapsed="false"/>
    <row r="32" customFormat="false" ht="21.75" hidden="false" customHeight="true" outlineLevel="0" collapsed="false">
      <c r="B32" s="12" t="s">
        <v>56</v>
      </c>
      <c r="C32" s="12"/>
      <c r="D32" s="12"/>
      <c r="E32" s="12"/>
      <c r="F32" s="12"/>
    </row>
    <row r="33" customFormat="false" ht="27.75" hidden="false" customHeight="true" outlineLevel="0" collapsed="false">
      <c r="B33" s="17" t="n">
        <f aca="false">'Validation &amp; Integrity'!B118</f>
        <v>108</v>
      </c>
      <c r="C33" s="17"/>
      <c r="D33" s="17"/>
      <c r="E33" s="17"/>
      <c r="F33" s="17"/>
    </row>
    <row r="34" customFormat="false" ht="25.5" hidden="false" customHeight="true" outlineLevel="0" collapsed="false">
      <c r="B34" s="23" t="s">
        <v>57</v>
      </c>
      <c r="C34" s="23"/>
      <c r="D34" s="23"/>
      <c r="E34" s="23"/>
      <c r="F34" s="23"/>
    </row>
    <row r="35" customFormat="false" ht="3.75" hidden="false" customHeight="true" outlineLevel="0" collapsed="false">
      <c r="B35" s="24"/>
      <c r="C35" s="24"/>
      <c r="D35" s="24"/>
      <c r="E35" s="24"/>
      <c r="F35" s="24"/>
    </row>
  </sheetData>
  <mergeCells count="18">
    <mergeCell ref="B2:F2"/>
    <mergeCell ref="B3:F3"/>
    <mergeCell ref="B4:F4"/>
    <mergeCell ref="B6:F6"/>
    <mergeCell ref="B12:F12"/>
    <mergeCell ref="B21:F21"/>
    <mergeCell ref="B22:F22"/>
    <mergeCell ref="B23:F23"/>
    <mergeCell ref="B25:F25"/>
    <mergeCell ref="C26:F26"/>
    <mergeCell ref="C27:F27"/>
    <mergeCell ref="C28:F28"/>
    <mergeCell ref="C29:F29"/>
    <mergeCell ref="B30:F30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&amp;LJFL Debt Model v11 — Cover&amp;RPage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Q200"/>
  <sheetViews>
    <sheetView showFormulas="false" showGridLines="false" showRowColHeaders="true" showZeros="true" rightToLeft="false" tabSelected="false" showOutlineSymbols="true" defaultGridColor="true" view="normal" topLeftCell="E1" colorId="64" zoomScale="98" zoomScaleNormal="98" zoomScalePageLayoutView="100" workbookViewId="0">
      <pane xSplit="0" ySplit="3" topLeftCell="A38" activePane="bottomLeft" state="frozen"/>
      <selection pane="topLeft" activeCell="E1" activeCellId="0" sqref="E1"/>
      <selection pane="bottomLeft" activeCell="E52" activeCellId="0" sqref="E5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.44"/>
    <col collapsed="false" customWidth="true" hidden="false" outlineLevel="0" max="2" min="2" style="1" width="29.66"/>
    <col collapsed="false" customWidth="true" hidden="false" outlineLevel="0" max="3" min="3" style="1" width="46.33"/>
    <col collapsed="false" customWidth="true" hidden="false" outlineLevel="0" max="4" min="4" style="1" width="16.67"/>
    <col collapsed="false" customWidth="true" hidden="false" outlineLevel="0" max="5" min="5" style="1" width="13.88"/>
    <col collapsed="false" customWidth="true" hidden="false" outlineLevel="0" max="6" min="6" style="1" width="12"/>
    <col collapsed="false" customWidth="true" hidden="false" outlineLevel="0" max="7" min="7" style="1" width="10.2"/>
    <col collapsed="false" customWidth="true" hidden="false" outlineLevel="0" max="8" min="8" style="1" width="24.11"/>
    <col collapsed="false" customWidth="true" hidden="false" outlineLevel="0" max="9" min="9" style="1" width="1.88"/>
    <col collapsed="false" customWidth="true" hidden="false" outlineLevel="0" max="10" min="10" style="1" width="16.67"/>
    <col collapsed="false" customWidth="true" hidden="false" outlineLevel="0" max="11" min="11" style="1" width="55.56"/>
    <col collapsed="false" customWidth="true" hidden="false" outlineLevel="0" max="12" min="12" style="1" width="1.88"/>
    <col collapsed="false" customWidth="true" hidden="false" outlineLevel="0" max="14" min="13" style="1" width="17.56"/>
    <col collapsed="false" customWidth="true" hidden="false" outlineLevel="0" max="15" min="15" style="1" width="13"/>
    <col collapsed="false" customWidth="true" hidden="false" outlineLevel="0" max="16" min="16" style="1" width="1.88"/>
    <col collapsed="false" customWidth="true" hidden="false" outlineLevel="0" max="17" min="17" style="1" width="1.44"/>
  </cols>
  <sheetData>
    <row r="1" customFormat="false" ht="36" hidden="false" customHeight="true" outlineLevel="0" collapsed="false">
      <c r="A1" s="25" t="s">
        <v>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6"/>
    </row>
    <row r="2" customFormat="false" ht="18" hidden="false" customHeight="true" outlineLevel="0" collapsed="false">
      <c r="A2" s="27" t="str">
        <f aca="false">"As of "&amp;TEXT('Instructions &amp; Assumptions'!B5,"DD-MMM-YYYY")&amp;"   |   9 Lenders  |  44 Facilities  |  Source: JFL sanction letters + TEV Financial Model + Statutory Audit"</f>
        <v>As of 12-May-2026   |   9 Lenders  |  44 Facilities  |  Source: JFL sanction letters + TEV Financial Model + Statutory Audit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customFormat="false" ht="15.75" hidden="false" customHeight="true" outlineLevel="0" collapsed="false">
      <c r="A3" s="29" t="str">
        <f aca="false">"MODEL INTEGRITY: "&amp;'Validation &amp; Integrity'!B118</f>
        <v>MODEL INTEGRITY: 108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/>
    </row>
    <row r="4" customFormat="false" ht="6" hidden="false" customHeight="true" outlineLevel="0" collapsed="false">
      <c r="A4" s="31" t="s">
        <v>59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2"/>
    </row>
    <row r="5" customFormat="false" ht="19.5" hidden="false" customHeight="true" outlineLevel="0" collapsed="false">
      <c r="A5" s="33"/>
      <c r="B5" s="34" t="s">
        <v>59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customFormat="false" ht="15.75" hidden="false" customHeight="true" outlineLevel="0" collapsed="false">
      <c r="A6" s="36"/>
      <c r="B6" s="37" t="s">
        <v>60</v>
      </c>
      <c r="C6" s="37"/>
      <c r="D6" s="37"/>
      <c r="E6" s="38" t="s">
        <v>61</v>
      </c>
      <c r="F6" s="38"/>
      <c r="G6" s="38"/>
      <c r="H6" s="38" t="s">
        <v>62</v>
      </c>
      <c r="I6" s="38"/>
      <c r="J6" s="38"/>
      <c r="K6" s="38" t="s">
        <v>63</v>
      </c>
      <c r="L6" s="38"/>
      <c r="M6" s="38"/>
      <c r="N6" s="38" t="s">
        <v>64</v>
      </c>
      <c r="O6" s="38"/>
      <c r="P6" s="38"/>
      <c r="Q6" s="39"/>
    </row>
    <row r="7" customFormat="false" ht="30" hidden="false" customHeight="true" outlineLevel="0" collapsed="false">
      <c r="A7" s="40"/>
      <c r="B7" s="41" t="n">
        <f aca="false">'Lender Summary'!B20</f>
        <v>4666</v>
      </c>
      <c r="C7" s="41"/>
      <c r="D7" s="41"/>
      <c r="E7" s="42" t="n">
        <f aca="false">'Lender Summary'!B21</f>
        <v>4116</v>
      </c>
      <c r="F7" s="42"/>
      <c r="G7" s="42"/>
      <c r="H7" s="42" t="n">
        <f aca="false">'Lender Summary'!B22</f>
        <v>550</v>
      </c>
      <c r="I7" s="42"/>
      <c r="J7" s="42"/>
      <c r="K7" s="42" t="n">
        <f aca="false">'Lender Summary'!B23</f>
        <v>2040</v>
      </c>
      <c r="L7" s="42"/>
      <c r="M7" s="42"/>
      <c r="N7" s="42" t="n">
        <f aca="false">AdjustedConsortiumDebt</f>
        <v>3826</v>
      </c>
      <c r="O7" s="42"/>
      <c r="P7" s="42"/>
      <c r="Q7" s="43"/>
    </row>
    <row r="8" customFormat="false" ht="15.75" hidden="false" customHeight="true" outlineLevel="0" collapsed="false">
      <c r="A8" s="36"/>
      <c r="B8" s="37" t="s">
        <v>65</v>
      </c>
      <c r="C8" s="37"/>
      <c r="D8" s="37"/>
      <c r="E8" s="38" t="s">
        <v>66</v>
      </c>
      <c r="F8" s="38"/>
      <c r="G8" s="38"/>
      <c r="H8" s="38" t="s">
        <v>67</v>
      </c>
      <c r="I8" s="38"/>
      <c r="J8" s="38"/>
      <c r="K8" s="44" t="s">
        <v>68</v>
      </c>
      <c r="L8" s="44"/>
      <c r="M8" s="44"/>
      <c r="N8" s="38" t="s">
        <v>69</v>
      </c>
      <c r="O8" s="38"/>
      <c r="P8" s="38"/>
      <c r="Q8" s="39"/>
    </row>
    <row r="9" customFormat="false" ht="30" hidden="false" customHeight="true" outlineLevel="0" collapsed="false">
      <c r="A9" s="40"/>
      <c r="B9" s="41" t="n">
        <f aca="false">'Lender Summary'!B24</f>
        <v>150</v>
      </c>
      <c r="C9" s="41"/>
      <c r="D9" s="41"/>
      <c r="E9" s="42" t="n">
        <f aca="false">'Lender Summary'!B25</f>
        <v>0</v>
      </c>
      <c r="F9" s="42"/>
      <c r="G9" s="42"/>
      <c r="H9" s="42" t="n">
        <f aca="false">'Lender Summary'!B26</f>
        <v>75</v>
      </c>
      <c r="I9" s="42"/>
      <c r="J9" s="42"/>
      <c r="K9" s="45" t="n">
        <f aca="false">'Interest Schedule'!C59</f>
        <v>0.0914992711370262</v>
      </c>
      <c r="L9" s="45"/>
      <c r="M9" s="45"/>
      <c r="N9" s="46" t="n">
        <f aca="false">TotalIntComm</f>
        <v>393.161</v>
      </c>
      <c r="O9" s="46"/>
      <c r="P9" s="46"/>
      <c r="Q9" s="43"/>
    </row>
    <row r="10" customFormat="false" ht="15.75" hidden="false" customHeight="true" outlineLevel="0" collapsed="false">
      <c r="A10" s="36"/>
      <c r="B10" s="47" t="s">
        <v>70</v>
      </c>
      <c r="C10" s="47"/>
      <c r="D10" s="47"/>
      <c r="E10" s="48" t="s">
        <v>71</v>
      </c>
      <c r="F10" s="48"/>
      <c r="G10" s="48"/>
      <c r="H10" s="44" t="s">
        <v>72</v>
      </c>
      <c r="I10" s="44"/>
      <c r="J10" s="44"/>
      <c r="K10" s="38" t="s">
        <v>73</v>
      </c>
      <c r="L10" s="38"/>
      <c r="M10" s="38"/>
      <c r="N10" s="38" t="s">
        <v>74</v>
      </c>
      <c r="O10" s="38"/>
      <c r="P10" s="38"/>
      <c r="Q10" s="39"/>
    </row>
    <row r="11" customFormat="false" ht="25.5" hidden="false" customHeight="true" outlineLevel="0" collapsed="false">
      <c r="A11" s="49"/>
      <c r="B11" s="50" t="n">
        <f aca="false">COUNTA('Facility Master'!A5:A48)</f>
        <v>44</v>
      </c>
      <c r="C11" s="50"/>
      <c r="D11" s="50"/>
      <c r="E11" s="51" t="str">
        <f aca="false">COUNTIF('FY29 Covenant Compliance (TEV)'!G7:G52,"Compliant*")&amp;" / "&amp;COUNTA('FY29 Covenant Compliance (TEV)'!B7:B52)&amp;" Compliant (FY29)"</f>
        <v>43 / 44 Compliant (FY29)</v>
      </c>
      <c r="F11" s="51"/>
      <c r="G11" s="51"/>
      <c r="H11" s="52" t="n">
        <f aca="false">AVERAGEIFS('Facility Master'!N5:N48,'Facility Master'!H5:H48,"&gt;0")</f>
        <v>1</v>
      </c>
      <c r="I11" s="52"/>
      <c r="J11" s="52"/>
      <c r="K11" s="53" t="n">
        <f aca="false">Total_TL_PrincOS</f>
        <v>3816</v>
      </c>
      <c r="L11" s="53"/>
      <c r="M11" s="53"/>
      <c r="N11" s="53" t="n">
        <f aca="false">ICICI_TL_Takeover</f>
        <v>840</v>
      </c>
      <c r="O11" s="53"/>
      <c r="P11" s="53"/>
      <c r="Q11" s="54"/>
    </row>
    <row r="12" customFormat="false" ht="13.5" hidden="false" customHeight="true" outlineLevel="0" collapsed="false">
      <c r="A12" s="55"/>
      <c r="B12" s="56" t="str">
        <f aca="false">COUNTIF('FY29 Covenant Compliance (TEV)'!G7:G52,"Compliant*")&amp;" / 44 Compliant (FY29 TEV — First Covenant Test Year)   |   "&amp;COUNTIF('FY29 Covenant Compliance (TEV)'!G7:G52,"Near Breach")&amp;" Near Breach"</f>
        <v>43 / 44 Compliant (FY29 TEV — First Covenant Test Year)   |   1 Near Breach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</row>
    <row r="13" customFormat="false" ht="6" hidden="false" customHeight="true" outlineLevel="0" collapsed="false">
      <c r="A13" s="58"/>
      <c r="B13" s="59"/>
      <c r="C13" s="59"/>
      <c r="D13" s="59"/>
      <c r="E13" s="59"/>
      <c r="F13" s="60"/>
      <c r="G13" s="60"/>
      <c r="H13" s="59"/>
      <c r="I13" s="59"/>
      <c r="J13" s="59"/>
      <c r="K13" s="59"/>
      <c r="L13" s="61"/>
      <c r="M13" s="61"/>
      <c r="N13" s="61"/>
      <c r="O13" s="61"/>
      <c r="P13" s="32"/>
      <c r="Q13" s="32"/>
    </row>
    <row r="14" customFormat="false" ht="19.5" hidden="false" customHeight="true" outlineLevel="0" collapsed="false">
      <c r="A14" s="33"/>
      <c r="B14" s="62" t="s">
        <v>75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3"/>
    </row>
    <row r="15" customFormat="false" ht="15.75" hidden="false" customHeight="true" outlineLevel="0" collapsed="false">
      <c r="A15" s="64"/>
      <c r="B15" s="65" t="s">
        <v>76</v>
      </c>
      <c r="C15" s="65"/>
      <c r="D15" s="65"/>
      <c r="E15" s="65"/>
      <c r="F15" s="66" t="s">
        <v>77</v>
      </c>
      <c r="G15" s="66"/>
      <c r="H15" s="66"/>
      <c r="I15" s="66"/>
      <c r="J15" s="66" t="s">
        <v>78</v>
      </c>
      <c r="K15" s="66"/>
      <c r="L15" s="66"/>
      <c r="M15" s="67" t="s">
        <v>79</v>
      </c>
      <c r="N15" s="67"/>
      <c r="O15" s="67"/>
      <c r="P15" s="67"/>
      <c r="Q15" s="68"/>
    </row>
    <row r="16" customFormat="false" ht="30" hidden="false" customHeight="true" outlineLevel="0" collapsed="false">
      <c r="A16" s="69"/>
      <c r="B16" s="70" t="n">
        <f aca="false">COUNTA('FY29 Covenant Compliance (TEV)'!B7:B52)</f>
        <v>44</v>
      </c>
      <c r="C16" s="70"/>
      <c r="D16" s="70"/>
      <c r="E16" s="70"/>
      <c r="F16" s="71" t="n">
        <f aca="false">COUNTIF('FY29 Covenant Compliance (TEV)'!G7:G52,"Compliant*")</f>
        <v>43</v>
      </c>
      <c r="G16" s="71"/>
      <c r="H16" s="71"/>
      <c r="I16" s="71"/>
      <c r="J16" s="72" t="n">
        <f aca="false">COUNTIF('FY29 Covenant Compliance (TEV)'!G7:G52,"Near Breach")</f>
        <v>1</v>
      </c>
      <c r="K16" s="72"/>
      <c r="L16" s="72"/>
      <c r="M16" s="73" t="n">
        <f aca="false">COUNTIF('FY29 Covenant Compliance (TEV)'!G7:G52,"Breached")</f>
        <v>0</v>
      </c>
      <c r="N16" s="73"/>
      <c r="O16" s="73"/>
      <c r="P16" s="73"/>
      <c r="Q16" s="74"/>
    </row>
    <row r="17" customFormat="false" ht="13.5" hidden="false" customHeight="true" outlineLevel="0" collapsed="false">
      <c r="A17" s="75"/>
      <c r="B17" s="76" t="s">
        <v>80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7"/>
    </row>
    <row r="18" customFormat="false" ht="6" hidden="false" customHeight="true" outlineLevel="0" collapsed="false">
      <c r="A18" s="58"/>
      <c r="B18" s="78" t="s">
        <v>81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32"/>
    </row>
    <row r="19" customFormat="false" ht="19.5" hidden="false" customHeight="true" outlineLevel="0" collapsed="false">
      <c r="A19" s="79"/>
      <c r="B19" s="80" t="s">
        <v>82</v>
      </c>
      <c r="C19" s="81"/>
      <c r="D19" s="81"/>
      <c r="E19" s="82" t="s">
        <v>83</v>
      </c>
      <c r="F19" s="83"/>
      <c r="G19" s="84" t="s">
        <v>84</v>
      </c>
      <c r="H19" s="85" t="s">
        <v>85</v>
      </c>
      <c r="I19" s="85"/>
      <c r="J19" s="85"/>
      <c r="K19" s="85"/>
      <c r="L19" s="85"/>
      <c r="M19" s="85"/>
      <c r="N19" s="81" t="s">
        <v>86</v>
      </c>
      <c r="O19" s="86" t="n">
        <f aca="false">'Lender Summary'!G7</f>
        <v>0</v>
      </c>
      <c r="P19" s="87"/>
      <c r="Q19" s="88"/>
    </row>
    <row r="20" customFormat="false" ht="18" hidden="false" customHeight="true" outlineLevel="0" collapsed="false">
      <c r="A20" s="89"/>
      <c r="B20" s="90" t="s">
        <v>87</v>
      </c>
      <c r="C20" s="91"/>
      <c r="D20" s="91"/>
      <c r="E20" s="92" t="n">
        <f aca="false">'Lender Summary'!D6</f>
        <v>1361</v>
      </c>
      <c r="F20" s="93"/>
      <c r="G20" s="94" t="n">
        <f aca="false">'Lender Summary'!E6</f>
        <v>0.291684526360909</v>
      </c>
      <c r="H20" s="95" t="str">
        <f aca="false">REPT("█",ROUND(G20*100,0))</f>
        <v>█████████████████████████████</v>
      </c>
      <c r="I20" s="95"/>
      <c r="J20" s="95"/>
      <c r="K20" s="95"/>
      <c r="L20" s="95"/>
      <c r="M20" s="95"/>
      <c r="N20" s="96" t="n">
        <f aca="false">'Lender Summary'!G6</f>
        <v>750</v>
      </c>
      <c r="O20" s="97" t="n">
        <f aca="false">'Lender Summary'!G8</f>
        <v>200</v>
      </c>
      <c r="P20" s="89"/>
      <c r="Q20" s="98"/>
    </row>
    <row r="21" customFormat="false" ht="15.75" hidden="false" customHeight="true" outlineLevel="0" collapsed="false">
      <c r="A21" s="99"/>
      <c r="B21" s="100" t="s">
        <v>88</v>
      </c>
      <c r="C21" s="101"/>
      <c r="D21" s="101"/>
      <c r="E21" s="102" t="n">
        <f aca="false">'Lender Summary'!D7</f>
        <v>235</v>
      </c>
      <c r="F21" s="103"/>
      <c r="G21" s="104" t="n">
        <f aca="false">'Lender Summary'!E7</f>
        <v>0.0503643377625375</v>
      </c>
      <c r="H21" s="105" t="str">
        <f aca="false">REPT("█",ROUND(G21*100,0))</f>
        <v>█████</v>
      </c>
      <c r="I21" s="105"/>
      <c r="J21" s="105"/>
      <c r="K21" s="105"/>
      <c r="L21" s="105"/>
      <c r="M21" s="105"/>
      <c r="N21" s="106" t="n">
        <f aca="false">'Lender Summary'!G7</f>
        <v>0</v>
      </c>
      <c r="O21" s="107" t="n">
        <f aca="false">'Lender Summary'!G9</f>
        <v>100</v>
      </c>
      <c r="P21" s="99"/>
      <c r="Q21" s="108"/>
    </row>
    <row r="22" customFormat="false" ht="15.75" hidden="false" customHeight="true" outlineLevel="0" collapsed="false">
      <c r="A22" s="109"/>
      <c r="B22" s="110" t="s">
        <v>89</v>
      </c>
      <c r="C22" s="111"/>
      <c r="D22" s="111"/>
      <c r="E22" s="112" t="n">
        <f aca="false">'Lender Summary'!D8</f>
        <v>200</v>
      </c>
      <c r="F22" s="113"/>
      <c r="G22" s="114" t="n">
        <f aca="false">'Lender Summary'!E8</f>
        <v>0.042863266180883</v>
      </c>
      <c r="H22" s="115" t="str">
        <f aca="false">REPT("█",ROUND(G22*100,0))</f>
        <v>████</v>
      </c>
      <c r="I22" s="115"/>
      <c r="J22" s="115"/>
      <c r="K22" s="115"/>
      <c r="L22" s="115"/>
      <c r="M22" s="115"/>
      <c r="N22" s="116" t="n">
        <f aca="false">'Lender Summary'!G8</f>
        <v>200</v>
      </c>
      <c r="O22" s="117" t="n">
        <f aca="false">'Lender Summary'!G10</f>
        <v>400</v>
      </c>
      <c r="P22" s="109"/>
      <c r="Q22" s="118"/>
    </row>
    <row r="23" customFormat="false" ht="15.75" hidden="false" customHeight="true" outlineLevel="0" collapsed="false">
      <c r="A23" s="99"/>
      <c r="B23" s="100" t="s">
        <v>90</v>
      </c>
      <c r="C23" s="101"/>
      <c r="D23" s="101"/>
      <c r="E23" s="102" t="n">
        <f aca="false">'Lender Summary'!D9</f>
        <v>650</v>
      </c>
      <c r="F23" s="103"/>
      <c r="G23" s="104" t="n">
        <f aca="false">'Lender Summary'!E9</f>
        <v>0.13930561508787</v>
      </c>
      <c r="H23" s="105" t="str">
        <f aca="false">REPT("█",ROUND(G23*100,0))</f>
        <v>██████████████</v>
      </c>
      <c r="I23" s="105"/>
      <c r="J23" s="105"/>
      <c r="K23" s="105"/>
      <c r="L23" s="105"/>
      <c r="M23" s="105"/>
      <c r="N23" s="106" t="n">
        <f aca="false">'Lender Summary'!G9</f>
        <v>100</v>
      </c>
      <c r="O23" s="107" t="n">
        <f aca="false">'Lender Summary'!G11</f>
        <v>300</v>
      </c>
      <c r="P23" s="99"/>
      <c r="Q23" s="108"/>
    </row>
    <row r="24" customFormat="false" ht="15.75" hidden="false" customHeight="true" outlineLevel="0" collapsed="false">
      <c r="A24" s="109"/>
      <c r="B24" s="110" t="s">
        <v>91</v>
      </c>
      <c r="C24" s="111"/>
      <c r="D24" s="111"/>
      <c r="E24" s="112" t="n">
        <f aca="false">'Lender Summary'!D10</f>
        <v>530</v>
      </c>
      <c r="F24" s="113"/>
      <c r="G24" s="114" t="n">
        <f aca="false">'Lender Summary'!E10</f>
        <v>0.11358765537934</v>
      </c>
      <c r="H24" s="115" t="str">
        <f aca="false">REPT("█",ROUND(G24*100,0))</f>
        <v>███████████</v>
      </c>
      <c r="I24" s="115"/>
      <c r="J24" s="115"/>
      <c r="K24" s="115"/>
      <c r="L24" s="115"/>
      <c r="M24" s="115"/>
      <c r="N24" s="116" t="n">
        <f aca="false">'Lender Summary'!G10</f>
        <v>400</v>
      </c>
      <c r="O24" s="117" t="n">
        <f aca="false">'Lender Summary'!G12</f>
        <v>0</v>
      </c>
      <c r="P24" s="109"/>
      <c r="Q24" s="118"/>
    </row>
    <row r="25" customFormat="false" ht="15.75" hidden="false" customHeight="true" outlineLevel="0" collapsed="false">
      <c r="A25" s="99"/>
      <c r="B25" s="100" t="s">
        <v>92</v>
      </c>
      <c r="C25" s="101"/>
      <c r="D25" s="101"/>
      <c r="E25" s="102" t="n">
        <f aca="false">'Lender Summary'!D11</f>
        <v>400</v>
      </c>
      <c r="F25" s="103"/>
      <c r="G25" s="104" t="n">
        <f aca="false">'Lender Summary'!E11</f>
        <v>0.085726532361766</v>
      </c>
      <c r="H25" s="105" t="str">
        <f aca="false">REPT("█",ROUND(G25*100,0))</f>
        <v>█████████</v>
      </c>
      <c r="I25" s="105"/>
      <c r="J25" s="105"/>
      <c r="K25" s="105"/>
      <c r="L25" s="105"/>
      <c r="M25" s="105"/>
      <c r="N25" s="106" t="n">
        <f aca="false">'Lender Summary'!G11</f>
        <v>300</v>
      </c>
      <c r="O25" s="107" t="n">
        <f aca="false">'Lender Summary'!G13</f>
        <v>250</v>
      </c>
      <c r="P25" s="99"/>
      <c r="Q25" s="108"/>
    </row>
    <row r="26" customFormat="false" ht="15.75" hidden="false" customHeight="true" outlineLevel="0" collapsed="false">
      <c r="A26" s="119"/>
      <c r="B26" s="120" t="s">
        <v>93</v>
      </c>
      <c r="C26" s="121"/>
      <c r="D26" s="121"/>
      <c r="E26" s="122" t="n">
        <f aca="false">'Lender Summary'!D12</f>
        <v>200</v>
      </c>
      <c r="F26" s="123"/>
      <c r="G26" s="124" t="n">
        <f aca="false">'Lender Summary'!E12</f>
        <v>0.042863266180883</v>
      </c>
      <c r="H26" s="125" t="str">
        <f aca="false">REPT("█",ROUND(G26*100,0))</f>
        <v>████</v>
      </c>
      <c r="I26" s="125"/>
      <c r="J26" s="125"/>
      <c r="K26" s="125"/>
      <c r="L26" s="125"/>
      <c r="M26" s="125"/>
      <c r="N26" s="116" t="n">
        <f aca="false">'Lender Summary'!G12</f>
        <v>0</v>
      </c>
      <c r="O26" s="117" t="n">
        <f aca="false">'Lender Summary'!G14</f>
        <v>40</v>
      </c>
      <c r="P26" s="109"/>
      <c r="Q26" s="118"/>
    </row>
    <row r="27" customFormat="false" ht="15.75" hidden="false" customHeight="true" outlineLevel="0" collapsed="false">
      <c r="A27" s="126"/>
      <c r="B27" s="127" t="s">
        <v>94</v>
      </c>
      <c r="C27" s="128"/>
      <c r="D27" s="128"/>
      <c r="E27" s="129" t="n">
        <f aca="false">'Lender Summary'!D13</f>
        <v>250</v>
      </c>
      <c r="F27" s="130"/>
      <c r="G27" s="131" t="n">
        <f aca="false">'Lender Summary'!E13</f>
        <v>0.0535790827261037</v>
      </c>
      <c r="H27" s="132" t="str">
        <f aca="false">REPT("█",ROUND(G27*100,0))</f>
        <v>█████</v>
      </c>
      <c r="I27" s="132"/>
      <c r="J27" s="132"/>
      <c r="K27" s="132"/>
      <c r="L27" s="132"/>
      <c r="M27" s="132"/>
      <c r="N27" s="133" t="n">
        <f aca="false">'Lender Summary'!G13</f>
        <v>250</v>
      </c>
      <c r="O27" s="134" t="n">
        <f aca="false">SUM(O18:O26)</f>
        <v>1290</v>
      </c>
      <c r="P27" s="126"/>
      <c r="Q27" s="135"/>
    </row>
    <row r="28" customFormat="false" ht="15.75" hidden="false" customHeight="true" outlineLevel="0" collapsed="false">
      <c r="A28" s="136"/>
      <c r="B28" s="137" t="s">
        <v>95</v>
      </c>
      <c r="C28" s="136"/>
      <c r="D28" s="136"/>
      <c r="E28" s="138" t="n">
        <f aca="false">'Lender Summary'!D14</f>
        <v>840</v>
      </c>
      <c r="F28" s="139"/>
      <c r="G28" s="140" t="n">
        <f aca="false">'Lender Summary'!E14</f>
        <v>0.180025717959709</v>
      </c>
      <c r="H28" s="141" t="str">
        <f aca="false">REPT("█",ROUND(G28*100,0))</f>
        <v>██████████████████</v>
      </c>
      <c r="I28" s="141"/>
      <c r="J28" s="141"/>
      <c r="K28" s="141"/>
      <c r="L28" s="141"/>
      <c r="M28" s="141"/>
      <c r="N28" s="142" t="n">
        <f aca="false">'Lender Summary'!G14</f>
        <v>40</v>
      </c>
      <c r="O28" s="136"/>
      <c r="P28" s="136"/>
      <c r="Q28" s="143"/>
    </row>
    <row r="29" customFormat="false" ht="16.5" hidden="false" customHeight="true" outlineLevel="0" collapsed="false">
      <c r="A29" s="144"/>
      <c r="B29" s="145" t="s">
        <v>96</v>
      </c>
      <c r="C29" s="146"/>
      <c r="D29" s="146"/>
      <c r="E29" s="147" t="n">
        <f aca="false">SUM(E20:E28)</f>
        <v>4666</v>
      </c>
      <c r="F29" s="148"/>
      <c r="G29" s="149" t="n">
        <f aca="false">SUM(G20:G28)</f>
        <v>1</v>
      </c>
      <c r="H29" s="146"/>
      <c r="I29" s="146"/>
      <c r="J29" s="146"/>
      <c r="K29" s="146"/>
      <c r="L29" s="146"/>
      <c r="M29" s="146"/>
      <c r="N29" s="146" t="n">
        <f aca="false">SUM(N20:N28)</f>
        <v>2040</v>
      </c>
      <c r="O29" s="146"/>
      <c r="P29" s="146"/>
      <c r="Q29" s="150"/>
    </row>
    <row r="30" customFormat="false" ht="6" hidden="false" customHeight="true" outlineLevel="0" collapsed="false">
      <c r="A30" s="58"/>
      <c r="B30" s="151" t="s">
        <v>97</v>
      </c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32"/>
    </row>
    <row r="31" customFormat="false" ht="19.5" hidden="false" customHeight="true" outlineLevel="0" collapsed="false">
      <c r="A31" s="79"/>
      <c r="B31" s="80" t="s">
        <v>98</v>
      </c>
      <c r="C31" s="152"/>
      <c r="D31" s="153" t="s">
        <v>99</v>
      </c>
      <c r="E31" s="82"/>
      <c r="F31" s="82"/>
      <c r="G31" s="154" t="s">
        <v>100</v>
      </c>
      <c r="H31" s="154"/>
      <c r="I31" s="154"/>
      <c r="J31" s="154"/>
      <c r="K31" s="154"/>
      <c r="L31" s="154"/>
      <c r="M31" s="154"/>
      <c r="N31" s="154"/>
      <c r="O31" s="154"/>
      <c r="P31" s="154"/>
      <c r="Q31" s="88"/>
    </row>
    <row r="32" customFormat="false" ht="18" hidden="false" customHeight="true" outlineLevel="0" collapsed="false">
      <c r="A32" s="89"/>
      <c r="B32" s="90" t="s">
        <v>101</v>
      </c>
      <c r="C32" s="155"/>
      <c r="D32" s="156" t="n">
        <f aca="false">SUMIFS('Repayment Schedule'!AM5:AM68,'Repayment Schedule'!B5:B68,"&gt;="&amp;DATE(2023,4,1),'Repayment Schedule'!B5:B68,"&lt;="&amp;DATE(2024,3,31))</f>
        <v>0</v>
      </c>
      <c r="E32" s="92"/>
      <c r="F32" s="92"/>
      <c r="G32" s="157" t="str">
        <f aca="false">IFERROR(REPT("█",ROUND(D32/40,0)),"")</f>
        <v/>
      </c>
      <c r="H32" s="157"/>
      <c r="I32" s="157"/>
      <c r="J32" s="157"/>
      <c r="K32" s="157"/>
      <c r="L32" s="157"/>
      <c r="M32" s="157"/>
      <c r="N32" s="157"/>
      <c r="O32" s="157"/>
      <c r="P32" s="157"/>
      <c r="Q32" s="98"/>
    </row>
    <row r="33" customFormat="false" ht="15" hidden="false" customHeight="true" outlineLevel="0" collapsed="false">
      <c r="A33" s="99"/>
      <c r="B33" s="100" t="s">
        <v>102</v>
      </c>
      <c r="C33" s="158"/>
      <c r="D33" s="159" t="n">
        <f aca="false">SUMIFS('Repayment Schedule'!AM5:AM68,'Repayment Schedule'!B5:B68,"&gt;="&amp;DATE(2024,4,1),'Repayment Schedule'!B5:B68,"&lt;="&amp;DATE(2025,3,31))</f>
        <v>0</v>
      </c>
      <c r="E33" s="160"/>
      <c r="F33" s="161"/>
      <c r="G33" s="162" t="str">
        <f aca="false">IFERROR(REPT("█",ROUND(D33/40,0)),"")</f>
        <v/>
      </c>
      <c r="H33" s="162"/>
      <c r="I33" s="162"/>
      <c r="J33" s="162"/>
      <c r="K33" s="162"/>
      <c r="L33" s="162"/>
      <c r="M33" s="162"/>
      <c r="N33" s="162"/>
      <c r="O33" s="162"/>
      <c r="P33" s="162"/>
      <c r="Q33" s="108"/>
    </row>
    <row r="34" customFormat="false" ht="15" hidden="false" customHeight="true" outlineLevel="0" collapsed="false">
      <c r="A34" s="109"/>
      <c r="B34" s="110" t="s">
        <v>103</v>
      </c>
      <c r="C34" s="163"/>
      <c r="D34" s="164" t="n">
        <f aca="false">SUMIFS('Repayment Schedule'!AM5:AM68,'Repayment Schedule'!B5:B68,"&gt;="&amp;DATE(2025,4,1),'Repayment Schedule'!B5:B68,"&lt;="&amp;DATE(2026,3,31))</f>
        <v>0</v>
      </c>
      <c r="E34" s="165"/>
      <c r="F34" s="166"/>
      <c r="G34" s="167" t="str">
        <f aca="false">IFERROR(REPT("█",ROUND(D34/40,0)),"")</f>
        <v/>
      </c>
      <c r="H34" s="167"/>
      <c r="I34" s="167"/>
      <c r="J34" s="167"/>
      <c r="K34" s="167"/>
      <c r="L34" s="167"/>
      <c r="M34" s="167"/>
      <c r="N34" s="167"/>
      <c r="O34" s="167"/>
      <c r="P34" s="167"/>
      <c r="Q34" s="118"/>
    </row>
    <row r="35" customFormat="false" ht="15" hidden="false" customHeight="true" outlineLevel="0" collapsed="false">
      <c r="A35" s="99"/>
      <c r="B35" s="100" t="s">
        <v>104</v>
      </c>
      <c r="C35" s="158"/>
      <c r="D35" s="159" t="n">
        <f aca="false">SUMIFS('Repayment Schedule'!AM5:AM68,'Repayment Schedule'!B5:B68,"&gt;="&amp;DATE(2026,4,1),'Repayment Schedule'!B5:B68,"&lt;="&amp;DATE(2027,3,31))</f>
        <v>2.9375</v>
      </c>
      <c r="E35" s="160"/>
      <c r="F35" s="161"/>
      <c r="G35" s="162" t="str">
        <f aca="false">IFERROR(REPT("█",ROUND(D35/40,0)),"")</f>
        <v/>
      </c>
      <c r="H35" s="162"/>
      <c r="I35" s="162"/>
      <c r="J35" s="162"/>
      <c r="K35" s="162"/>
      <c r="L35" s="162"/>
      <c r="M35" s="162"/>
      <c r="N35" s="162"/>
      <c r="O35" s="162"/>
      <c r="P35" s="162"/>
      <c r="Q35" s="108"/>
    </row>
    <row r="36" customFormat="false" ht="15" hidden="false" customHeight="true" outlineLevel="0" collapsed="false">
      <c r="A36" s="109"/>
      <c r="B36" s="110" t="s">
        <v>105</v>
      </c>
      <c r="C36" s="163"/>
      <c r="D36" s="164" t="n">
        <f aca="false">SUMIFS('Repayment Schedule'!AM5:AM68,'Repayment Schedule'!B5:B68,"&gt;="&amp;DATE(2027,4,1),'Repayment Schedule'!B5:B68,"&lt;="&amp;DATE(2028,3,31))</f>
        <v>180.8</v>
      </c>
      <c r="E36" s="165"/>
      <c r="F36" s="166"/>
      <c r="G36" s="167" t="str">
        <f aca="false">IFERROR(REPT("█",ROUND(D36/40,0)),"")</f>
        <v>█████</v>
      </c>
      <c r="H36" s="167"/>
      <c r="I36" s="167"/>
      <c r="J36" s="167"/>
      <c r="K36" s="167"/>
      <c r="L36" s="167"/>
      <c r="M36" s="167"/>
      <c r="N36" s="167"/>
      <c r="O36" s="167"/>
      <c r="P36" s="167"/>
      <c r="Q36" s="118"/>
    </row>
    <row r="37" customFormat="false" ht="15" hidden="false" customHeight="true" outlineLevel="0" collapsed="false">
      <c r="A37" s="168"/>
      <c r="B37" s="169" t="s">
        <v>106</v>
      </c>
      <c r="C37" s="170"/>
      <c r="D37" s="171" t="n">
        <f aca="false">SUMIFS('Repayment Schedule'!AM5:AM68,'Repayment Schedule'!B5:B68,"&gt;="&amp;DATE(2028,4,1),'Repayment Schedule'!B5:B68,"&lt;="&amp;DATE(2029,3,31))</f>
        <v>183.15</v>
      </c>
      <c r="E37" s="172"/>
      <c r="F37" s="173"/>
      <c r="G37" s="174" t="str">
        <f aca="false">IFERROR(REPT("█",ROUND(D37/40,0)),"")</f>
        <v>█████</v>
      </c>
      <c r="H37" s="174"/>
      <c r="I37" s="174"/>
      <c r="J37" s="174"/>
      <c r="K37" s="174"/>
      <c r="L37" s="174"/>
      <c r="M37" s="174"/>
      <c r="N37" s="174"/>
      <c r="O37" s="174"/>
      <c r="P37" s="174"/>
      <c r="Q37" s="175"/>
    </row>
    <row r="38" customFormat="false" ht="15" hidden="false" customHeight="true" outlineLevel="0" collapsed="false">
      <c r="A38" s="109"/>
      <c r="B38" s="110" t="s">
        <v>107</v>
      </c>
      <c r="C38" s="163"/>
      <c r="D38" s="164" t="n">
        <f aca="false">SUMIFS('Repayment Schedule'!AM5:AM68,'Repayment Schedule'!B5:B68,"&gt;="&amp;DATE(2029,4,1),'Repayment Schedule'!B5:B68,"&lt;="&amp;DATE(2030,3,31))</f>
        <v>325.44</v>
      </c>
      <c r="E38" s="165"/>
      <c r="F38" s="166"/>
      <c r="G38" s="167" t="str">
        <f aca="false">IFERROR(REPT("█",ROUND(D38/40,0)),"")</f>
        <v>████████</v>
      </c>
      <c r="H38" s="167"/>
      <c r="I38" s="167"/>
      <c r="J38" s="167"/>
      <c r="K38" s="167"/>
      <c r="L38" s="167"/>
      <c r="M38" s="167"/>
      <c r="N38" s="167"/>
      <c r="O38" s="167"/>
      <c r="P38" s="167"/>
      <c r="Q38" s="118"/>
    </row>
    <row r="39" customFormat="false" ht="15" hidden="false" customHeight="true" outlineLevel="0" collapsed="false">
      <c r="A39" s="99"/>
      <c r="B39" s="100" t="s">
        <v>108</v>
      </c>
      <c r="C39" s="158"/>
      <c r="D39" s="159" t="n">
        <f aca="false">SUMIFS('Repayment Schedule'!AM5:AM68,'Repayment Schedule'!B5:B68,"&gt;="&amp;DATE(2030,4,1),'Repayment Schedule'!B5:B68,"&lt;="&amp;DATE(2031,3,31))</f>
        <v>325.44</v>
      </c>
      <c r="E39" s="160"/>
      <c r="F39" s="161"/>
      <c r="G39" s="162" t="str">
        <f aca="false">IFERROR(REPT("█",ROUND(D39/40,0)),"")</f>
        <v>████████</v>
      </c>
      <c r="H39" s="162"/>
      <c r="I39" s="162"/>
      <c r="J39" s="162"/>
      <c r="K39" s="162"/>
      <c r="L39" s="162"/>
      <c r="M39" s="162"/>
      <c r="N39" s="162"/>
      <c r="O39" s="162"/>
      <c r="P39" s="162"/>
      <c r="Q39" s="108"/>
    </row>
    <row r="40" customFormat="false" ht="15" hidden="false" customHeight="true" outlineLevel="0" collapsed="false">
      <c r="A40" s="109"/>
      <c r="B40" s="110" t="s">
        <v>109</v>
      </c>
      <c r="C40" s="163"/>
      <c r="D40" s="164" t="n">
        <f aca="false">SUMIFS('Repayment Schedule'!AM5:AM68,'Repayment Schedule'!B5:B68,"&gt;="&amp;DATE(2031,4,1),'Repayment Schedule'!B5:B68,"&lt;="&amp;DATE(2032,3,31))</f>
        <v>325.44</v>
      </c>
      <c r="E40" s="165"/>
      <c r="F40" s="166"/>
      <c r="G40" s="167" t="str">
        <f aca="false">IFERROR(REPT("█",ROUND(D40/40,0)),"")</f>
        <v>████████</v>
      </c>
      <c r="H40" s="167"/>
      <c r="I40" s="167"/>
      <c r="J40" s="167"/>
      <c r="K40" s="167"/>
      <c r="L40" s="167"/>
      <c r="M40" s="167"/>
      <c r="N40" s="167"/>
      <c r="O40" s="167"/>
      <c r="P40" s="167"/>
      <c r="Q40" s="118"/>
    </row>
    <row r="41" customFormat="false" ht="15" hidden="false" customHeight="true" outlineLevel="0" collapsed="false">
      <c r="A41" s="99"/>
      <c r="B41" s="100" t="s">
        <v>110</v>
      </c>
      <c r="C41" s="158"/>
      <c r="D41" s="159" t="n">
        <f aca="false">SUMIFS('Repayment Schedule'!AM5:AM68,'Repayment Schedule'!B5:B68,"&gt;="&amp;DATE(2032,4,1),'Repayment Schedule'!B5:B68,"&lt;="&amp;DATE(2033,3,31))</f>
        <v>325.44</v>
      </c>
      <c r="E41" s="160"/>
      <c r="F41" s="161"/>
      <c r="G41" s="162" t="str">
        <f aca="false">IFERROR(REPT("█",ROUND(D41/40,0)),"")</f>
        <v>████████</v>
      </c>
      <c r="H41" s="162"/>
      <c r="I41" s="162"/>
      <c r="J41" s="162"/>
      <c r="K41" s="162"/>
      <c r="L41" s="162"/>
      <c r="M41" s="162"/>
      <c r="N41" s="162"/>
      <c r="O41" s="162"/>
      <c r="P41" s="162"/>
      <c r="Q41" s="108"/>
    </row>
    <row r="42" customFormat="false" ht="15" hidden="false" customHeight="true" outlineLevel="0" collapsed="false">
      <c r="A42" s="109"/>
      <c r="B42" s="110" t="s">
        <v>111</v>
      </c>
      <c r="C42" s="163"/>
      <c r="D42" s="164" t="n">
        <f aca="false">SUMIFS('Repayment Schedule'!AM5:AM68,'Repayment Schedule'!B5:B68,"&gt;="&amp;DATE(2033,4,1),'Repayment Schedule'!B5:B68,"&lt;="&amp;DATE(2034,3,31))</f>
        <v>325.44</v>
      </c>
      <c r="E42" s="165"/>
      <c r="F42" s="166"/>
      <c r="G42" s="167" t="str">
        <f aca="false">IFERROR(REPT("█",ROUND(D42/40,0)),"")</f>
        <v>████████</v>
      </c>
      <c r="H42" s="167"/>
      <c r="I42" s="167"/>
      <c r="J42" s="167"/>
      <c r="K42" s="167"/>
      <c r="L42" s="167"/>
      <c r="M42" s="167"/>
      <c r="N42" s="167"/>
      <c r="O42" s="167"/>
      <c r="P42" s="167"/>
      <c r="Q42" s="118"/>
    </row>
    <row r="43" customFormat="false" ht="15" hidden="false" customHeight="true" outlineLevel="0" collapsed="false">
      <c r="A43" s="99"/>
      <c r="B43" s="100" t="s">
        <v>112</v>
      </c>
      <c r="C43" s="158"/>
      <c r="D43" s="159" t="n">
        <f aca="false">SUMIFS('Repayment Schedule'!AM5:AM68,'Repayment Schedule'!B5:B68,"&gt;="&amp;DATE(2034,4,1),'Repayment Schedule'!B5:B68,"&lt;="&amp;DATE(2035,3,31))</f>
        <v>325.44</v>
      </c>
      <c r="E43" s="160"/>
      <c r="F43" s="161"/>
      <c r="G43" s="162" t="str">
        <f aca="false">IFERROR(REPT("█",ROUND(D43/40,0)),"")</f>
        <v>████████</v>
      </c>
      <c r="H43" s="162"/>
      <c r="I43" s="162"/>
      <c r="J43" s="162"/>
      <c r="K43" s="162"/>
      <c r="L43" s="162"/>
      <c r="M43" s="162"/>
      <c r="N43" s="162"/>
      <c r="O43" s="162"/>
      <c r="P43" s="162"/>
      <c r="Q43" s="108"/>
    </row>
    <row r="44" customFormat="false" ht="15" hidden="false" customHeight="true" outlineLevel="0" collapsed="false">
      <c r="A44" s="109"/>
      <c r="B44" s="110" t="s">
        <v>113</v>
      </c>
      <c r="C44" s="163"/>
      <c r="D44" s="164" t="n">
        <f aca="false">SUMIFS('Repayment Schedule'!AM5:AM68,'Repayment Schedule'!B5:B68,"&gt;="&amp;DATE(2035,4,1),'Repayment Schedule'!B5:B68,"&lt;="&amp;DATE(2036,3,31))</f>
        <v>325.44</v>
      </c>
      <c r="E44" s="165"/>
      <c r="F44" s="166"/>
      <c r="G44" s="167" t="str">
        <f aca="false">IFERROR(REPT("█",ROUND(D44/40,0)),"")</f>
        <v>████████</v>
      </c>
      <c r="H44" s="167"/>
      <c r="I44" s="167"/>
      <c r="J44" s="167"/>
      <c r="K44" s="167"/>
      <c r="L44" s="167"/>
      <c r="M44" s="167"/>
      <c r="N44" s="167"/>
      <c r="O44" s="167"/>
      <c r="P44" s="167"/>
      <c r="Q44" s="118"/>
    </row>
    <row r="45" customFormat="false" ht="15" hidden="false" customHeight="true" outlineLevel="0" collapsed="false">
      <c r="A45" s="99"/>
      <c r="B45" s="100" t="s">
        <v>114</v>
      </c>
      <c r="C45" s="158"/>
      <c r="D45" s="159" t="n">
        <f aca="false">SUMIFS('Repayment Schedule'!AM5:AM68,'Repayment Schedule'!B5:B68,"&gt;="&amp;DATE(2036,4,1),'Repayment Schedule'!B5:B68,"&lt;="&amp;DATE(2037,3,31))</f>
        <v>325.44</v>
      </c>
      <c r="E45" s="160"/>
      <c r="F45" s="161"/>
      <c r="G45" s="162" t="str">
        <f aca="false">IFERROR(REPT("█",ROUND(D45/40,0)),"")</f>
        <v>████████</v>
      </c>
      <c r="H45" s="162"/>
      <c r="I45" s="162"/>
      <c r="J45" s="162"/>
      <c r="K45" s="162"/>
      <c r="L45" s="162"/>
      <c r="M45" s="162"/>
      <c r="N45" s="162"/>
      <c r="O45" s="162"/>
      <c r="P45" s="162"/>
      <c r="Q45" s="108"/>
    </row>
    <row r="46" customFormat="false" ht="15" hidden="false" customHeight="true" outlineLevel="0" collapsed="false">
      <c r="A46" s="109"/>
      <c r="B46" s="110" t="s">
        <v>115</v>
      </c>
      <c r="C46" s="163"/>
      <c r="D46" s="164" t="n">
        <f aca="false">SUMIFS('Repayment Schedule'!AM5:AM68,'Repayment Schedule'!B5:B68,"&gt;="&amp;DATE(2037,4,1),'Repayment Schedule'!B5:B68,"&lt;="&amp;DATE(2038,3,31))</f>
        <v>325.44</v>
      </c>
      <c r="E46" s="165"/>
      <c r="F46" s="166"/>
      <c r="G46" s="176" t="str">
        <f aca="false">IFERROR(REPT("█",ROUND(D46/40,0)),"")</f>
        <v>████████</v>
      </c>
      <c r="H46" s="176"/>
      <c r="I46" s="176"/>
      <c r="J46" s="176"/>
      <c r="K46" s="176"/>
      <c r="L46" s="176"/>
      <c r="M46" s="176"/>
      <c r="N46" s="176"/>
      <c r="O46" s="176"/>
      <c r="P46" s="176"/>
      <c r="Q46" s="118"/>
    </row>
    <row r="47" customFormat="false" ht="15" hidden="false" customHeight="true" outlineLevel="0" collapsed="false">
      <c r="A47" s="177"/>
      <c r="B47" s="178" t="s">
        <v>116</v>
      </c>
      <c r="C47" s="177"/>
      <c r="D47" s="179" t="n">
        <f aca="false">SUMIFS('Repayment Schedule'!AM5:AM68,'Repayment Schedule'!B5:B68,"&gt;="&amp;DATE(2038,4,1),'Repayment Schedule'!B5:B68,"&lt;="&amp;DATE(2039,3,31))</f>
        <v>320.1525</v>
      </c>
      <c r="E47" s="177"/>
      <c r="F47" s="180"/>
      <c r="G47" s="177" t="str">
        <f aca="false">IFERROR(REPT("█",ROUND(D47/40,0)),"")</f>
        <v>████████</v>
      </c>
      <c r="H47" s="177"/>
      <c r="I47" s="177"/>
      <c r="J47" s="177"/>
      <c r="K47" s="177"/>
      <c r="L47" s="177"/>
      <c r="M47" s="177"/>
      <c r="N47" s="177"/>
      <c r="O47" s="177"/>
      <c r="P47" s="177"/>
      <c r="Q47" s="181"/>
    </row>
    <row r="48" customFormat="false" ht="15" hidden="false" customHeight="true" outlineLevel="0" collapsed="false">
      <c r="A48" s="182"/>
      <c r="B48" s="183" t="s">
        <v>117</v>
      </c>
      <c r="C48" s="182"/>
      <c r="D48" s="184" t="n">
        <f aca="false">SUM(D32:D47)</f>
        <v>3616</v>
      </c>
      <c r="E48" s="182"/>
      <c r="F48" s="185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6"/>
    </row>
    <row r="49" customFormat="false" ht="21.75" hidden="false" customHeight="true" outlineLevel="0" collapsed="false">
      <c r="A49" s="187"/>
      <c r="B49" s="188" t="s">
        <v>118</v>
      </c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9"/>
    </row>
    <row r="50" customFormat="false" ht="18" hidden="false" customHeight="true" outlineLevel="0" collapsed="false">
      <c r="A50" s="190"/>
      <c r="B50" s="191" t="s">
        <v>119</v>
      </c>
      <c r="C50" s="191"/>
      <c r="D50" s="192"/>
      <c r="E50" s="193" t="s">
        <v>120</v>
      </c>
      <c r="F50" s="194"/>
      <c r="G50" s="195" t="s">
        <v>121</v>
      </c>
      <c r="H50" s="195"/>
      <c r="I50" s="195"/>
      <c r="J50" s="191" t="s">
        <v>122</v>
      </c>
      <c r="K50" s="191"/>
      <c r="L50" s="191"/>
      <c r="M50" s="191"/>
      <c r="N50" s="191"/>
      <c r="O50" s="191"/>
      <c r="P50" s="191"/>
      <c r="Q50" s="190"/>
    </row>
    <row r="51" customFormat="false" ht="19.5" hidden="false" customHeight="true" outlineLevel="0" collapsed="false">
      <c r="A51" s="196"/>
      <c r="B51" s="197" t="s">
        <v>123</v>
      </c>
      <c r="C51" s="198"/>
      <c r="D51" s="199"/>
      <c r="E51" s="200" t="n">
        <f aca="false">COUNTIF('Facility Master'!D5:D48,"FB-Term")</f>
        <v>7</v>
      </c>
      <c r="F51" s="201"/>
      <c r="G51" s="202" t="n">
        <f aca="false">SUMIFS('Facility Master'!K5:K48,'Facility Master'!D5:D48,"FB-Term")</f>
        <v>3816</v>
      </c>
      <c r="H51" s="203"/>
      <c r="I51" s="203"/>
      <c r="J51" s="204" t="str">
        <f aca="false">IFERROR(REPT("█",ROUND(G51/150,0)),"")</f>
        <v>█████████████████████████</v>
      </c>
      <c r="K51" s="204"/>
      <c r="L51" s="204"/>
      <c r="M51" s="204"/>
      <c r="N51" s="204"/>
      <c r="O51" s="204"/>
      <c r="P51" s="204"/>
      <c r="Q51" s="205"/>
    </row>
    <row r="52" customFormat="false" ht="19.5" hidden="false" customHeight="true" outlineLevel="0" collapsed="false">
      <c r="A52" s="206"/>
      <c r="B52" s="207" t="s">
        <v>124</v>
      </c>
      <c r="C52" s="208"/>
      <c r="D52" s="209"/>
      <c r="E52" s="210" t="n">
        <f aca="false">COUNTIF('Facility Master'!D5:D48,"FB")</f>
        <v>12</v>
      </c>
      <c r="F52" s="211"/>
      <c r="G52" s="212" t="n">
        <f aca="false">SUMIFS('Facility Master'!K5:K48,'Facility Master'!D5:D48,"FB")</f>
        <v>740.832</v>
      </c>
      <c r="H52" s="213"/>
      <c r="I52" s="213"/>
      <c r="J52" s="214" t="str">
        <f aca="false">IFERROR(REPT("█",ROUND(G52/150,0)),"")</f>
        <v>█████</v>
      </c>
      <c r="K52" s="214"/>
      <c r="L52" s="214"/>
      <c r="M52" s="214"/>
      <c r="N52" s="214"/>
      <c r="O52" s="214"/>
      <c r="P52" s="214"/>
      <c r="Q52" s="215"/>
    </row>
    <row r="53" customFormat="false" ht="19.5" hidden="false" customHeight="true" outlineLevel="0" collapsed="false">
      <c r="A53" s="216"/>
      <c r="B53" s="217" t="s">
        <v>125</v>
      </c>
      <c r="C53" s="218"/>
      <c r="D53" s="219"/>
      <c r="E53" s="220" t="n">
        <f aca="false">COUNTIF('Facility Master'!D5:D48,"FB-FDbacked")</f>
        <v>2</v>
      </c>
      <c r="F53" s="221"/>
      <c r="G53" s="222" t="n">
        <f aca="false">SUMIFS('Facility Master'!K5:K48,'Facility Master'!D5:D48,"FB-FDbacked")</f>
        <v>150</v>
      </c>
      <c r="H53" s="223"/>
      <c r="I53" s="223"/>
      <c r="J53" s="224" t="str">
        <f aca="false">IFERROR(REPT("█",ROUND(G53/150,0)),"")</f>
        <v>█</v>
      </c>
      <c r="K53" s="224"/>
      <c r="L53" s="224"/>
      <c r="M53" s="224"/>
      <c r="N53" s="224"/>
      <c r="O53" s="224"/>
      <c r="P53" s="224"/>
      <c r="Q53" s="225"/>
    </row>
    <row r="54" customFormat="false" ht="19.5" hidden="false" customHeight="true" outlineLevel="0" collapsed="false">
      <c r="A54" s="226"/>
      <c r="B54" s="227" t="s">
        <v>126</v>
      </c>
      <c r="C54" s="226"/>
      <c r="D54" s="228"/>
      <c r="E54" s="229" t="n">
        <f aca="false">COUNTIF('Facility Master'!D5:D48,"NFB")</f>
        <v>22</v>
      </c>
      <c r="F54" s="230"/>
      <c r="G54" s="231" t="n">
        <f aca="false">SUMIFS('Facility Master'!K5:K48,'Facility Master'!D5:D48,"NFB")</f>
        <v>3469.24</v>
      </c>
      <c r="H54" s="226"/>
      <c r="I54" s="226"/>
      <c r="J54" s="232" t="str">
        <f aca="false">IFERROR(REPT("█",ROUND(G54/150,0)),"")</f>
        <v>███████████████████████</v>
      </c>
      <c r="K54" s="232"/>
      <c r="L54" s="232"/>
      <c r="M54" s="232"/>
      <c r="N54" s="232"/>
      <c r="O54" s="232"/>
      <c r="P54" s="232"/>
      <c r="Q54" s="233"/>
    </row>
    <row r="55" customFormat="false" ht="19.5" hidden="false" customHeight="true" outlineLevel="0" collapsed="false">
      <c r="A55" s="234"/>
      <c r="B55" s="235" t="s">
        <v>127</v>
      </c>
      <c r="C55" s="234"/>
      <c r="D55" s="236"/>
      <c r="E55" s="237" t="n">
        <f aca="false">COUNTIF('Facility Master'!D5:D48,"Hedge")</f>
        <v>1</v>
      </c>
      <c r="F55" s="238"/>
      <c r="G55" s="239" t="n">
        <f aca="false">SUMIFS('Facility Master'!K5:K48,'Facility Master'!D5:D48,"Hedge")</f>
        <v>75</v>
      </c>
      <c r="H55" s="234"/>
      <c r="I55" s="234"/>
      <c r="J55" s="240" t="str">
        <f aca="false">IFERROR(REPT("█",ROUND(G55/150,0)),"")</f>
        <v>█</v>
      </c>
      <c r="K55" s="240"/>
      <c r="L55" s="240"/>
      <c r="M55" s="240"/>
      <c r="N55" s="240"/>
      <c r="O55" s="240"/>
      <c r="P55" s="240"/>
      <c r="Q55" s="241"/>
    </row>
    <row r="56" customFormat="false" ht="7.5" hidden="false" customHeight="true" outlineLevel="0" collapsed="false">
      <c r="A56" s="242"/>
      <c r="B56" s="243"/>
      <c r="C56" s="244"/>
      <c r="D56" s="244"/>
      <c r="E56" s="245"/>
      <c r="F56" s="244"/>
      <c r="G56" s="246"/>
      <c r="H56" s="244"/>
      <c r="I56" s="244"/>
      <c r="J56" s="247"/>
      <c r="K56" s="244"/>
      <c r="L56" s="244"/>
      <c r="M56" s="111"/>
      <c r="N56" s="111"/>
      <c r="O56" s="111"/>
      <c r="P56" s="109"/>
      <c r="Q56" s="118"/>
    </row>
    <row r="57" customFormat="false" ht="7.5" hidden="false" customHeight="true" outlineLevel="0" collapsed="false">
      <c r="A57" s="248"/>
      <c r="B57" s="249" t="s">
        <v>128</v>
      </c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50"/>
    </row>
    <row r="58" customFormat="false" ht="21.75" hidden="false" customHeight="true" outlineLevel="0" collapsed="false">
      <c r="A58" s="251"/>
      <c r="B58" s="252" t="s">
        <v>129</v>
      </c>
      <c r="C58" s="253" t="s">
        <v>130</v>
      </c>
      <c r="D58" s="253"/>
      <c r="E58" s="253"/>
      <c r="F58" s="253"/>
      <c r="G58" s="253"/>
      <c r="H58" s="253"/>
      <c r="I58" s="254"/>
      <c r="J58" s="255" t="s">
        <v>131</v>
      </c>
      <c r="K58" s="256" t="s">
        <v>132</v>
      </c>
      <c r="L58" s="256"/>
      <c r="M58" s="256"/>
      <c r="N58" s="256"/>
      <c r="O58" s="256"/>
      <c r="P58" s="256"/>
      <c r="Q58" s="251"/>
    </row>
    <row r="59" customFormat="false" ht="37.5" hidden="false" customHeight="true" outlineLevel="0" collapsed="false">
      <c r="A59" s="257"/>
      <c r="B59" s="258" t="s">
        <v>133</v>
      </c>
      <c r="C59" s="259" t="s">
        <v>134</v>
      </c>
      <c r="D59" s="259"/>
      <c r="E59" s="259"/>
      <c r="F59" s="259"/>
      <c r="G59" s="259"/>
      <c r="H59" s="259"/>
      <c r="I59" s="260"/>
      <c r="J59" s="261" t="s">
        <v>135</v>
      </c>
      <c r="K59" s="262" t="s">
        <v>136</v>
      </c>
      <c r="L59" s="262"/>
      <c r="M59" s="262"/>
      <c r="N59" s="262"/>
      <c r="O59" s="262"/>
      <c r="P59" s="262"/>
      <c r="Q59" s="263"/>
    </row>
    <row r="60" customFormat="false" ht="51.75" hidden="false" customHeight="true" outlineLevel="0" collapsed="false">
      <c r="A60" s="264"/>
      <c r="B60" s="265" t="s">
        <v>137</v>
      </c>
      <c r="C60" s="266" t="s">
        <v>138</v>
      </c>
      <c r="D60" s="266"/>
      <c r="E60" s="266"/>
      <c r="F60" s="266"/>
      <c r="G60" s="266"/>
      <c r="H60" s="266"/>
      <c r="I60" s="267"/>
      <c r="J60" s="268" t="s">
        <v>139</v>
      </c>
      <c r="K60" s="269" t="s">
        <v>140</v>
      </c>
      <c r="L60" s="269"/>
      <c r="M60" s="269"/>
      <c r="N60" s="269"/>
      <c r="O60" s="269"/>
      <c r="P60" s="269"/>
      <c r="Q60" s="270"/>
    </row>
    <row r="61" customFormat="false" ht="36" hidden="false" customHeight="true" outlineLevel="0" collapsed="false">
      <c r="A61" s="271"/>
      <c r="B61" s="272" t="s">
        <v>141</v>
      </c>
      <c r="C61" s="273" t="s">
        <v>142</v>
      </c>
      <c r="D61" s="273"/>
      <c r="E61" s="273"/>
      <c r="F61" s="273"/>
      <c r="G61" s="273"/>
      <c r="H61" s="273"/>
      <c r="I61" s="274"/>
      <c r="J61" s="275" t="s">
        <v>143</v>
      </c>
      <c r="K61" s="276" t="s">
        <v>144</v>
      </c>
      <c r="L61" s="276"/>
      <c r="M61" s="276"/>
      <c r="N61" s="276"/>
      <c r="O61" s="276"/>
      <c r="P61" s="276"/>
      <c r="Q61" s="277"/>
    </row>
    <row r="62" customFormat="false" ht="36" hidden="false" customHeight="true" outlineLevel="0" collapsed="false">
      <c r="A62" s="278"/>
      <c r="B62" s="272" t="s">
        <v>145</v>
      </c>
      <c r="C62" s="273" t="s">
        <v>146</v>
      </c>
      <c r="D62" s="273"/>
      <c r="E62" s="273"/>
      <c r="F62" s="273"/>
      <c r="G62" s="273"/>
      <c r="H62" s="273"/>
      <c r="I62" s="279"/>
      <c r="J62" s="275" t="s">
        <v>147</v>
      </c>
      <c r="K62" s="276" t="s">
        <v>148</v>
      </c>
      <c r="L62" s="276"/>
      <c r="M62" s="276"/>
      <c r="N62" s="276"/>
      <c r="O62" s="276"/>
      <c r="P62" s="276"/>
      <c r="Q62" s="277"/>
    </row>
    <row r="63" customFormat="false" ht="36" hidden="false" customHeight="true" outlineLevel="0" collapsed="false">
      <c r="A63" s="280"/>
      <c r="B63" s="281"/>
      <c r="C63" s="282"/>
      <c r="D63" s="283"/>
      <c r="E63" s="283"/>
      <c r="F63" s="283"/>
      <c r="G63" s="283"/>
      <c r="H63" s="283"/>
      <c r="I63" s="284"/>
      <c r="J63" s="285"/>
      <c r="K63" s="282"/>
      <c r="L63" s="283"/>
      <c r="M63" s="283"/>
      <c r="N63" s="283"/>
      <c r="O63" s="283"/>
      <c r="P63" s="286"/>
      <c r="Q63" s="287"/>
    </row>
    <row r="64" customFormat="false" ht="7.5" hidden="false" customHeight="true" outlineLevel="0" collapsed="false">
      <c r="A64" s="288"/>
      <c r="B64" s="289" t="s">
        <v>149</v>
      </c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90"/>
    </row>
    <row r="65" customFormat="false" ht="25.5" hidden="false" customHeight="true" outlineLevel="0" collapsed="false">
      <c r="A65" s="291"/>
      <c r="B65" s="292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1"/>
      <c r="Q65" s="291"/>
    </row>
    <row r="66" customFormat="false" ht="6" hidden="false" customHeight="true" outlineLevel="0" collapsed="false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</row>
    <row r="67" customFormat="false" ht="1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98">
    <mergeCell ref="A1:P1"/>
    <mergeCell ref="A2:P2"/>
    <mergeCell ref="A3:P3"/>
    <mergeCell ref="A4:P4"/>
    <mergeCell ref="B5:P5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  <mergeCell ref="B9:D9"/>
    <mergeCell ref="E9:G9"/>
    <mergeCell ref="H9:J9"/>
    <mergeCell ref="K9:M9"/>
    <mergeCell ref="N9:P9"/>
    <mergeCell ref="B10:D10"/>
    <mergeCell ref="E10:G10"/>
    <mergeCell ref="H10:J10"/>
    <mergeCell ref="K10:M10"/>
    <mergeCell ref="N10:P10"/>
    <mergeCell ref="B11:D11"/>
    <mergeCell ref="E11:G11"/>
    <mergeCell ref="H11:J11"/>
    <mergeCell ref="K11:M11"/>
    <mergeCell ref="N11:P11"/>
    <mergeCell ref="B12:P12"/>
    <mergeCell ref="B13:E13"/>
    <mergeCell ref="F13:G13"/>
    <mergeCell ref="H13:K13"/>
    <mergeCell ref="L13:O13"/>
    <mergeCell ref="B14:P14"/>
    <mergeCell ref="B15:E15"/>
    <mergeCell ref="F15:I15"/>
    <mergeCell ref="J15:L15"/>
    <mergeCell ref="M15:P15"/>
    <mergeCell ref="B16:E16"/>
    <mergeCell ref="F16:I16"/>
    <mergeCell ref="J16:L16"/>
    <mergeCell ref="M16:P16"/>
    <mergeCell ref="B17:P17"/>
    <mergeCell ref="B18:P18"/>
    <mergeCell ref="H19:M19"/>
    <mergeCell ref="H20:M20"/>
    <mergeCell ref="H21:M21"/>
    <mergeCell ref="H22:M22"/>
    <mergeCell ref="H23:M23"/>
    <mergeCell ref="H24:M24"/>
    <mergeCell ref="H25:M25"/>
    <mergeCell ref="H26:M26"/>
    <mergeCell ref="H27:M27"/>
    <mergeCell ref="H28:M28"/>
    <mergeCell ref="B30:P30"/>
    <mergeCell ref="G31:P31"/>
    <mergeCell ref="G32:P32"/>
    <mergeCell ref="G33:P33"/>
    <mergeCell ref="G34:P34"/>
    <mergeCell ref="G35:P35"/>
    <mergeCell ref="G36:P36"/>
    <mergeCell ref="G37:P37"/>
    <mergeCell ref="G38:P38"/>
    <mergeCell ref="G39:P39"/>
    <mergeCell ref="G40:P40"/>
    <mergeCell ref="G41:P41"/>
    <mergeCell ref="G42:P42"/>
    <mergeCell ref="G43:P43"/>
    <mergeCell ref="G44:P44"/>
    <mergeCell ref="G45:P45"/>
    <mergeCell ref="G46:P46"/>
    <mergeCell ref="G47:P47"/>
    <mergeCell ref="B49:P49"/>
    <mergeCell ref="J50:P50"/>
    <mergeCell ref="J51:P51"/>
    <mergeCell ref="J52:P52"/>
    <mergeCell ref="J53:P53"/>
    <mergeCell ref="J54:P54"/>
    <mergeCell ref="J55:P55"/>
    <mergeCell ref="B57:P57"/>
    <mergeCell ref="C58:H58"/>
    <mergeCell ref="K58:P58"/>
    <mergeCell ref="C59:H59"/>
    <mergeCell ref="K59:P59"/>
    <mergeCell ref="C60:H60"/>
    <mergeCell ref="K60:P60"/>
    <mergeCell ref="C61:H61"/>
    <mergeCell ref="K61:P61"/>
    <mergeCell ref="C62:H62"/>
    <mergeCell ref="K62:P62"/>
    <mergeCell ref="B64:P64"/>
  </mergeCells>
  <printOptions headings="false" gridLines="false" gridLinesSet="true" horizontalCentered="tru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JFL Debt Model v11 | CONFIDENTIAL | Dashboard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M18" activeCellId="0" sqref="M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.21"/>
    <col collapsed="false" customWidth="true" hidden="false" outlineLevel="0" max="2" min="2" style="1" width="20.33"/>
    <col collapsed="false" customWidth="true" hidden="false" outlineLevel="0" max="3" min="3" style="1" width="29.66"/>
    <col collapsed="false" customWidth="true" hidden="false" outlineLevel="0" max="4" min="4" style="1" width="5.56"/>
    <col collapsed="false" customWidth="true" hidden="false" outlineLevel="0" max="5" min="5" style="1" width="13"/>
    <col collapsed="false" customWidth="true" hidden="false" outlineLevel="0" max="6" min="6" style="1" width="14.79"/>
    <col collapsed="false" customWidth="true" hidden="false" outlineLevel="0" max="7" min="7" style="1" width="16.67"/>
    <col collapsed="false" customWidth="true" hidden="false" outlineLevel="0" max="8" min="8" style="1" width="13.34"/>
    <col collapsed="false" customWidth="true" hidden="true" outlineLevel="0" max="11" min="9" style="1" width="0.78"/>
    <col collapsed="false" customWidth="true" hidden="false" outlineLevel="0" max="12" min="12" style="1" width="45.56"/>
  </cols>
  <sheetData>
    <row r="1" customFormat="false" ht="30" hidden="false" customHeight="true" outlineLevel="0" collapsed="false">
      <c r="A1" s="295" t="s">
        <v>150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</row>
    <row r="2" customFormat="false" ht="15.75" hidden="false" customHeight="true" outlineLevel="0" collapsed="false">
      <c r="A2" s="296" t="s">
        <v>151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</row>
    <row r="3" customFormat="false" ht="21.75" hidden="false" customHeight="true" outlineLevel="0" collapsed="false">
      <c r="A3" s="297" t="s">
        <v>152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</row>
    <row r="4" customFormat="false" ht="3.75" hidden="true" customHeight="true" outlineLevel="0" collapsed="false"/>
    <row r="5" customFormat="false" ht="15" hidden="true" customHeight="true" outlineLevel="0" collapsed="false">
      <c r="A5" s="298"/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</row>
    <row r="6" customFormat="false" ht="21.75" hidden="false" customHeight="true" outlineLevel="0" collapsed="false">
      <c r="A6" s="299" t="s">
        <v>153</v>
      </c>
      <c r="B6" s="299" t="s">
        <v>82</v>
      </c>
      <c r="C6" s="299" t="s">
        <v>154</v>
      </c>
      <c r="D6" s="299" t="s">
        <v>155</v>
      </c>
      <c r="E6" s="299" t="s">
        <v>156</v>
      </c>
      <c r="F6" s="299" t="s">
        <v>157</v>
      </c>
      <c r="G6" s="299" t="s">
        <v>158</v>
      </c>
      <c r="H6" s="299" t="s">
        <v>159</v>
      </c>
      <c r="I6" s="300"/>
      <c r="J6" s="300"/>
      <c r="K6" s="300"/>
      <c r="L6" s="299" t="s">
        <v>160</v>
      </c>
    </row>
    <row r="7" customFormat="false" ht="18" hidden="false" customHeight="true" outlineLevel="0" collapsed="false">
      <c r="A7" s="301" t="n">
        <v>4</v>
      </c>
      <c r="B7" s="302" t="s">
        <v>161</v>
      </c>
      <c r="C7" s="301" t="s">
        <v>162</v>
      </c>
      <c r="D7" s="301" t="s">
        <v>163</v>
      </c>
      <c r="E7" s="303" t="n">
        <v>1.25</v>
      </c>
      <c r="F7" s="303" t="n">
        <v>1.80088294651867</v>
      </c>
      <c r="G7" s="304" t="s">
        <v>164</v>
      </c>
      <c r="H7" s="301" t="s">
        <v>165</v>
      </c>
      <c r="I7" s="303"/>
      <c r="J7" s="301"/>
      <c r="K7" s="301"/>
      <c r="L7" s="305" t="s">
        <v>166</v>
      </c>
    </row>
    <row r="8" customFormat="false" ht="18" hidden="false" customHeight="true" outlineLevel="0" collapsed="false">
      <c r="A8" s="306" t="n">
        <v>5</v>
      </c>
      <c r="B8" s="307" t="s">
        <v>167</v>
      </c>
      <c r="C8" s="306" t="s">
        <v>168</v>
      </c>
      <c r="D8" s="306" t="s">
        <v>163</v>
      </c>
      <c r="E8" s="308" t="n">
        <v>1.2</v>
      </c>
      <c r="F8" s="308" t="n">
        <v>1.5100186344507</v>
      </c>
      <c r="G8" s="304" t="s">
        <v>164</v>
      </c>
      <c r="H8" s="306" t="s">
        <v>169</v>
      </c>
      <c r="I8" s="308"/>
      <c r="J8" s="306"/>
      <c r="K8" s="306"/>
      <c r="L8" s="309" t="s">
        <v>166</v>
      </c>
    </row>
    <row r="9" customFormat="false" ht="18" hidden="false" customHeight="true" outlineLevel="0" collapsed="false">
      <c r="A9" s="301" t="n">
        <v>6</v>
      </c>
      <c r="B9" s="310" t="s">
        <v>167</v>
      </c>
      <c r="C9" s="301" t="s">
        <v>170</v>
      </c>
      <c r="D9" s="301" t="s">
        <v>163</v>
      </c>
      <c r="E9" s="303" t="n">
        <v>2</v>
      </c>
      <c r="F9" s="303" t="n">
        <v>3.65488279758723</v>
      </c>
      <c r="G9" s="304" t="s">
        <v>164</v>
      </c>
      <c r="H9" s="301" t="s">
        <v>171</v>
      </c>
      <c r="I9" s="303"/>
      <c r="J9" s="301"/>
      <c r="K9" s="301"/>
      <c r="L9" s="305" t="s">
        <v>166</v>
      </c>
    </row>
    <row r="10" customFormat="false" ht="18" hidden="false" customHeight="true" outlineLevel="0" collapsed="false">
      <c r="A10" s="306" t="n">
        <v>7</v>
      </c>
      <c r="B10" s="307" t="s">
        <v>167</v>
      </c>
      <c r="C10" s="306" t="s">
        <v>172</v>
      </c>
      <c r="D10" s="306" t="s">
        <v>173</v>
      </c>
      <c r="E10" s="308" t="n">
        <v>4</v>
      </c>
      <c r="F10" s="308" t="n">
        <v>2.4944117155511</v>
      </c>
      <c r="G10" s="304" t="s">
        <v>164</v>
      </c>
      <c r="H10" s="306" t="s">
        <v>174</v>
      </c>
      <c r="I10" s="306"/>
      <c r="J10" s="306"/>
      <c r="K10" s="306"/>
      <c r="L10" s="309" t="s">
        <v>166</v>
      </c>
    </row>
    <row r="11" customFormat="false" ht="18" hidden="false" customHeight="true" outlineLevel="0" collapsed="false">
      <c r="A11" s="301" t="n">
        <v>8</v>
      </c>
      <c r="B11" s="310" t="s">
        <v>167</v>
      </c>
      <c r="C11" s="301" t="s">
        <v>175</v>
      </c>
      <c r="D11" s="301" t="s">
        <v>173</v>
      </c>
      <c r="E11" s="303" t="n">
        <v>2</v>
      </c>
      <c r="F11" s="303" t="n">
        <v>1.09225421364374</v>
      </c>
      <c r="G11" s="304" t="s">
        <v>164</v>
      </c>
      <c r="H11" s="301" t="s">
        <v>176</v>
      </c>
      <c r="I11" s="303"/>
      <c r="J11" s="301"/>
      <c r="K11" s="301"/>
      <c r="L11" s="305" t="s">
        <v>166</v>
      </c>
    </row>
    <row r="12" customFormat="false" ht="18" hidden="false" customHeight="true" outlineLevel="0" collapsed="false">
      <c r="A12" s="311" t="n">
        <v>9</v>
      </c>
      <c r="B12" s="312" t="s">
        <v>88</v>
      </c>
      <c r="C12" s="311" t="s">
        <v>177</v>
      </c>
      <c r="D12" s="311" t="s">
        <v>163</v>
      </c>
      <c r="E12" s="313" t="n">
        <v>1.25</v>
      </c>
      <c r="F12" s="313" t="n">
        <v>1.80088294651867</v>
      </c>
      <c r="G12" s="304" t="s">
        <v>164</v>
      </c>
      <c r="H12" s="311" t="s">
        <v>165</v>
      </c>
      <c r="I12" s="308"/>
      <c r="J12" s="306"/>
      <c r="K12" s="306"/>
      <c r="L12" s="314" t="s">
        <v>166</v>
      </c>
    </row>
    <row r="13" customFormat="false" ht="18" hidden="false" customHeight="true" outlineLevel="0" collapsed="false">
      <c r="A13" s="311" t="n">
        <v>10</v>
      </c>
      <c r="B13" s="312" t="s">
        <v>90</v>
      </c>
      <c r="C13" s="311" t="s">
        <v>162</v>
      </c>
      <c r="D13" s="311" t="s">
        <v>163</v>
      </c>
      <c r="E13" s="313" t="n">
        <v>1.25</v>
      </c>
      <c r="F13" s="313" t="n">
        <v>1.80088294651867</v>
      </c>
      <c r="G13" s="304" t="s">
        <v>164</v>
      </c>
      <c r="H13" s="311" t="s">
        <v>165</v>
      </c>
      <c r="I13" s="303"/>
      <c r="J13" s="301"/>
      <c r="K13" s="301"/>
      <c r="L13" s="314" t="s">
        <v>166</v>
      </c>
    </row>
    <row r="14" customFormat="false" ht="18" hidden="false" customHeight="true" outlineLevel="0" collapsed="false">
      <c r="A14" s="306" t="n">
        <v>11</v>
      </c>
      <c r="B14" s="307" t="s">
        <v>167</v>
      </c>
      <c r="C14" s="306" t="s">
        <v>168</v>
      </c>
      <c r="D14" s="306" t="s">
        <v>163</v>
      </c>
      <c r="E14" s="308" t="n">
        <v>1.2</v>
      </c>
      <c r="F14" s="308" t="n">
        <v>1.5100186344507</v>
      </c>
      <c r="G14" s="304" t="s">
        <v>164</v>
      </c>
      <c r="H14" s="306" t="s">
        <v>169</v>
      </c>
      <c r="I14" s="308"/>
      <c r="J14" s="306"/>
      <c r="K14" s="306"/>
      <c r="L14" s="309" t="s">
        <v>166</v>
      </c>
    </row>
    <row r="15" customFormat="false" ht="18" hidden="false" customHeight="true" outlineLevel="0" collapsed="false">
      <c r="A15" s="301" t="n">
        <v>12</v>
      </c>
      <c r="B15" s="310" t="s">
        <v>167</v>
      </c>
      <c r="C15" s="301" t="s">
        <v>170</v>
      </c>
      <c r="D15" s="301" t="s">
        <v>163</v>
      </c>
      <c r="E15" s="303" t="n">
        <v>2</v>
      </c>
      <c r="F15" s="303" t="n">
        <v>3.65488279758723</v>
      </c>
      <c r="G15" s="304" t="s">
        <v>164</v>
      </c>
      <c r="H15" s="301" t="s">
        <v>171</v>
      </c>
      <c r="I15" s="303"/>
      <c r="J15" s="301"/>
      <c r="K15" s="301"/>
      <c r="L15" s="305" t="s">
        <v>166</v>
      </c>
    </row>
    <row r="16" customFormat="false" ht="18" hidden="false" customHeight="true" outlineLevel="0" collapsed="false">
      <c r="A16" s="306" t="n">
        <v>13</v>
      </c>
      <c r="B16" s="307" t="s">
        <v>167</v>
      </c>
      <c r="C16" s="306" t="s">
        <v>172</v>
      </c>
      <c r="D16" s="306" t="s">
        <v>173</v>
      </c>
      <c r="E16" s="308" t="n">
        <v>4</v>
      </c>
      <c r="F16" s="308" t="n">
        <v>2.4944117155511</v>
      </c>
      <c r="G16" s="304" t="s">
        <v>164</v>
      </c>
      <c r="H16" s="306" t="s">
        <v>174</v>
      </c>
      <c r="I16" s="306"/>
      <c r="J16" s="306"/>
      <c r="K16" s="306"/>
      <c r="L16" s="309" t="s">
        <v>166</v>
      </c>
    </row>
    <row r="17" customFormat="false" ht="18" hidden="false" customHeight="true" outlineLevel="0" collapsed="false">
      <c r="A17" s="301" t="n">
        <v>14</v>
      </c>
      <c r="B17" s="310" t="s">
        <v>167</v>
      </c>
      <c r="C17" s="301" t="s">
        <v>175</v>
      </c>
      <c r="D17" s="301" t="s">
        <v>173</v>
      </c>
      <c r="E17" s="303" t="n">
        <v>2</v>
      </c>
      <c r="F17" s="303" t="n">
        <v>1.09225421364374</v>
      </c>
      <c r="G17" s="304" t="s">
        <v>164</v>
      </c>
      <c r="H17" s="301" t="s">
        <v>176</v>
      </c>
      <c r="I17" s="303"/>
      <c r="J17" s="301"/>
      <c r="K17" s="301"/>
      <c r="L17" s="305" t="s">
        <v>166</v>
      </c>
    </row>
    <row r="18" customFormat="false" ht="18" hidden="false" customHeight="true" outlineLevel="0" collapsed="false">
      <c r="A18" s="306" t="n">
        <v>15</v>
      </c>
      <c r="B18" s="307" t="s">
        <v>167</v>
      </c>
      <c r="C18" s="306" t="s">
        <v>178</v>
      </c>
      <c r="D18" s="306" t="s">
        <v>163</v>
      </c>
      <c r="E18" s="308" t="n">
        <v>1.5</v>
      </c>
      <c r="F18" s="308" t="n">
        <v>1.80088294651867</v>
      </c>
      <c r="G18" s="304" t="s">
        <v>164</v>
      </c>
      <c r="H18" s="306" t="s">
        <v>179</v>
      </c>
      <c r="I18" s="308"/>
      <c r="J18" s="306"/>
      <c r="K18" s="306"/>
      <c r="L18" s="309" t="s">
        <v>166</v>
      </c>
    </row>
    <row r="19" customFormat="false" ht="18" hidden="false" customHeight="true" outlineLevel="0" collapsed="false">
      <c r="A19" s="311" t="n">
        <v>16</v>
      </c>
      <c r="B19" s="312" t="s">
        <v>91</v>
      </c>
      <c r="C19" s="311" t="s">
        <v>180</v>
      </c>
      <c r="D19" s="311" t="s">
        <v>163</v>
      </c>
      <c r="E19" s="313" t="n">
        <v>1.25</v>
      </c>
      <c r="F19" s="313" t="n">
        <f aca="false">('TEV Inputs'!I8 - 'TEV Inputs'!I11 - 'TEV Inputs'!I14) / ('TEV Inputs'!I40 + 'TEV Inputs'!I12)</f>
        <v>2.04798767232118</v>
      </c>
      <c r="G19" s="304" t="str">
        <f aca="false">IFERROR(IF(D19="&gt;=",IF(F19&gt;=E19,IF((F19-E19)/MAX(ABS(E19),1)&gt;0.1,"Compliant","Near Breach"),"Breached"),IF(F19&lt;=E19,IF((E19-F19)/MAX(ABS(E19),1)&gt;0.1,"Compliant","Near Breach"),"Breached")),"Pending")</f>
        <v>Compliant</v>
      </c>
      <c r="H19" s="311" t="s">
        <v>181</v>
      </c>
      <c r="I19" s="303"/>
      <c r="J19" s="301"/>
      <c r="K19" s="301"/>
      <c r="L19" s="314" t="s">
        <v>182</v>
      </c>
    </row>
    <row r="20" customFormat="false" ht="18" hidden="false" customHeight="true" outlineLevel="0" collapsed="false">
      <c r="A20" s="306" t="n">
        <v>17</v>
      </c>
      <c r="B20" s="307" t="s">
        <v>167</v>
      </c>
      <c r="C20" s="306" t="s">
        <v>168</v>
      </c>
      <c r="D20" s="306" t="s">
        <v>163</v>
      </c>
      <c r="E20" s="308" t="n">
        <v>1.2</v>
      </c>
      <c r="F20" s="308" t="n">
        <v>1.5100186344507</v>
      </c>
      <c r="G20" s="304" t="s">
        <v>164</v>
      </c>
      <c r="H20" s="306" t="s">
        <v>169</v>
      </c>
      <c r="I20" s="308"/>
      <c r="J20" s="306"/>
      <c r="K20" s="306"/>
      <c r="L20" s="309" t="s">
        <v>166</v>
      </c>
    </row>
    <row r="21" customFormat="false" ht="18" hidden="false" customHeight="true" outlineLevel="0" collapsed="false">
      <c r="A21" s="301" t="n">
        <v>18</v>
      </c>
      <c r="B21" s="310" t="s">
        <v>167</v>
      </c>
      <c r="C21" s="301" t="s">
        <v>170</v>
      </c>
      <c r="D21" s="301" t="s">
        <v>163</v>
      </c>
      <c r="E21" s="303" t="n">
        <v>2</v>
      </c>
      <c r="F21" s="303" t="n">
        <v>3.65488279758723</v>
      </c>
      <c r="G21" s="304" t="s">
        <v>164</v>
      </c>
      <c r="H21" s="301" t="s">
        <v>171</v>
      </c>
      <c r="I21" s="303"/>
      <c r="J21" s="301"/>
      <c r="K21" s="301"/>
      <c r="L21" s="305" t="s">
        <v>166</v>
      </c>
    </row>
    <row r="22" customFormat="false" ht="18" hidden="false" customHeight="true" outlineLevel="0" collapsed="false">
      <c r="A22" s="306" t="n">
        <v>19</v>
      </c>
      <c r="B22" s="307" t="s">
        <v>167</v>
      </c>
      <c r="C22" s="306" t="s">
        <v>172</v>
      </c>
      <c r="D22" s="306" t="s">
        <v>173</v>
      </c>
      <c r="E22" s="308" t="n">
        <v>4</v>
      </c>
      <c r="F22" s="308" t="n">
        <v>2.4944117155511</v>
      </c>
      <c r="G22" s="304" t="s">
        <v>164</v>
      </c>
      <c r="H22" s="306" t="s">
        <v>174</v>
      </c>
      <c r="I22" s="306"/>
      <c r="J22" s="306"/>
      <c r="K22" s="306"/>
      <c r="L22" s="309" t="s">
        <v>166</v>
      </c>
    </row>
    <row r="23" customFormat="false" ht="18" hidden="false" customHeight="true" outlineLevel="0" collapsed="false">
      <c r="A23" s="301" t="n">
        <v>20</v>
      </c>
      <c r="B23" s="310" t="s">
        <v>167</v>
      </c>
      <c r="C23" s="301" t="s">
        <v>175</v>
      </c>
      <c r="D23" s="301" t="s">
        <v>173</v>
      </c>
      <c r="E23" s="303" t="n">
        <v>2</v>
      </c>
      <c r="F23" s="303" t="n">
        <v>1.09225421364374</v>
      </c>
      <c r="G23" s="304" t="s">
        <v>164</v>
      </c>
      <c r="H23" s="301" t="s">
        <v>176</v>
      </c>
      <c r="I23" s="303"/>
      <c r="J23" s="301"/>
      <c r="K23" s="301"/>
      <c r="L23" s="305" t="s">
        <v>166</v>
      </c>
    </row>
    <row r="24" customFormat="false" ht="18" hidden="false" customHeight="true" outlineLevel="0" collapsed="false">
      <c r="A24" s="306" t="n">
        <v>21</v>
      </c>
      <c r="B24" s="307" t="s">
        <v>167</v>
      </c>
      <c r="C24" s="306" t="s">
        <v>183</v>
      </c>
      <c r="D24" s="306" t="s">
        <v>173</v>
      </c>
      <c r="E24" s="315" t="n">
        <v>337.5</v>
      </c>
      <c r="F24" s="308" t="n">
        <v>0</v>
      </c>
      <c r="G24" s="304" t="s">
        <v>164</v>
      </c>
      <c r="H24" s="306" t="s">
        <v>184</v>
      </c>
      <c r="I24" s="315"/>
      <c r="J24" s="306"/>
      <c r="K24" s="306"/>
      <c r="L24" s="309" t="s">
        <v>185</v>
      </c>
    </row>
    <row r="25" customFormat="false" ht="18" hidden="false" customHeight="true" outlineLevel="0" collapsed="false">
      <c r="A25" s="311" t="n">
        <v>22</v>
      </c>
      <c r="B25" s="312" t="s">
        <v>95</v>
      </c>
      <c r="C25" s="311" t="s">
        <v>162</v>
      </c>
      <c r="D25" s="311" t="s">
        <v>163</v>
      </c>
      <c r="E25" s="313" t="n">
        <v>1.25</v>
      </c>
      <c r="F25" s="313" t="n">
        <v>1.80088294651867</v>
      </c>
      <c r="G25" s="304" t="s">
        <v>164</v>
      </c>
      <c r="H25" s="311" t="s">
        <v>165</v>
      </c>
      <c r="I25" s="303"/>
      <c r="J25" s="301"/>
      <c r="K25" s="301"/>
      <c r="L25" s="314" t="s">
        <v>166</v>
      </c>
    </row>
    <row r="26" customFormat="false" ht="18" hidden="false" customHeight="true" outlineLevel="0" collapsed="false">
      <c r="A26" s="306" t="n">
        <v>23</v>
      </c>
      <c r="B26" s="307" t="s">
        <v>167</v>
      </c>
      <c r="C26" s="306" t="s">
        <v>168</v>
      </c>
      <c r="D26" s="306" t="s">
        <v>163</v>
      </c>
      <c r="E26" s="308" t="n">
        <v>1.2</v>
      </c>
      <c r="F26" s="308" t="n">
        <v>1.5100186344507</v>
      </c>
      <c r="G26" s="304" t="s">
        <v>164</v>
      </c>
      <c r="H26" s="306" t="s">
        <v>169</v>
      </c>
      <c r="I26" s="308"/>
      <c r="J26" s="306"/>
      <c r="K26" s="306"/>
      <c r="L26" s="309" t="s">
        <v>166</v>
      </c>
    </row>
    <row r="27" customFormat="false" ht="18" hidden="false" customHeight="true" outlineLevel="0" collapsed="false">
      <c r="A27" s="301" t="n">
        <v>24</v>
      </c>
      <c r="B27" s="310" t="s">
        <v>167</v>
      </c>
      <c r="C27" s="301" t="s">
        <v>170</v>
      </c>
      <c r="D27" s="301" t="s">
        <v>163</v>
      </c>
      <c r="E27" s="303" t="n">
        <v>2</v>
      </c>
      <c r="F27" s="303" t="n">
        <v>3.65488279758723</v>
      </c>
      <c r="G27" s="304" t="s">
        <v>164</v>
      </c>
      <c r="H27" s="301" t="s">
        <v>171</v>
      </c>
      <c r="I27" s="303"/>
      <c r="J27" s="301"/>
      <c r="K27" s="301"/>
      <c r="L27" s="305" t="s">
        <v>166</v>
      </c>
    </row>
    <row r="28" customFormat="false" ht="18" hidden="false" customHeight="true" outlineLevel="0" collapsed="false">
      <c r="A28" s="306" t="n">
        <v>25</v>
      </c>
      <c r="B28" s="307" t="s">
        <v>167</v>
      </c>
      <c r="C28" s="306" t="s">
        <v>172</v>
      </c>
      <c r="D28" s="306" t="s">
        <v>173</v>
      </c>
      <c r="E28" s="308" t="n">
        <v>4</v>
      </c>
      <c r="F28" s="308" t="n">
        <v>2.4944117155511</v>
      </c>
      <c r="G28" s="304" t="s">
        <v>164</v>
      </c>
      <c r="H28" s="306" t="s">
        <v>174</v>
      </c>
      <c r="I28" s="306"/>
      <c r="J28" s="306"/>
      <c r="K28" s="306"/>
      <c r="L28" s="309" t="s">
        <v>166</v>
      </c>
    </row>
    <row r="29" customFormat="false" ht="18" hidden="false" customHeight="true" outlineLevel="0" collapsed="false">
      <c r="A29" s="301" t="n">
        <v>26</v>
      </c>
      <c r="B29" s="310" t="s">
        <v>167</v>
      </c>
      <c r="C29" s="301" t="s">
        <v>175</v>
      </c>
      <c r="D29" s="301" t="s">
        <v>173</v>
      </c>
      <c r="E29" s="303" t="n">
        <v>2</v>
      </c>
      <c r="F29" s="303" t="n">
        <v>1.09225421364374</v>
      </c>
      <c r="G29" s="304" t="s">
        <v>164</v>
      </c>
      <c r="H29" s="301" t="s">
        <v>176</v>
      </c>
      <c r="I29" s="303"/>
      <c r="J29" s="301"/>
      <c r="K29" s="301"/>
      <c r="L29" s="305" t="s">
        <v>166</v>
      </c>
    </row>
    <row r="30" customFormat="false" ht="18" hidden="false" customHeight="true" outlineLevel="0" collapsed="false">
      <c r="A30" s="311" t="n">
        <v>27</v>
      </c>
      <c r="B30" s="312" t="s">
        <v>89</v>
      </c>
      <c r="C30" s="311" t="s">
        <v>186</v>
      </c>
      <c r="D30" s="311" t="s">
        <v>163</v>
      </c>
      <c r="E30" s="316" t="n">
        <v>1363</v>
      </c>
      <c r="F30" s="316" t="n">
        <v>2186.35</v>
      </c>
      <c r="G30" s="304" t="s">
        <v>164</v>
      </c>
      <c r="H30" s="311" t="s">
        <v>187</v>
      </c>
      <c r="I30" s="315"/>
      <c r="J30" s="306"/>
      <c r="K30" s="306"/>
      <c r="L30" s="314" t="s">
        <v>188</v>
      </c>
    </row>
    <row r="31" customFormat="false" ht="18" hidden="false" customHeight="true" outlineLevel="0" collapsed="false">
      <c r="A31" s="301" t="n">
        <v>28</v>
      </c>
      <c r="B31" s="310" t="s">
        <v>167</v>
      </c>
      <c r="C31" s="301" t="s">
        <v>189</v>
      </c>
      <c r="D31" s="301" t="s">
        <v>163</v>
      </c>
      <c r="E31" s="303" t="n">
        <v>2.5</v>
      </c>
      <c r="F31" s="317" t="n">
        <v>11.381328</v>
      </c>
      <c r="G31" s="304" t="s">
        <v>164</v>
      </c>
      <c r="H31" s="301" t="s">
        <v>190</v>
      </c>
      <c r="I31" s="301"/>
      <c r="J31" s="318"/>
      <c r="K31" s="301"/>
      <c r="L31" s="305" t="s">
        <v>191</v>
      </c>
    </row>
    <row r="32" customFormat="false" ht="18" hidden="false" customHeight="true" outlineLevel="0" collapsed="false">
      <c r="A32" s="306" t="n">
        <v>29</v>
      </c>
      <c r="B32" s="307" t="s">
        <v>167</v>
      </c>
      <c r="C32" s="306" t="s">
        <v>192</v>
      </c>
      <c r="D32" s="306" t="s">
        <v>163</v>
      </c>
      <c r="E32" s="315" t="n">
        <v>10</v>
      </c>
      <c r="F32" s="315" t="n">
        <v>14</v>
      </c>
      <c r="G32" s="304" t="s">
        <v>164</v>
      </c>
      <c r="H32" s="306" t="s">
        <v>193</v>
      </c>
      <c r="I32" s="315"/>
      <c r="J32" s="306"/>
      <c r="K32" s="306"/>
      <c r="L32" s="309" t="s">
        <v>194</v>
      </c>
    </row>
    <row r="33" customFormat="false" ht="18" hidden="false" customHeight="true" outlineLevel="0" collapsed="false">
      <c r="A33" s="311" t="n">
        <v>30</v>
      </c>
      <c r="B33" s="312" t="s">
        <v>195</v>
      </c>
      <c r="C33" s="311" t="s">
        <v>196</v>
      </c>
      <c r="D33" s="311" t="s">
        <v>173</v>
      </c>
      <c r="E33" s="313" t="n">
        <v>4</v>
      </c>
      <c r="F33" s="313" t="n">
        <v>2.81477187264979</v>
      </c>
      <c r="G33" s="304" t="s">
        <v>164</v>
      </c>
      <c r="H33" s="311" t="s">
        <v>197</v>
      </c>
      <c r="I33" s="301"/>
      <c r="J33" s="301"/>
      <c r="K33" s="301"/>
      <c r="L33" s="314" t="s">
        <v>166</v>
      </c>
    </row>
    <row r="34" customFormat="false" ht="18" hidden="false" customHeight="true" outlineLevel="0" collapsed="false">
      <c r="A34" s="306" t="n">
        <v>31</v>
      </c>
      <c r="B34" s="307" t="s">
        <v>167</v>
      </c>
      <c r="C34" s="306" t="s">
        <v>198</v>
      </c>
      <c r="D34" s="306" t="s">
        <v>173</v>
      </c>
      <c r="E34" s="308" t="n">
        <v>2.5</v>
      </c>
      <c r="F34" s="308" t="n">
        <v>1.72161364831797</v>
      </c>
      <c r="G34" s="304" t="s">
        <v>164</v>
      </c>
      <c r="H34" s="306" t="s">
        <v>199</v>
      </c>
      <c r="I34" s="308"/>
      <c r="J34" s="306"/>
      <c r="K34" s="306"/>
      <c r="L34" s="309" t="s">
        <v>166</v>
      </c>
    </row>
    <row r="35" customFormat="false" ht="18" hidden="false" customHeight="true" outlineLevel="0" collapsed="false">
      <c r="A35" s="301" t="n">
        <v>32</v>
      </c>
      <c r="B35" s="310" t="s">
        <v>167</v>
      </c>
      <c r="C35" s="301" t="s">
        <v>200</v>
      </c>
      <c r="D35" s="301" t="s">
        <v>163</v>
      </c>
      <c r="E35" s="303" t="n">
        <v>1.1</v>
      </c>
      <c r="F35" s="303" t="n">
        <v>1.88786337209302</v>
      </c>
      <c r="G35" s="304" t="s">
        <v>164</v>
      </c>
      <c r="H35" s="301" t="s">
        <v>201</v>
      </c>
      <c r="I35" s="303"/>
      <c r="J35" s="301"/>
      <c r="K35" s="301"/>
      <c r="L35" s="305" t="s">
        <v>166</v>
      </c>
    </row>
    <row r="36" customFormat="false" ht="18" hidden="false" customHeight="true" outlineLevel="0" collapsed="false">
      <c r="A36" s="306" t="n">
        <v>33</v>
      </c>
      <c r="B36" s="307" t="s">
        <v>167</v>
      </c>
      <c r="C36" s="306" t="s">
        <v>202</v>
      </c>
      <c r="D36" s="306" t="s">
        <v>163</v>
      </c>
      <c r="E36" s="315" t="n">
        <v>14</v>
      </c>
      <c r="F36" s="315" t="n">
        <v>14</v>
      </c>
      <c r="G36" s="319" t="s">
        <v>203</v>
      </c>
      <c r="H36" s="306" t="s">
        <v>204</v>
      </c>
      <c r="I36" s="315"/>
      <c r="J36" s="306"/>
      <c r="K36" s="306"/>
      <c r="L36" s="309" t="s">
        <v>205</v>
      </c>
    </row>
    <row r="37" customFormat="false" ht="18" hidden="false" customHeight="true" outlineLevel="0" collapsed="false">
      <c r="A37" s="311" t="n">
        <v>35</v>
      </c>
      <c r="B37" s="312" t="s">
        <v>94</v>
      </c>
      <c r="C37" s="311" t="s">
        <v>206</v>
      </c>
      <c r="D37" s="311" t="s">
        <v>163</v>
      </c>
      <c r="E37" s="313" t="n">
        <v>2.5</v>
      </c>
      <c r="F37" s="316" t="n">
        <v>11.381328</v>
      </c>
      <c r="G37" s="320" t="s">
        <v>207</v>
      </c>
      <c r="H37" s="311" t="s">
        <v>190</v>
      </c>
      <c r="I37" s="301"/>
      <c r="J37" s="318"/>
      <c r="K37" s="301"/>
      <c r="L37" s="314" t="s">
        <v>208</v>
      </c>
    </row>
    <row r="38" customFormat="false" ht="18" hidden="false" customHeight="true" outlineLevel="0" collapsed="false">
      <c r="A38" s="306" t="n">
        <v>36</v>
      </c>
      <c r="B38" s="307" t="s">
        <v>167</v>
      </c>
      <c r="C38" s="306" t="s">
        <v>162</v>
      </c>
      <c r="D38" s="306" t="s">
        <v>163</v>
      </c>
      <c r="E38" s="308" t="n">
        <v>1.25</v>
      </c>
      <c r="F38" s="308" t="n">
        <v>1.80088294651867</v>
      </c>
      <c r="G38" s="304" t="s">
        <v>164</v>
      </c>
      <c r="H38" s="306" t="s">
        <v>165</v>
      </c>
      <c r="I38" s="308"/>
      <c r="J38" s="306"/>
      <c r="K38" s="306"/>
      <c r="L38" s="309" t="s">
        <v>166</v>
      </c>
    </row>
    <row r="39" customFormat="false" ht="18" hidden="false" customHeight="true" outlineLevel="0" collapsed="false">
      <c r="A39" s="301" t="n">
        <v>37</v>
      </c>
      <c r="B39" s="310" t="s">
        <v>167</v>
      </c>
      <c r="C39" s="301" t="s">
        <v>168</v>
      </c>
      <c r="D39" s="301" t="s">
        <v>163</v>
      </c>
      <c r="E39" s="303" t="n">
        <v>1.2</v>
      </c>
      <c r="F39" s="303" t="n">
        <v>1.5100186344507</v>
      </c>
      <c r="G39" s="304" t="s">
        <v>164</v>
      </c>
      <c r="H39" s="301" t="s">
        <v>169</v>
      </c>
      <c r="I39" s="303"/>
      <c r="J39" s="301"/>
      <c r="K39" s="301"/>
      <c r="L39" s="305" t="s">
        <v>166</v>
      </c>
    </row>
    <row r="40" customFormat="false" ht="18" hidden="false" customHeight="true" outlineLevel="0" collapsed="false">
      <c r="A40" s="306" t="n">
        <v>38</v>
      </c>
      <c r="B40" s="307" t="s">
        <v>167</v>
      </c>
      <c r="C40" s="306" t="s">
        <v>170</v>
      </c>
      <c r="D40" s="306" t="s">
        <v>163</v>
      </c>
      <c r="E40" s="308" t="n">
        <v>2</v>
      </c>
      <c r="F40" s="308" t="n">
        <v>3.65488279758723</v>
      </c>
      <c r="G40" s="304" t="s">
        <v>164</v>
      </c>
      <c r="H40" s="306" t="s">
        <v>171</v>
      </c>
      <c r="I40" s="308"/>
      <c r="J40" s="306"/>
      <c r="K40" s="306"/>
      <c r="L40" s="309" t="s">
        <v>166</v>
      </c>
    </row>
    <row r="41" customFormat="false" ht="18" hidden="false" customHeight="true" outlineLevel="0" collapsed="false">
      <c r="A41" s="301" t="n">
        <v>39</v>
      </c>
      <c r="B41" s="310" t="s">
        <v>167</v>
      </c>
      <c r="C41" s="301" t="s">
        <v>172</v>
      </c>
      <c r="D41" s="301" t="s">
        <v>173</v>
      </c>
      <c r="E41" s="303" t="n">
        <v>4</v>
      </c>
      <c r="F41" s="303" t="n">
        <v>2.4944117155511</v>
      </c>
      <c r="G41" s="304" t="s">
        <v>164</v>
      </c>
      <c r="H41" s="301" t="s">
        <v>174</v>
      </c>
      <c r="I41" s="301"/>
      <c r="J41" s="301"/>
      <c r="K41" s="301"/>
      <c r="L41" s="305" t="s">
        <v>166</v>
      </c>
    </row>
    <row r="42" customFormat="false" ht="18" hidden="false" customHeight="true" outlineLevel="0" collapsed="false">
      <c r="A42" s="306" t="n">
        <v>40</v>
      </c>
      <c r="B42" s="307" t="s">
        <v>167</v>
      </c>
      <c r="C42" s="306" t="s">
        <v>175</v>
      </c>
      <c r="D42" s="306" t="s">
        <v>173</v>
      </c>
      <c r="E42" s="308" t="n">
        <v>2</v>
      </c>
      <c r="F42" s="308" t="n">
        <v>1.09225421364374</v>
      </c>
      <c r="G42" s="304" t="s">
        <v>164</v>
      </c>
      <c r="H42" s="306" t="s">
        <v>176</v>
      </c>
      <c r="I42" s="308"/>
      <c r="J42" s="306"/>
      <c r="K42" s="306"/>
      <c r="L42" s="309" t="s">
        <v>166</v>
      </c>
    </row>
    <row r="43" customFormat="false" ht="18" hidden="false" customHeight="true" outlineLevel="0" collapsed="false">
      <c r="A43" s="301" t="n">
        <v>41</v>
      </c>
      <c r="B43" s="310" t="s">
        <v>167</v>
      </c>
      <c r="C43" s="301" t="s">
        <v>196</v>
      </c>
      <c r="D43" s="301" t="s">
        <v>173</v>
      </c>
      <c r="E43" s="303" t="n">
        <v>4.25</v>
      </c>
      <c r="F43" s="303" t="n">
        <v>2.81477187264979</v>
      </c>
      <c r="G43" s="304" t="s">
        <v>164</v>
      </c>
      <c r="H43" s="301" t="s">
        <v>209</v>
      </c>
      <c r="I43" s="301"/>
      <c r="J43" s="301"/>
      <c r="K43" s="301"/>
      <c r="L43" s="305" t="s">
        <v>166</v>
      </c>
    </row>
    <row r="44" customFormat="false" ht="18" hidden="false" customHeight="true" outlineLevel="0" collapsed="false">
      <c r="A44" s="311" t="n">
        <v>43</v>
      </c>
      <c r="B44" s="312" t="s">
        <v>210</v>
      </c>
      <c r="C44" s="311" t="s">
        <v>211</v>
      </c>
      <c r="D44" s="311" t="s">
        <v>173</v>
      </c>
      <c r="E44" s="313" t="n">
        <v>0.4</v>
      </c>
      <c r="F44" s="321" t="n">
        <v>0.1241</v>
      </c>
      <c r="G44" s="304" t="s">
        <v>164</v>
      </c>
      <c r="H44" s="311" t="s">
        <v>212</v>
      </c>
      <c r="I44" s="306"/>
      <c r="J44" s="322"/>
      <c r="K44" s="306"/>
      <c r="L44" s="314" t="s">
        <v>213</v>
      </c>
    </row>
    <row r="45" customFormat="false" ht="18" hidden="false" customHeight="true" outlineLevel="0" collapsed="false">
      <c r="A45" s="311" t="n">
        <v>45</v>
      </c>
      <c r="B45" s="312" t="s">
        <v>90</v>
      </c>
      <c r="C45" s="311" t="s">
        <v>196</v>
      </c>
      <c r="D45" s="311" t="s">
        <v>173</v>
      </c>
      <c r="E45" s="313" t="n">
        <v>4.25</v>
      </c>
      <c r="F45" s="313" t="n">
        <v>2.81477187264979</v>
      </c>
      <c r="G45" s="304" t="s">
        <v>164</v>
      </c>
      <c r="H45" s="311" t="s">
        <v>209</v>
      </c>
      <c r="I45" s="301"/>
      <c r="J45" s="301"/>
      <c r="K45" s="301"/>
      <c r="L45" s="314" t="s">
        <v>166</v>
      </c>
    </row>
    <row r="46" customFormat="false" ht="18" hidden="false" customHeight="true" outlineLevel="0" collapsed="false">
      <c r="A46" s="311" t="n">
        <v>46</v>
      </c>
      <c r="B46" s="312" t="s">
        <v>95</v>
      </c>
      <c r="C46" s="311" t="s">
        <v>196</v>
      </c>
      <c r="D46" s="311" t="s">
        <v>173</v>
      </c>
      <c r="E46" s="313" t="n">
        <v>4.25</v>
      </c>
      <c r="F46" s="313" t="n">
        <v>2.81477187264979</v>
      </c>
      <c r="G46" s="304" t="s">
        <v>164</v>
      </c>
      <c r="H46" s="311" t="s">
        <v>209</v>
      </c>
      <c r="I46" s="306"/>
      <c r="J46" s="306"/>
      <c r="K46" s="306"/>
      <c r="L46" s="314" t="s">
        <v>166</v>
      </c>
    </row>
    <row r="47" customFormat="false" ht="18" hidden="false" customHeight="true" outlineLevel="0" collapsed="false">
      <c r="A47" s="311" t="n">
        <v>47</v>
      </c>
      <c r="B47" s="312" t="s">
        <v>88</v>
      </c>
      <c r="C47" s="311" t="s">
        <v>214</v>
      </c>
      <c r="D47" s="311" t="s">
        <v>163</v>
      </c>
      <c r="E47" s="313" t="n">
        <v>1.2</v>
      </c>
      <c r="F47" s="313" t="n">
        <v>1.5100186344507</v>
      </c>
      <c r="G47" s="304" t="s">
        <v>164</v>
      </c>
      <c r="H47" s="311" t="s">
        <v>169</v>
      </c>
      <c r="I47" s="303"/>
      <c r="J47" s="301"/>
      <c r="K47" s="301"/>
      <c r="L47" s="314" t="s">
        <v>166</v>
      </c>
    </row>
    <row r="48" customFormat="false" ht="18" hidden="false" customHeight="true" outlineLevel="0" collapsed="false">
      <c r="A48" s="306" t="n">
        <v>48</v>
      </c>
      <c r="B48" s="307" t="s">
        <v>167</v>
      </c>
      <c r="C48" s="306" t="s">
        <v>215</v>
      </c>
      <c r="D48" s="306" t="s">
        <v>163</v>
      </c>
      <c r="E48" s="308" t="n">
        <v>2</v>
      </c>
      <c r="F48" s="308" t="n">
        <v>3.65488279758723</v>
      </c>
      <c r="G48" s="304" t="s">
        <v>164</v>
      </c>
      <c r="H48" s="306" t="s">
        <v>171</v>
      </c>
      <c r="I48" s="308"/>
      <c r="J48" s="306"/>
      <c r="K48" s="306"/>
      <c r="L48" s="309" t="s">
        <v>166</v>
      </c>
    </row>
    <row r="49" customFormat="false" ht="18" hidden="false" customHeight="true" outlineLevel="0" collapsed="false">
      <c r="A49" s="301" t="n">
        <v>49</v>
      </c>
      <c r="B49" s="310" t="s">
        <v>167</v>
      </c>
      <c r="C49" s="301" t="s">
        <v>216</v>
      </c>
      <c r="D49" s="301" t="s">
        <v>173</v>
      </c>
      <c r="E49" s="303" t="n">
        <v>4</v>
      </c>
      <c r="F49" s="303" t="n">
        <v>2.4944117155511</v>
      </c>
      <c r="G49" s="304" t="s">
        <v>164</v>
      </c>
      <c r="H49" s="301" t="s">
        <v>174</v>
      </c>
      <c r="I49" s="301"/>
      <c r="J49" s="301"/>
      <c r="K49" s="301"/>
      <c r="L49" s="305" t="s">
        <v>166</v>
      </c>
    </row>
    <row r="50" customFormat="false" ht="18" hidden="false" customHeight="true" outlineLevel="0" collapsed="false">
      <c r="A50" s="306" t="n">
        <v>50</v>
      </c>
      <c r="B50" s="307" t="s">
        <v>167</v>
      </c>
      <c r="C50" s="306" t="s">
        <v>217</v>
      </c>
      <c r="D50" s="306" t="s">
        <v>173</v>
      </c>
      <c r="E50" s="308" t="n">
        <v>2</v>
      </c>
      <c r="F50" s="308" t="n">
        <v>1.09225421364374</v>
      </c>
      <c r="G50" s="304" t="s">
        <v>164</v>
      </c>
      <c r="H50" s="306" t="s">
        <v>176</v>
      </c>
      <c r="I50" s="308"/>
      <c r="J50" s="306"/>
      <c r="K50" s="306"/>
      <c r="L50" s="309" t="s">
        <v>166</v>
      </c>
    </row>
    <row r="51" customFormat="false" ht="6" hidden="false" customHeight="true" outlineLevel="0" collapsed="false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</row>
    <row r="52" customFormat="false" ht="6" hidden="false" customHeight="true" outlineLevel="0" collapsed="false">
      <c r="A52" s="298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</row>
    <row r="53" customFormat="false" ht="24" hidden="false" customHeight="true" outlineLevel="0" collapsed="false">
      <c r="A53" s="323" t="s">
        <v>218</v>
      </c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</row>
    <row r="54" customFormat="false" ht="19.5" hidden="false" customHeight="true" outlineLevel="0" collapsed="false">
      <c r="A54" s="324" t="s">
        <v>158</v>
      </c>
      <c r="B54" s="324" t="s">
        <v>120</v>
      </c>
      <c r="C54" s="324" t="s">
        <v>219</v>
      </c>
      <c r="I54" s="298"/>
      <c r="J54" s="298"/>
      <c r="K54" s="298"/>
      <c r="L54" s="298"/>
    </row>
    <row r="55" customFormat="false" ht="21.75" hidden="false" customHeight="true" outlineLevel="0" collapsed="false">
      <c r="A55" s="325" t="s">
        <v>164</v>
      </c>
      <c r="B55" s="326" t="n">
        <v>43</v>
      </c>
      <c r="C55" s="327" t="n">
        <f aca="false">IFERROR(B55/B59,"—")</f>
        <v>0.977272727272727</v>
      </c>
    </row>
    <row r="56" customFormat="false" ht="21.75" hidden="false" customHeight="true" outlineLevel="0" collapsed="false">
      <c r="A56" s="328" t="s">
        <v>203</v>
      </c>
      <c r="B56" s="329" t="n">
        <v>1</v>
      </c>
      <c r="C56" s="330" t="n">
        <f aca="false">IFERROR(B56/B59,"—")</f>
        <v>0.0227272727272727</v>
      </c>
    </row>
    <row r="57" customFormat="false" ht="21.75" hidden="false" customHeight="true" outlineLevel="0" collapsed="false">
      <c r="A57" s="331" t="s">
        <v>220</v>
      </c>
      <c r="B57" s="332" t="n">
        <v>0</v>
      </c>
      <c r="C57" s="333" t="n">
        <f aca="false">IFERROR(B57/B59,"—")</f>
        <v>0</v>
      </c>
    </row>
    <row r="58" customFormat="false" ht="21.75" hidden="false" customHeight="true" outlineLevel="0" collapsed="false">
      <c r="A58" s="334" t="s">
        <v>221</v>
      </c>
      <c r="B58" s="335" t="n">
        <v>0</v>
      </c>
      <c r="C58" s="336" t="n">
        <f aca="false">IFERROR(B58/B59,"—")</f>
        <v>0</v>
      </c>
    </row>
    <row r="59" customFormat="false" ht="21.75" hidden="false" customHeight="true" outlineLevel="0" collapsed="false">
      <c r="A59" s="337" t="s">
        <v>222</v>
      </c>
      <c r="B59" s="338" t="n">
        <f aca="false">B55+B56+B57+B58</f>
        <v>44</v>
      </c>
      <c r="C59" s="339" t="n">
        <v>1</v>
      </c>
    </row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31.5" hidden="false" customHeight="true" outlineLevel="0" collapsed="false"/>
    <row r="70" customFormat="false" ht="31.5" hidden="false" customHeight="true" outlineLevel="0" collapsed="false"/>
    <row r="71" customFormat="false" ht="31.5" hidden="false" customHeight="true" outlineLevel="0" collapsed="false"/>
    <row r="72" customFormat="false" ht="31.5" hidden="false" customHeight="true" outlineLevel="0" collapsed="false"/>
    <row r="73" customFormat="false" ht="31.5" hidden="false" customHeight="true" outlineLevel="0" collapsed="false"/>
    <row r="74" customFormat="false" ht="31.5" hidden="false" customHeight="true" outlineLevel="0" collapsed="false"/>
  </sheetData>
  <mergeCells count="4">
    <mergeCell ref="A1:L1"/>
    <mergeCell ref="A2:L2"/>
    <mergeCell ref="A3:L3"/>
    <mergeCell ref="A53:L53"/>
  </mergeCells>
  <printOptions headings="false" gridLines="false" gridLinesSet="true" horizontalCentered="tru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JFL Debt Model v11 | CONFIDENTIAL | FY29 Covenant Compliance (TEV)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G13" activeCellId="0" sqref="G1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0.33"/>
    <col collapsed="false" customWidth="true" hidden="false" outlineLevel="0" max="2" min="2" style="1" width="26.88"/>
    <col collapsed="false" customWidth="true" hidden="false" outlineLevel="0" max="3" min="3" style="1" width="13.88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16.67"/>
    <col collapsed="false" customWidth="true" hidden="false" outlineLevel="0" max="8" min="8" style="1" width="10.2"/>
    <col collapsed="false" customWidth="true" hidden="false" outlineLevel="0" max="9" min="9" style="1" width="31.44"/>
    <col collapsed="false" customWidth="true" hidden="false" outlineLevel="0" max="10" min="10" style="1" width="11.11"/>
    <col collapsed="false" customWidth="true" hidden="false" outlineLevel="0" max="11" min="11" style="1" width="14.79"/>
    <col collapsed="false" customWidth="true" hidden="false" outlineLevel="0" max="12" min="12" style="1" width="22.22"/>
    <col collapsed="false" customWidth="true" hidden="true" outlineLevel="0" max="13" min="13" style="1" width="11.53"/>
  </cols>
  <sheetData>
    <row r="1" customFormat="false" ht="30" hidden="false" customHeight="true" outlineLevel="0" collapsed="false">
      <c r="A1" s="340" t="s">
        <v>223</v>
      </c>
      <c r="B1" s="340"/>
      <c r="C1" s="340"/>
      <c r="D1" s="340"/>
      <c r="E1" s="340"/>
      <c r="F1" s="340"/>
      <c r="G1" s="340"/>
      <c r="H1" s="340"/>
      <c r="I1" s="340"/>
      <c r="J1" s="341"/>
      <c r="K1" s="341"/>
      <c r="L1" s="341"/>
    </row>
    <row r="2" customFormat="false" ht="15.75" hidden="false" customHeight="true" outlineLevel="0" collapsed="false">
      <c r="A2" s="342" t="s">
        <v>224</v>
      </c>
      <c r="B2" s="342"/>
      <c r="C2" s="342"/>
      <c r="D2" s="342"/>
      <c r="E2" s="342"/>
      <c r="F2" s="342"/>
      <c r="G2" s="342"/>
      <c r="H2" s="342"/>
      <c r="I2" s="342"/>
      <c r="J2" s="343"/>
      <c r="K2" s="343"/>
      <c r="L2" s="343"/>
    </row>
    <row r="3" customFormat="false" ht="21.75" hidden="false" customHeight="true" outlineLevel="0" collapsed="false">
      <c r="A3" s="344" t="s">
        <v>82</v>
      </c>
      <c r="B3" s="344" t="s">
        <v>154</v>
      </c>
      <c r="C3" s="344" t="s">
        <v>155</v>
      </c>
      <c r="D3" s="344" t="s">
        <v>156</v>
      </c>
      <c r="E3" s="344" t="s">
        <v>225</v>
      </c>
      <c r="F3" s="344" t="s">
        <v>159</v>
      </c>
      <c r="G3" s="344" t="s">
        <v>158</v>
      </c>
      <c r="H3" s="344" t="s">
        <v>226</v>
      </c>
      <c r="I3" s="344" t="s">
        <v>227</v>
      </c>
      <c r="J3" s="299" t="s">
        <v>228</v>
      </c>
      <c r="K3" s="299" t="s">
        <v>229</v>
      </c>
      <c r="L3" s="299" t="s">
        <v>230</v>
      </c>
    </row>
    <row r="4" customFormat="false" ht="31.5" hidden="false" customHeight="true" outlineLevel="0" collapsed="false">
      <c r="A4" s="345" t="s">
        <v>87</v>
      </c>
      <c r="B4" s="345" t="s">
        <v>231</v>
      </c>
      <c r="C4" s="346" t="s">
        <v>163</v>
      </c>
      <c r="D4" s="347" t="n">
        <v>1.25</v>
      </c>
      <c r="E4" s="348" t="n">
        <f aca="false">IFERROR(INDEX('FY29 Covenant Compliance (TEV)'!F:F,MATCH(M4,'FY29 Covenant Compliance (TEV)'!A:A,0)),"—")</f>
        <v>1.80088294651867</v>
      </c>
      <c r="F4" s="349" t="n">
        <f aca="false">IFERROR(IF(C4="&gt;=",E4-D4,D4-E4),"—")</f>
        <v>0.55088294651867</v>
      </c>
      <c r="G4" s="350" t="str">
        <f aca="false">IFERROR(IF(ISTEXT(E4),"Pending Input",IF(F4&lt;0,"Breached",IF(F4&lt;ABS(D4)*0.05,"Near Breach","Compliant"))),"—")</f>
        <v>Compliant</v>
      </c>
      <c r="H4" s="351" t="str">
        <f aca="false">IFERROR(IF(G4="Breached","Critical",IF(G4="Near Breach","Medium",IF(G4="Compliant","Low","—"))),"—")</f>
        <v>Low</v>
      </c>
      <c r="I4" s="352" t="s">
        <v>232</v>
      </c>
      <c r="J4" s="353" t="s">
        <v>233</v>
      </c>
      <c r="K4" s="354" t="s">
        <v>234</v>
      </c>
      <c r="L4" s="355" t="s">
        <v>235</v>
      </c>
      <c r="M4" s="1" t="n">
        <v>4</v>
      </c>
    </row>
    <row r="5" customFormat="false" ht="31.5" hidden="false" customHeight="true" outlineLevel="0" collapsed="false">
      <c r="A5" s="356" t="s">
        <v>167</v>
      </c>
      <c r="B5" s="357" t="s">
        <v>236</v>
      </c>
      <c r="C5" s="358" t="s">
        <v>163</v>
      </c>
      <c r="D5" s="359" t="n">
        <v>1.2</v>
      </c>
      <c r="E5" s="359" t="n">
        <f aca="false">IFERROR(INDEX('FY29 Covenant Compliance (TEV)'!F:F,MATCH(M5,'FY29 Covenant Compliance (TEV)'!A:A,0)),"—")</f>
        <v>1.5100186344507</v>
      </c>
      <c r="F5" s="360" t="n">
        <f aca="false">IFERROR(IF(C5="&gt;=",E5-D5,D5-E5),"—")</f>
        <v>0.3100186344507</v>
      </c>
      <c r="G5" s="350" t="str">
        <f aca="false">IFERROR(IF(ISTEXT(E5),"Pending Input",IF(F5&lt;0,"Breached",IF(F5&lt;ABS(D5)*0.05,"Near Breach","Compliant"))),"—")</f>
        <v>Compliant</v>
      </c>
      <c r="H5" s="361" t="str">
        <f aca="false">IFERROR(IF(G5="Breached","Critical",IF(G5="Near Breach","Medium",IF(G5="Compliant","Low","—"))),"—")</f>
        <v>Low</v>
      </c>
      <c r="I5" s="362" t="s">
        <v>237</v>
      </c>
      <c r="J5" s="363" t="s">
        <v>233</v>
      </c>
      <c r="K5" s="364" t="s">
        <v>234</v>
      </c>
      <c r="L5" s="363" t="s">
        <v>235</v>
      </c>
      <c r="M5" s="1" t="n">
        <v>5</v>
      </c>
    </row>
    <row r="6" customFormat="false" ht="31.5" hidden="false" customHeight="true" outlineLevel="0" collapsed="false">
      <c r="A6" s="365" t="s">
        <v>167</v>
      </c>
      <c r="B6" s="366" t="s">
        <v>238</v>
      </c>
      <c r="C6" s="367" t="s">
        <v>163</v>
      </c>
      <c r="D6" s="348" t="n">
        <v>2</v>
      </c>
      <c r="E6" s="348" t="n">
        <f aca="false">IFERROR(INDEX('FY29 Covenant Compliance (TEV)'!F:F,MATCH(M6,'FY29 Covenant Compliance (TEV)'!A:A,0)),"—")</f>
        <v>3.65488279758723</v>
      </c>
      <c r="F6" s="349" t="n">
        <f aca="false">IFERROR(IF(C6="&gt;=",E6-D6,D6-E6),"—")</f>
        <v>1.65488279758723</v>
      </c>
      <c r="G6" s="350" t="str">
        <f aca="false">IFERROR(IF(ISTEXT(E6),"Pending Input",IF(F6&lt;0,"Breached",IF(F6&lt;ABS(D6)*0.05,"Near Breach","Compliant"))),"—")</f>
        <v>Compliant</v>
      </c>
      <c r="H6" s="351" t="str">
        <f aca="false">IFERROR(IF(G6="Breached","Critical",IF(G6="Near Breach","Medium",IF(G6="Compliant","Low","—"))),"—")</f>
        <v>Low</v>
      </c>
      <c r="I6" s="352" t="s">
        <v>239</v>
      </c>
      <c r="J6" s="353" t="s">
        <v>233</v>
      </c>
      <c r="K6" s="368" t="s">
        <v>234</v>
      </c>
      <c r="L6" s="353" t="s">
        <v>235</v>
      </c>
      <c r="M6" s="1" t="n">
        <v>6</v>
      </c>
    </row>
    <row r="7" customFormat="false" ht="31.5" hidden="false" customHeight="true" outlineLevel="0" collapsed="false">
      <c r="A7" s="356" t="s">
        <v>167</v>
      </c>
      <c r="B7" s="357" t="s">
        <v>240</v>
      </c>
      <c r="C7" s="358" t="s">
        <v>173</v>
      </c>
      <c r="D7" s="359" t="n">
        <v>4</v>
      </c>
      <c r="E7" s="359" t="n">
        <f aca="false">IFERROR(INDEX('FY29 Covenant Compliance (TEV)'!F:F,MATCH(M7,'FY29 Covenant Compliance (TEV)'!A:A,0)),"—")</f>
        <v>2.4944117155511</v>
      </c>
      <c r="F7" s="360" t="n">
        <f aca="false">IFERROR(IF(C7="&gt;=",E7-D7,D7-E7),"—")</f>
        <v>1.5055882844489</v>
      </c>
      <c r="G7" s="350" t="str">
        <f aca="false">IFERROR(IF(ISTEXT(E7),"Pending Input",IF(F7&lt;0,"Breached",IF(F7&lt;ABS(D7)*0.05,"Near Breach","Compliant"))),"—")</f>
        <v>Compliant</v>
      </c>
      <c r="H7" s="361" t="str">
        <f aca="false">IFERROR(IF(G7="Breached","Critical",IF(G7="Near Breach","Medium",IF(G7="Compliant","Low","—"))),"—")</f>
        <v>Low</v>
      </c>
      <c r="I7" s="362" t="s">
        <v>241</v>
      </c>
      <c r="J7" s="363" t="s">
        <v>233</v>
      </c>
      <c r="K7" s="364" t="s">
        <v>234</v>
      </c>
      <c r="L7" s="363" t="s">
        <v>235</v>
      </c>
      <c r="M7" s="1" t="n">
        <v>7</v>
      </c>
    </row>
    <row r="8" customFormat="false" ht="31.5" hidden="false" customHeight="true" outlineLevel="0" collapsed="false">
      <c r="A8" s="365" t="s">
        <v>167</v>
      </c>
      <c r="B8" s="366" t="s">
        <v>242</v>
      </c>
      <c r="C8" s="367" t="s">
        <v>173</v>
      </c>
      <c r="D8" s="348" t="n">
        <v>2</v>
      </c>
      <c r="E8" s="348" t="n">
        <f aca="false">IFERROR(INDEX('FY29 Covenant Compliance (TEV)'!F:F,MATCH(M8,'FY29 Covenant Compliance (TEV)'!A:A,0)),"—")</f>
        <v>1.09225421364374</v>
      </c>
      <c r="F8" s="349" t="n">
        <f aca="false">IFERROR(IF(C8="&gt;=",E8-D8,D8-E8),"—")</f>
        <v>0.90774578635626</v>
      </c>
      <c r="G8" s="350" t="str">
        <f aca="false">IFERROR(IF(ISTEXT(E8),"Pending Input",IF(F8&lt;0,"Breached",IF(F8&lt;ABS(D8)*0.05,"Near Breach","Compliant"))),"—")</f>
        <v>Compliant</v>
      </c>
      <c r="H8" s="351" t="str">
        <f aca="false">IFERROR(IF(G8="Breached","Critical",IF(G8="Near Breach","Medium",IF(G8="Compliant","Low","—"))),"—")</f>
        <v>Low</v>
      </c>
      <c r="I8" s="352" t="s">
        <v>243</v>
      </c>
      <c r="J8" s="353" t="s">
        <v>233</v>
      </c>
      <c r="K8" s="368" t="s">
        <v>234</v>
      </c>
      <c r="L8" s="353" t="s">
        <v>235</v>
      </c>
      <c r="M8" s="1" t="n">
        <v>8</v>
      </c>
    </row>
    <row r="9" customFormat="false" ht="31.5" hidden="false" customHeight="true" outlineLevel="0" collapsed="false">
      <c r="A9" s="345" t="s">
        <v>88</v>
      </c>
      <c r="B9" s="345" t="s">
        <v>244</v>
      </c>
      <c r="C9" s="346" t="s">
        <v>163</v>
      </c>
      <c r="D9" s="347" t="n">
        <v>1.25</v>
      </c>
      <c r="E9" s="359" t="n">
        <f aca="false">IFERROR(INDEX('FY29 Covenant Compliance (TEV)'!F:F,MATCH(M9,'FY29 Covenant Compliance (TEV)'!A:A,0)),"—")</f>
        <v>1.80088294651867</v>
      </c>
      <c r="F9" s="360" t="n">
        <f aca="false">IFERROR(IF(C9="&gt;=",E9-D9,D9-E9),"—")</f>
        <v>0.55088294651867</v>
      </c>
      <c r="G9" s="350" t="str">
        <f aca="false">IFERROR(IF(ISTEXT(E9),"Pending Input",IF(F9&lt;0,"Breached",IF(F9&lt;ABS(D9)*0.05,"Near Breach","Compliant"))),"—")</f>
        <v>Compliant</v>
      </c>
      <c r="H9" s="361" t="str">
        <f aca="false">IFERROR(IF(G9="Breached","Critical",IF(G9="Near Breach","Medium",IF(G9="Compliant","Low","—"))),"—")</f>
        <v>Low</v>
      </c>
      <c r="I9" s="362" t="s">
        <v>245</v>
      </c>
      <c r="J9" s="363" t="s">
        <v>246</v>
      </c>
      <c r="K9" s="354" t="s">
        <v>234</v>
      </c>
      <c r="L9" s="355" t="s">
        <v>247</v>
      </c>
      <c r="M9" s="1" t="n">
        <v>9</v>
      </c>
    </row>
    <row r="10" customFormat="false" ht="31.5" hidden="false" customHeight="true" outlineLevel="0" collapsed="false">
      <c r="A10" s="345" t="s">
        <v>90</v>
      </c>
      <c r="B10" s="345" t="s">
        <v>231</v>
      </c>
      <c r="C10" s="346" t="s">
        <v>163</v>
      </c>
      <c r="D10" s="347" t="n">
        <v>1.25</v>
      </c>
      <c r="E10" s="348" t="n">
        <f aca="false">IFERROR(INDEX('FY29 Covenant Compliance (TEV)'!F:F,MATCH(M10,'FY29 Covenant Compliance (TEV)'!A:A,0)),"—")</f>
        <v>1.80088294651867</v>
      </c>
      <c r="F10" s="349" t="n">
        <f aca="false">IFERROR(IF(C10="&gt;=",E10-D10,D10-E10),"—")</f>
        <v>0.55088294651867</v>
      </c>
      <c r="G10" s="350" t="str">
        <f aca="false">IFERROR(IF(ISTEXT(E10),"Pending Input",IF(F10&lt;0,"Breached",IF(F10&lt;ABS(D10)*0.05,"Near Breach","Compliant"))),"—")</f>
        <v>Compliant</v>
      </c>
      <c r="H10" s="351" t="str">
        <f aca="false">IFERROR(IF(G10="Breached","Critical",IF(G10="Near Breach","Medium",IF(G10="Compliant","Low","—"))),"—")</f>
        <v>Low</v>
      </c>
      <c r="I10" s="352" t="s">
        <v>248</v>
      </c>
      <c r="J10" s="353" t="s">
        <v>233</v>
      </c>
      <c r="K10" s="354" t="s">
        <v>234</v>
      </c>
      <c r="L10" s="355" t="s">
        <v>235</v>
      </c>
      <c r="M10" s="1" t="n">
        <v>10</v>
      </c>
    </row>
    <row r="11" customFormat="false" ht="31.5" hidden="false" customHeight="true" outlineLevel="0" collapsed="false">
      <c r="A11" s="356" t="s">
        <v>167</v>
      </c>
      <c r="B11" s="357" t="s">
        <v>236</v>
      </c>
      <c r="C11" s="358" t="s">
        <v>163</v>
      </c>
      <c r="D11" s="359" t="n">
        <v>1.2</v>
      </c>
      <c r="E11" s="359" t="n">
        <f aca="false">IFERROR(INDEX('FY29 Covenant Compliance (TEV)'!F:F,MATCH(M11,'FY29 Covenant Compliance (TEV)'!A:A,0)),"—")</f>
        <v>1.5100186344507</v>
      </c>
      <c r="F11" s="360" t="n">
        <f aca="false">IFERROR(IF(C11="&gt;=",E11-D11,D11-E11),"—")</f>
        <v>0.3100186344507</v>
      </c>
      <c r="G11" s="350" t="str">
        <f aca="false">IFERROR(IF(ISTEXT(E11),"Pending Input",IF(F11&lt;0,"Breached",IF(F11&lt;ABS(D11)*0.05,"Near Breach","Compliant"))),"—")</f>
        <v>Compliant</v>
      </c>
      <c r="H11" s="361" t="str">
        <f aca="false">IFERROR(IF(G11="Breached","Critical",IF(G11="Near Breach","Medium",IF(G11="Compliant","Low","—"))),"—")</f>
        <v>Low</v>
      </c>
      <c r="I11" s="362" t="s">
        <v>249</v>
      </c>
      <c r="J11" s="363" t="s">
        <v>233</v>
      </c>
      <c r="K11" s="364" t="s">
        <v>234</v>
      </c>
      <c r="L11" s="363" t="s">
        <v>235</v>
      </c>
      <c r="M11" s="1" t="n">
        <v>11</v>
      </c>
    </row>
    <row r="12" customFormat="false" ht="31.5" hidden="false" customHeight="true" outlineLevel="0" collapsed="false">
      <c r="A12" s="365" t="s">
        <v>167</v>
      </c>
      <c r="B12" s="366" t="s">
        <v>238</v>
      </c>
      <c r="C12" s="367" t="s">
        <v>163</v>
      </c>
      <c r="D12" s="348" t="n">
        <v>2</v>
      </c>
      <c r="E12" s="348" t="n">
        <f aca="false">IFERROR(INDEX('FY29 Covenant Compliance (TEV)'!F:F,MATCH(M12,'FY29 Covenant Compliance (TEV)'!A:A,0)),"—")</f>
        <v>3.65488279758723</v>
      </c>
      <c r="F12" s="349" t="n">
        <f aca="false">IFERROR(IF(C12="&gt;=",E12-D12,D12-E12),"—")</f>
        <v>1.65488279758723</v>
      </c>
      <c r="G12" s="350" t="str">
        <f aca="false">IFERROR(IF(ISTEXT(E12),"Pending Input",IF(F12&lt;0,"Breached",IF(F12&lt;ABS(D12)*0.05,"Near Breach","Compliant"))),"—")</f>
        <v>Compliant</v>
      </c>
      <c r="H12" s="351" t="str">
        <f aca="false">IFERROR(IF(G12="Breached","Critical",IF(G12="Near Breach","Medium",IF(G12="Compliant","Low","—"))),"—")</f>
        <v>Low</v>
      </c>
      <c r="I12" s="352" t="s">
        <v>250</v>
      </c>
      <c r="J12" s="353" t="s">
        <v>233</v>
      </c>
      <c r="K12" s="368" t="s">
        <v>234</v>
      </c>
      <c r="L12" s="353" t="s">
        <v>235</v>
      </c>
      <c r="M12" s="1" t="n">
        <v>12</v>
      </c>
    </row>
    <row r="13" customFormat="false" ht="31.5" hidden="false" customHeight="true" outlineLevel="0" collapsed="false">
      <c r="A13" s="356" t="s">
        <v>167</v>
      </c>
      <c r="B13" s="357" t="s">
        <v>240</v>
      </c>
      <c r="C13" s="358" t="s">
        <v>173</v>
      </c>
      <c r="D13" s="359" t="n">
        <v>4</v>
      </c>
      <c r="E13" s="359" t="n">
        <f aca="false">IFERROR(INDEX('FY29 Covenant Compliance (TEV)'!F:F,MATCH(M13,'FY29 Covenant Compliance (TEV)'!A:A,0)),"—")</f>
        <v>2.4944117155511</v>
      </c>
      <c r="F13" s="360" t="n">
        <f aca="false">IFERROR(IF(C13="&gt;=",E13-D13,D13-E13),"—")</f>
        <v>1.5055882844489</v>
      </c>
      <c r="G13" s="350" t="str">
        <f aca="false">IFERROR(IF(ISTEXT(E13),"Pending Input",IF(F13&lt;0,"Breached",IF(F13&lt;ABS(D13)*0.05,"Near Breach","Compliant"))),"—")</f>
        <v>Compliant</v>
      </c>
      <c r="H13" s="361" t="str">
        <f aca="false">IFERROR(IF(G13="Breached","Critical",IF(G13="Near Breach","Medium",IF(G13="Compliant","Low","—"))),"—")</f>
        <v>Low</v>
      </c>
      <c r="I13" s="362" t="s">
        <v>251</v>
      </c>
      <c r="J13" s="363" t="s">
        <v>233</v>
      </c>
      <c r="K13" s="364" t="s">
        <v>234</v>
      </c>
      <c r="L13" s="363" t="s">
        <v>235</v>
      </c>
      <c r="M13" s="1" t="n">
        <v>13</v>
      </c>
    </row>
    <row r="14" customFormat="false" ht="31.5" hidden="false" customHeight="true" outlineLevel="0" collapsed="false">
      <c r="A14" s="365" t="s">
        <v>167</v>
      </c>
      <c r="B14" s="366" t="s">
        <v>242</v>
      </c>
      <c r="C14" s="367" t="s">
        <v>173</v>
      </c>
      <c r="D14" s="348" t="n">
        <v>2</v>
      </c>
      <c r="E14" s="348" t="n">
        <f aca="false">IFERROR(INDEX('FY29 Covenant Compliance (TEV)'!F:F,MATCH(M14,'FY29 Covenant Compliance (TEV)'!A:A,0)),"—")</f>
        <v>1.09225421364374</v>
      </c>
      <c r="F14" s="349" t="n">
        <f aca="false">IFERROR(IF(C14="&gt;=",E14-D14,D14-E14),"—")</f>
        <v>0.90774578635626</v>
      </c>
      <c r="G14" s="350" t="str">
        <f aca="false">IFERROR(IF(ISTEXT(E14),"Pending Input",IF(F14&lt;0,"Breached",IF(F14&lt;ABS(D14)*0.05,"Near Breach","Compliant"))),"—")</f>
        <v>Compliant</v>
      </c>
      <c r="H14" s="351" t="str">
        <f aca="false">IFERROR(IF(G14="Breached","Critical",IF(G14="Near Breach","Medium",IF(G14="Compliant","Low","—"))),"—")</f>
        <v>Low</v>
      </c>
      <c r="I14" s="352" t="s">
        <v>252</v>
      </c>
      <c r="J14" s="353" t="s">
        <v>233</v>
      </c>
      <c r="K14" s="368" t="s">
        <v>234</v>
      </c>
      <c r="L14" s="353" t="s">
        <v>235</v>
      </c>
      <c r="M14" s="1" t="n">
        <v>14</v>
      </c>
    </row>
    <row r="15" customFormat="false" ht="31.5" hidden="false" customHeight="true" outlineLevel="0" collapsed="false">
      <c r="A15" s="356" t="s">
        <v>167</v>
      </c>
      <c r="B15" s="357" t="s">
        <v>178</v>
      </c>
      <c r="C15" s="358" t="s">
        <v>163</v>
      </c>
      <c r="D15" s="359" t="n">
        <v>1.5</v>
      </c>
      <c r="E15" s="359" t="n">
        <f aca="false">IFERROR(INDEX('FY29 Covenant Compliance (TEV)'!F:F,MATCH(M15,'FY29 Covenant Compliance (TEV)'!A:A,0)),"—")</f>
        <v>1.80088294651867</v>
      </c>
      <c r="F15" s="360" t="n">
        <f aca="false">IFERROR(IF(C15="&gt;=",E15-D15,D15-E15),"—")</f>
        <v>0.30088294651867</v>
      </c>
      <c r="G15" s="350" t="str">
        <f aca="false">IFERROR(IF(ISTEXT(E15),"Pending Input",IF(F15&lt;0,"Breached",IF(F15&lt;ABS(D15)*0.05,"Near Breach","Compliant"))),"—")</f>
        <v>Compliant</v>
      </c>
      <c r="H15" s="361" t="str">
        <f aca="false">IFERROR(IF(G15="Breached","Critical",IF(G15="Near Breach","Medium",IF(G15="Compliant","Low","—"))),"—")</f>
        <v>Low</v>
      </c>
      <c r="I15" s="362" t="s">
        <v>253</v>
      </c>
      <c r="J15" s="363" t="s">
        <v>233</v>
      </c>
      <c r="K15" s="364" t="s">
        <v>254</v>
      </c>
      <c r="L15" s="363" t="s">
        <v>255</v>
      </c>
      <c r="M15" s="1" t="n">
        <v>15</v>
      </c>
    </row>
    <row r="16" customFormat="false" ht="31.5" hidden="false" customHeight="true" outlineLevel="0" collapsed="false">
      <c r="A16" s="345" t="s">
        <v>91</v>
      </c>
      <c r="B16" s="345" t="s">
        <v>256</v>
      </c>
      <c r="C16" s="346" t="s">
        <v>163</v>
      </c>
      <c r="D16" s="347" t="n">
        <v>1.25</v>
      </c>
      <c r="E16" s="348" t="n">
        <f aca="false">IFERROR(INDEX('FY29 Covenant Compliance (TEV)'!F:F,MATCH(M16,'FY29 Covenant Compliance (TEV)'!A:A,0)),"—")</f>
        <v>2.04798767232118</v>
      </c>
      <c r="F16" s="349" t="n">
        <f aca="false">IFERROR(IF(C16="&gt;=",E16-D16,D16-E16),"—")</f>
        <v>0.797987672321175</v>
      </c>
      <c r="G16" s="350" t="str">
        <f aca="false">IFERROR(IF(ISTEXT(E16),"Pending Input",IF(F16&lt;0,"Breached",IF(F16&lt;ABS(D16)*0.05,"Near Breach","Compliant"))),"—")</f>
        <v>Compliant</v>
      </c>
      <c r="H16" s="351" t="str">
        <f aca="false">IFERROR(IF(G16="Breached","Critical",IF(G16="Near Breach","Medium",IF(G16="Compliant","Low","—"))),"—")</f>
        <v>Low</v>
      </c>
      <c r="I16" s="352" t="s">
        <v>257</v>
      </c>
      <c r="J16" s="353" t="s">
        <v>233</v>
      </c>
      <c r="K16" s="354" t="s">
        <v>234</v>
      </c>
      <c r="L16" s="355" t="s">
        <v>258</v>
      </c>
      <c r="M16" s="1" t="n">
        <v>16</v>
      </c>
    </row>
    <row r="17" customFormat="false" ht="31.5" hidden="false" customHeight="true" outlineLevel="0" collapsed="false">
      <c r="A17" s="356" t="s">
        <v>167</v>
      </c>
      <c r="B17" s="357" t="s">
        <v>236</v>
      </c>
      <c r="C17" s="358" t="s">
        <v>163</v>
      </c>
      <c r="D17" s="359" t="n">
        <v>1.2</v>
      </c>
      <c r="E17" s="359" t="n">
        <f aca="false">IFERROR(INDEX('FY29 Covenant Compliance (TEV)'!F:F,MATCH(M17,'FY29 Covenant Compliance (TEV)'!A:A,0)),"—")</f>
        <v>1.5100186344507</v>
      </c>
      <c r="F17" s="360" t="n">
        <f aca="false">IFERROR(IF(C17="&gt;=",E17-D17,D17-E17),"—")</f>
        <v>0.3100186344507</v>
      </c>
      <c r="G17" s="350" t="str">
        <f aca="false">IFERROR(IF(ISTEXT(E17),"Pending Input",IF(F17&lt;0,"Breached",IF(F17&lt;ABS(D17)*0.05,"Near Breach","Compliant"))),"—")</f>
        <v>Compliant</v>
      </c>
      <c r="H17" s="361" t="str">
        <f aca="false">IFERROR(IF(G17="Breached","Critical",IF(G17="Near Breach","Medium",IF(G17="Compliant","Low","—"))),"—")</f>
        <v>Low</v>
      </c>
      <c r="I17" s="362" t="s">
        <v>259</v>
      </c>
      <c r="J17" s="363" t="s">
        <v>233</v>
      </c>
      <c r="K17" s="364" t="s">
        <v>234</v>
      </c>
      <c r="L17" s="363" t="s">
        <v>104</v>
      </c>
      <c r="M17" s="1" t="n">
        <v>17</v>
      </c>
    </row>
    <row r="18" customFormat="false" ht="31.5" hidden="false" customHeight="true" outlineLevel="0" collapsed="false">
      <c r="A18" s="365" t="s">
        <v>167</v>
      </c>
      <c r="B18" s="366" t="s">
        <v>238</v>
      </c>
      <c r="C18" s="367" t="s">
        <v>163</v>
      </c>
      <c r="D18" s="348" t="n">
        <v>2</v>
      </c>
      <c r="E18" s="348" t="n">
        <f aca="false">IFERROR(INDEX('FY29 Covenant Compliance (TEV)'!F:F,MATCH(M18,'FY29 Covenant Compliance (TEV)'!A:A,0)),"—")</f>
        <v>3.65488279758723</v>
      </c>
      <c r="F18" s="349" t="n">
        <f aca="false">IFERROR(IF(C18="&gt;=",E18-D18,D18-E18),"—")</f>
        <v>1.65488279758723</v>
      </c>
      <c r="G18" s="350" t="str">
        <f aca="false">IFERROR(IF(ISTEXT(E18),"Pending Input",IF(F18&lt;0,"Breached",IF(F18&lt;ABS(D18)*0.05,"Near Breach","Compliant"))),"—")</f>
        <v>Compliant</v>
      </c>
      <c r="H18" s="351" t="str">
        <f aca="false">IFERROR(IF(G18="Breached","Critical",IF(G18="Near Breach","Medium",IF(G18="Compliant","Low","—"))),"—")</f>
        <v>Low</v>
      </c>
      <c r="I18" s="352" t="s">
        <v>260</v>
      </c>
      <c r="J18" s="353" t="s">
        <v>233</v>
      </c>
      <c r="K18" s="368" t="s">
        <v>234</v>
      </c>
      <c r="L18" s="353" t="s">
        <v>104</v>
      </c>
      <c r="M18" s="1" t="n">
        <v>18</v>
      </c>
    </row>
    <row r="19" customFormat="false" ht="31.5" hidden="false" customHeight="true" outlineLevel="0" collapsed="false">
      <c r="A19" s="356" t="s">
        <v>167</v>
      </c>
      <c r="B19" s="357" t="s">
        <v>240</v>
      </c>
      <c r="C19" s="358" t="s">
        <v>173</v>
      </c>
      <c r="D19" s="359" t="n">
        <v>4</v>
      </c>
      <c r="E19" s="359" t="n">
        <f aca="false">IFERROR(INDEX('FY29 Covenant Compliance (TEV)'!F:F,MATCH(M19,'FY29 Covenant Compliance (TEV)'!A:A,0)),"—")</f>
        <v>2.4944117155511</v>
      </c>
      <c r="F19" s="360" t="n">
        <f aca="false">IFERROR(IF(C19="&gt;=",E19-D19,D19-E19),"—")</f>
        <v>1.5055882844489</v>
      </c>
      <c r="G19" s="350" t="str">
        <f aca="false">IFERROR(IF(ISTEXT(E19),"Pending Input",IF(F19&lt;0,"Breached",IF(F19&lt;ABS(D19)*0.05,"Near Breach","Compliant"))),"—")</f>
        <v>Compliant</v>
      </c>
      <c r="H19" s="361" t="str">
        <f aca="false">IFERROR(IF(G19="Breached","Critical",IF(G19="Near Breach","Medium",IF(G19="Compliant","Low","—"))),"—")</f>
        <v>Low</v>
      </c>
      <c r="I19" s="362" t="s">
        <v>261</v>
      </c>
      <c r="J19" s="363" t="s">
        <v>233</v>
      </c>
      <c r="K19" s="364" t="s">
        <v>234</v>
      </c>
      <c r="L19" s="363" t="s">
        <v>104</v>
      </c>
      <c r="M19" s="1" t="n">
        <v>19</v>
      </c>
    </row>
    <row r="20" customFormat="false" ht="31.5" hidden="false" customHeight="true" outlineLevel="0" collapsed="false">
      <c r="A20" s="365" t="s">
        <v>167</v>
      </c>
      <c r="B20" s="366" t="s">
        <v>242</v>
      </c>
      <c r="C20" s="367" t="s">
        <v>173</v>
      </c>
      <c r="D20" s="348" t="n">
        <v>2</v>
      </c>
      <c r="E20" s="348" t="n">
        <f aca="false">IFERROR(INDEX('FY29 Covenant Compliance (TEV)'!F:F,MATCH(M20,'FY29 Covenant Compliance (TEV)'!A:A,0)),"—")</f>
        <v>1.09225421364374</v>
      </c>
      <c r="F20" s="349" t="n">
        <f aca="false">IFERROR(IF(C20="&gt;=",E20-D20,D20-E20),"—")</f>
        <v>0.90774578635626</v>
      </c>
      <c r="G20" s="350" t="str">
        <f aca="false">IFERROR(IF(ISTEXT(E20),"Pending Input",IF(F20&lt;0,"Breached",IF(F20&lt;ABS(D20)*0.05,"Near Breach","Compliant"))),"—")</f>
        <v>Compliant</v>
      </c>
      <c r="H20" s="351" t="str">
        <f aca="false">IFERROR(IF(G20="Breached","Critical",IF(G20="Near Breach","Medium",IF(G20="Compliant","Low","—"))),"—")</f>
        <v>Low</v>
      </c>
      <c r="I20" s="352" t="s">
        <v>262</v>
      </c>
      <c r="J20" s="353" t="s">
        <v>233</v>
      </c>
      <c r="K20" s="368" t="s">
        <v>234</v>
      </c>
      <c r="L20" s="353" t="s">
        <v>104</v>
      </c>
      <c r="M20" s="1" t="n">
        <v>20</v>
      </c>
    </row>
    <row r="21" customFormat="false" ht="31.5" hidden="false" customHeight="true" outlineLevel="0" collapsed="false">
      <c r="A21" s="356" t="s">
        <v>167</v>
      </c>
      <c r="B21" s="357" t="s">
        <v>263</v>
      </c>
      <c r="C21" s="358" t="s">
        <v>173</v>
      </c>
      <c r="D21" s="369" t="n">
        <v>337.5</v>
      </c>
      <c r="E21" s="369" t="n">
        <f aca="false">IFERROR(INDEX('FY29 Covenant Compliance (TEV)'!F:F,MATCH(M21,'FY29 Covenant Compliance (TEV)'!A:A,0)),"—")</f>
        <v>0</v>
      </c>
      <c r="F21" s="370" t="n">
        <f aca="false">IFERROR(IF(C21="&gt;=",E21-D21,D21-E21),"—")</f>
        <v>337.5</v>
      </c>
      <c r="G21" s="350" t="str">
        <f aca="false">IFERROR(IF(ISTEXT(E21),"Pending Input",IF(F21&lt;0,"Breached",IF(F21&lt;ABS(D21)*0.05,"Near Breach","Compliant"))),"—")</f>
        <v>Compliant</v>
      </c>
      <c r="H21" s="361" t="str">
        <f aca="false">IFERROR(IF(G21="Breached","Critical",IF(G21="Near Breach","Medium",IF(G21="Compliant","Low","—"))),"—")</f>
        <v>Low</v>
      </c>
      <c r="I21" s="362" t="s">
        <v>264</v>
      </c>
      <c r="J21" s="363" t="s">
        <v>265</v>
      </c>
      <c r="K21" s="364" t="s">
        <v>266</v>
      </c>
      <c r="L21" s="363" t="s">
        <v>267</v>
      </c>
      <c r="M21" s="1" t="n">
        <v>21</v>
      </c>
    </row>
    <row r="22" customFormat="false" ht="31.5" hidden="false" customHeight="true" outlineLevel="0" collapsed="false">
      <c r="A22" s="345" t="s">
        <v>95</v>
      </c>
      <c r="B22" s="345" t="s">
        <v>231</v>
      </c>
      <c r="C22" s="346" t="s">
        <v>163</v>
      </c>
      <c r="D22" s="347" t="n">
        <v>1.25</v>
      </c>
      <c r="E22" s="348" t="n">
        <f aca="false">IFERROR(INDEX('FY29 Covenant Compliance (TEV)'!F:F,MATCH(M22,'FY29 Covenant Compliance (TEV)'!A:A,0)),"—")</f>
        <v>1.80088294651867</v>
      </c>
      <c r="F22" s="349" t="n">
        <f aca="false">IFERROR(IF(C22="&gt;=",E22-D22,D22-E22),"—")</f>
        <v>0.55088294651867</v>
      </c>
      <c r="G22" s="350" t="str">
        <f aca="false">IFERROR(IF(ISTEXT(E22),"Pending Input",IF(F22&lt;0,"Breached",IF(F22&lt;ABS(D22)*0.05,"Near Breach","Compliant"))),"—")</f>
        <v>Compliant</v>
      </c>
      <c r="H22" s="351" t="str">
        <f aca="false">IFERROR(IF(G22="Breached","Critical",IF(G22="Near Breach","Medium",IF(G22="Compliant","Low","—"))),"—")</f>
        <v>Low</v>
      </c>
      <c r="I22" s="352" t="s">
        <v>268</v>
      </c>
      <c r="J22" s="353" t="s">
        <v>233</v>
      </c>
      <c r="K22" s="354" t="s">
        <v>234</v>
      </c>
      <c r="L22" s="355" t="s">
        <v>269</v>
      </c>
      <c r="M22" s="1" t="n">
        <v>22</v>
      </c>
    </row>
    <row r="23" customFormat="false" ht="31.5" hidden="false" customHeight="true" outlineLevel="0" collapsed="false">
      <c r="A23" s="356" t="s">
        <v>167</v>
      </c>
      <c r="B23" s="357" t="s">
        <v>236</v>
      </c>
      <c r="C23" s="358" t="s">
        <v>163</v>
      </c>
      <c r="D23" s="359" t="n">
        <v>1.2</v>
      </c>
      <c r="E23" s="359" t="n">
        <f aca="false">IFERROR(INDEX('FY29 Covenant Compliance (TEV)'!F:F,MATCH(M23,'FY29 Covenant Compliance (TEV)'!A:A,0)),"—")</f>
        <v>1.5100186344507</v>
      </c>
      <c r="F23" s="360" t="n">
        <f aca="false">IFERROR(IF(C23="&gt;=",E23-D23,D23-E23),"—")</f>
        <v>0.3100186344507</v>
      </c>
      <c r="G23" s="350" t="str">
        <f aca="false">IFERROR(IF(ISTEXT(E23),"Pending Input",IF(F23&lt;0,"Breached",IF(F23&lt;ABS(D23)*0.05,"Near Breach","Compliant"))),"—")</f>
        <v>Compliant</v>
      </c>
      <c r="H23" s="361" t="str">
        <f aca="false">IFERROR(IF(G23="Breached","Critical",IF(G23="Near Breach","Medium",IF(G23="Compliant","Low","—"))),"—")</f>
        <v>Low</v>
      </c>
      <c r="I23" s="362" t="s">
        <v>270</v>
      </c>
      <c r="J23" s="363" t="s">
        <v>233</v>
      </c>
      <c r="K23" s="364" t="s">
        <v>234</v>
      </c>
      <c r="L23" s="363" t="s">
        <v>106</v>
      </c>
      <c r="M23" s="1" t="n">
        <v>23</v>
      </c>
    </row>
    <row r="24" customFormat="false" ht="31.5" hidden="false" customHeight="true" outlineLevel="0" collapsed="false">
      <c r="A24" s="365" t="s">
        <v>167</v>
      </c>
      <c r="B24" s="366" t="s">
        <v>238</v>
      </c>
      <c r="C24" s="367" t="s">
        <v>163</v>
      </c>
      <c r="D24" s="348" t="n">
        <v>2</v>
      </c>
      <c r="E24" s="348" t="n">
        <f aca="false">IFERROR(INDEX('FY29 Covenant Compliance (TEV)'!F:F,MATCH(M24,'FY29 Covenant Compliance (TEV)'!A:A,0)),"—")</f>
        <v>3.65488279758723</v>
      </c>
      <c r="F24" s="349" t="n">
        <f aca="false">IFERROR(IF(C24="&gt;=",E24-D24,D24-E24),"—")</f>
        <v>1.65488279758723</v>
      </c>
      <c r="G24" s="350" t="str">
        <f aca="false">IFERROR(IF(ISTEXT(E24),"Pending Input",IF(F24&lt;0,"Breached",IF(F24&lt;ABS(D24)*0.05,"Near Breach","Compliant"))),"—")</f>
        <v>Compliant</v>
      </c>
      <c r="H24" s="351" t="str">
        <f aca="false">IFERROR(IF(G24="Breached","Critical",IF(G24="Near Breach","Medium",IF(G24="Compliant","Low","—"))),"—")</f>
        <v>Low</v>
      </c>
      <c r="I24" s="352" t="s">
        <v>271</v>
      </c>
      <c r="J24" s="353" t="s">
        <v>233</v>
      </c>
      <c r="K24" s="368" t="s">
        <v>234</v>
      </c>
      <c r="L24" s="353" t="s">
        <v>106</v>
      </c>
      <c r="M24" s="1" t="n">
        <v>24</v>
      </c>
    </row>
    <row r="25" customFormat="false" ht="31.5" hidden="false" customHeight="true" outlineLevel="0" collapsed="false">
      <c r="A25" s="356" t="s">
        <v>167</v>
      </c>
      <c r="B25" s="357" t="s">
        <v>240</v>
      </c>
      <c r="C25" s="358" t="s">
        <v>173</v>
      </c>
      <c r="D25" s="359" t="n">
        <v>4</v>
      </c>
      <c r="E25" s="359" t="n">
        <f aca="false">IFERROR(INDEX('FY29 Covenant Compliance (TEV)'!F:F,MATCH(M25,'FY29 Covenant Compliance (TEV)'!A:A,0)),"—")</f>
        <v>2.4944117155511</v>
      </c>
      <c r="F25" s="360" t="n">
        <f aca="false">IFERROR(IF(C25="&gt;=",E25-D25,D25-E25),"—")</f>
        <v>1.5055882844489</v>
      </c>
      <c r="G25" s="350" t="str">
        <f aca="false">IFERROR(IF(ISTEXT(E25),"Pending Input",IF(F25&lt;0,"Breached",IF(F25&lt;ABS(D25)*0.05,"Near Breach","Compliant"))),"—")</f>
        <v>Compliant</v>
      </c>
      <c r="H25" s="361" t="str">
        <f aca="false">IFERROR(IF(G25="Breached","Critical",IF(G25="Near Breach","Medium",IF(G25="Compliant","Low","—"))),"—")</f>
        <v>Low</v>
      </c>
      <c r="I25" s="362" t="s">
        <v>272</v>
      </c>
      <c r="J25" s="363" t="s">
        <v>233</v>
      </c>
      <c r="K25" s="364" t="s">
        <v>234</v>
      </c>
      <c r="L25" s="363" t="s">
        <v>106</v>
      </c>
      <c r="M25" s="1" t="n">
        <v>25</v>
      </c>
    </row>
    <row r="26" customFormat="false" ht="31.5" hidden="false" customHeight="true" outlineLevel="0" collapsed="false">
      <c r="A26" s="365" t="s">
        <v>167</v>
      </c>
      <c r="B26" s="366" t="s">
        <v>242</v>
      </c>
      <c r="C26" s="367" t="s">
        <v>173</v>
      </c>
      <c r="D26" s="348" t="n">
        <v>2</v>
      </c>
      <c r="E26" s="348" t="n">
        <f aca="false">IFERROR(INDEX('FY29 Covenant Compliance (TEV)'!F:F,MATCH(M26,'FY29 Covenant Compliance (TEV)'!A:A,0)),"—")</f>
        <v>1.09225421364374</v>
      </c>
      <c r="F26" s="349" t="n">
        <f aca="false">IFERROR(IF(C26="&gt;=",E26-D26,D26-E26),"—")</f>
        <v>0.90774578635626</v>
      </c>
      <c r="G26" s="350" t="str">
        <f aca="false">IFERROR(IF(ISTEXT(E26),"Pending Input",IF(F26&lt;0,"Breached",IF(F26&lt;ABS(D26)*0.05,"Near Breach","Compliant"))),"—")</f>
        <v>Compliant</v>
      </c>
      <c r="H26" s="351" t="str">
        <f aca="false">IFERROR(IF(G26="Breached","Critical",IF(G26="Near Breach","Medium",IF(G26="Compliant","Low","—"))),"—")</f>
        <v>Low</v>
      </c>
      <c r="I26" s="352" t="s">
        <v>273</v>
      </c>
      <c r="J26" s="353" t="s">
        <v>233</v>
      </c>
      <c r="K26" s="368" t="s">
        <v>234</v>
      </c>
      <c r="L26" s="353" t="s">
        <v>106</v>
      </c>
      <c r="M26" s="1" t="n">
        <v>26</v>
      </c>
    </row>
    <row r="27" customFormat="false" ht="31.5" hidden="false" customHeight="true" outlineLevel="0" collapsed="false">
      <c r="A27" s="345" t="s">
        <v>89</v>
      </c>
      <c r="B27" s="345" t="s">
        <v>274</v>
      </c>
      <c r="C27" s="346" t="s">
        <v>163</v>
      </c>
      <c r="D27" s="371" t="n">
        <v>1363</v>
      </c>
      <c r="E27" s="369" t="n">
        <f aca="false">IFERROR(INDEX('FY29 Covenant Compliance (TEV)'!F:F,MATCH(M27,'FY29 Covenant Compliance (TEV)'!A:A,0)),"—")</f>
        <v>2186.35</v>
      </c>
      <c r="F27" s="370" t="n">
        <f aca="false">IFERROR(IF(C27="&gt;=",E27-D27,D27-E27),"—")</f>
        <v>823.35</v>
      </c>
      <c r="G27" s="350" t="str">
        <f aca="false">IFERROR(IF(ISTEXT(E27),"Pending Input",IF(F27&lt;0,"Breached",IF(F27&lt;ABS(D27)*0.05,"Near Breach","Compliant"))),"—")</f>
        <v>Compliant</v>
      </c>
      <c r="H27" s="361" t="str">
        <f aca="false">IFERROR(IF(G27="Breached","Critical",IF(G27="Near Breach","Medium",IF(G27="Compliant","Low","—"))),"—")</f>
        <v>Low</v>
      </c>
      <c r="I27" s="362" t="s">
        <v>275</v>
      </c>
      <c r="J27" s="363" t="s">
        <v>265</v>
      </c>
      <c r="K27" s="354" t="s">
        <v>276</v>
      </c>
      <c r="L27" s="355" t="s">
        <v>277</v>
      </c>
      <c r="M27" s="1" t="n">
        <v>27</v>
      </c>
    </row>
    <row r="28" customFormat="false" ht="31.5" hidden="false" customHeight="true" outlineLevel="0" collapsed="false">
      <c r="A28" s="365" t="s">
        <v>167</v>
      </c>
      <c r="B28" s="366" t="s">
        <v>189</v>
      </c>
      <c r="C28" s="367" t="s">
        <v>163</v>
      </c>
      <c r="D28" s="348" t="n">
        <v>2.5</v>
      </c>
      <c r="E28" s="348" t="n">
        <f aca="false">IFERROR(INDEX('FY29 Covenant Compliance (TEV)'!F:F,MATCH(M28,'FY29 Covenant Compliance (TEV)'!A:A,0)),"—")</f>
        <v>11.381328</v>
      </c>
      <c r="F28" s="349" t="n">
        <f aca="false">IFERROR(IF(C28="&gt;=",E28-D28,D28-E28),"—")</f>
        <v>8.881328</v>
      </c>
      <c r="G28" s="350" t="str">
        <f aca="false">IFERROR(IF(ISTEXT(E28),"Pending Input",IF(F28&lt;0,"Breached",IF(F28&lt;ABS(D28)*0.05,"Near Breach","Compliant"))),"—")</f>
        <v>Compliant</v>
      </c>
      <c r="H28" s="351" t="str">
        <f aca="false">IFERROR(IF(G28="Breached","Critical",IF(G28="Near Breach","Medium",IF(G28="Compliant","Low","—"))),"—")</f>
        <v>Low</v>
      </c>
      <c r="I28" s="352" t="s">
        <v>278</v>
      </c>
      <c r="J28" s="353" t="s">
        <v>233</v>
      </c>
      <c r="K28" s="368" t="s">
        <v>266</v>
      </c>
      <c r="L28" s="353" t="s">
        <v>267</v>
      </c>
      <c r="M28" s="1" t="n">
        <v>28</v>
      </c>
    </row>
    <row r="29" customFormat="false" ht="31.5" hidden="false" customHeight="true" outlineLevel="0" collapsed="false">
      <c r="A29" s="356" t="s">
        <v>167</v>
      </c>
      <c r="B29" s="357" t="s">
        <v>279</v>
      </c>
      <c r="C29" s="358" t="s">
        <v>163</v>
      </c>
      <c r="D29" s="372" t="n">
        <v>10</v>
      </c>
      <c r="E29" s="373" t="n">
        <f aca="false">IFERROR(INDEX('FY29 Covenant Compliance (TEV)'!F:F,MATCH(M29,'FY29 Covenant Compliance (TEV)'!A:A,0)),"—")</f>
        <v>14</v>
      </c>
      <c r="F29" s="374" t="n">
        <f aca="false">IFERROR(IF(C29="&gt;=",E29-D29,D29-E29),"—")</f>
        <v>4</v>
      </c>
      <c r="G29" s="350" t="str">
        <f aca="false">IFERROR(IF(ISTEXT(E29),"Pending Input",IF(F29&lt;0,"Breached",IF(F29&lt;ABS(D29)*0.05,"Near Breach","Compliant"))),"—")</f>
        <v>Compliant</v>
      </c>
      <c r="H29" s="361" t="str">
        <f aca="false">IFERROR(IF(G29="Breached","Critical",IF(G29="Near Breach","Medium",IF(G29="Compliant","Low","—"))),"—")</f>
        <v>Low</v>
      </c>
      <c r="I29" s="362" t="s">
        <v>280</v>
      </c>
      <c r="J29" s="363" t="s">
        <v>233</v>
      </c>
      <c r="K29" s="364" t="s">
        <v>281</v>
      </c>
      <c r="L29" s="363" t="s">
        <v>277</v>
      </c>
      <c r="M29" s="1" t="n">
        <v>29</v>
      </c>
    </row>
    <row r="30" customFormat="false" ht="31.5" hidden="false" customHeight="true" outlineLevel="0" collapsed="false">
      <c r="A30" s="345" t="s">
        <v>282</v>
      </c>
      <c r="B30" s="345" t="s">
        <v>283</v>
      </c>
      <c r="C30" s="346" t="s">
        <v>173</v>
      </c>
      <c r="D30" s="347" t="n">
        <v>4</v>
      </c>
      <c r="E30" s="348" t="n">
        <f aca="false">IFERROR(INDEX('FY29 Covenant Compliance (TEV)'!F:F,MATCH(M30,'FY29 Covenant Compliance (TEV)'!A:A,0)),"—")</f>
        <v>2.81477187264979</v>
      </c>
      <c r="F30" s="349" t="n">
        <f aca="false">IFERROR(IF(C30="&gt;=",E30-D30,D30-E30),"—")</f>
        <v>1.18522812735021</v>
      </c>
      <c r="G30" s="350" t="str">
        <f aca="false">IFERROR(IF(ISTEXT(E30),"Pending Input",IF(F30&lt;0,"Breached",IF(F30&lt;ABS(D30)*0.05,"Near Breach","Compliant"))),"—")</f>
        <v>Compliant</v>
      </c>
      <c r="H30" s="351" t="str">
        <f aca="false">IFERROR(IF(G30="Breached","Critical",IF(G30="Near Breach","Medium",IF(G30="Compliant","Low","—"))),"—")</f>
        <v>Low</v>
      </c>
      <c r="I30" s="352" t="s">
        <v>284</v>
      </c>
      <c r="J30" s="353" t="s">
        <v>233</v>
      </c>
      <c r="K30" s="354" t="s">
        <v>285</v>
      </c>
      <c r="L30" s="355" t="s">
        <v>286</v>
      </c>
      <c r="M30" s="1" t="n">
        <v>30</v>
      </c>
    </row>
    <row r="31" customFormat="false" ht="31.5" hidden="false" customHeight="true" outlineLevel="0" collapsed="false">
      <c r="A31" s="356" t="s">
        <v>167</v>
      </c>
      <c r="B31" s="357" t="s">
        <v>287</v>
      </c>
      <c r="C31" s="358" t="s">
        <v>173</v>
      </c>
      <c r="D31" s="359" t="n">
        <v>2.5</v>
      </c>
      <c r="E31" s="359" t="n">
        <f aca="false">IFERROR(INDEX('FY29 Covenant Compliance (TEV)'!F:F,MATCH(M31,'FY29 Covenant Compliance (TEV)'!A:A,0)),"—")</f>
        <v>1.72161364831797</v>
      </c>
      <c r="F31" s="360" t="n">
        <f aca="false">IFERROR(IF(C31="&gt;=",E31-D31,D31-E31),"—")</f>
        <v>0.77838635168203</v>
      </c>
      <c r="G31" s="350" t="str">
        <f aca="false">IFERROR(IF(ISTEXT(E31),"Pending Input",IF(F31&lt;0,"Breached",IF(F31&lt;ABS(D31)*0.05,"Near Breach","Compliant"))),"—")</f>
        <v>Compliant</v>
      </c>
      <c r="H31" s="361" t="str">
        <f aca="false">IFERROR(IF(G31="Breached","Critical",IF(G31="Near Breach","Medium",IF(G31="Compliant","Low","—"))),"—")</f>
        <v>Low</v>
      </c>
      <c r="I31" s="362" t="s">
        <v>288</v>
      </c>
      <c r="J31" s="363" t="s">
        <v>233</v>
      </c>
      <c r="K31" s="364" t="s">
        <v>285</v>
      </c>
      <c r="L31" s="363" t="s">
        <v>286</v>
      </c>
      <c r="M31" s="1" t="n">
        <v>31</v>
      </c>
    </row>
    <row r="32" customFormat="false" ht="31.5" hidden="false" customHeight="true" outlineLevel="0" collapsed="false">
      <c r="A32" s="365" t="s">
        <v>167</v>
      </c>
      <c r="B32" s="366" t="s">
        <v>289</v>
      </c>
      <c r="C32" s="367" t="s">
        <v>163</v>
      </c>
      <c r="D32" s="348" t="n">
        <v>1.1</v>
      </c>
      <c r="E32" s="348" t="n">
        <f aca="false">IFERROR(INDEX('FY29 Covenant Compliance (TEV)'!F:F,MATCH(M32,'FY29 Covenant Compliance (TEV)'!A:A,0)),"—")</f>
        <v>1.88786337209302</v>
      </c>
      <c r="F32" s="349" t="n">
        <f aca="false">IFERROR(IF(C32="&gt;=",E32-D32,D32-E32),"—")</f>
        <v>0.78786337209302</v>
      </c>
      <c r="G32" s="350" t="str">
        <f aca="false">IFERROR(IF(ISTEXT(E32),"Pending Input",IF(F32&lt;0,"Breached",IF(F32&lt;ABS(D32)*0.05,"Near Breach","Compliant"))),"—")</f>
        <v>Compliant</v>
      </c>
      <c r="H32" s="351" t="str">
        <f aca="false">IFERROR(IF(G32="Breached","Critical",IF(G32="Near Breach","Medium",IF(G32="Compliant","Low","—"))),"—")</f>
        <v>Low</v>
      </c>
      <c r="I32" s="352" t="s">
        <v>290</v>
      </c>
      <c r="J32" s="353" t="s">
        <v>233</v>
      </c>
      <c r="K32" s="368" t="s">
        <v>285</v>
      </c>
      <c r="L32" s="353" t="s">
        <v>286</v>
      </c>
      <c r="M32" s="1" t="n">
        <v>32</v>
      </c>
    </row>
    <row r="33" customFormat="false" ht="31.5" hidden="false" customHeight="true" outlineLevel="0" collapsed="false">
      <c r="A33" s="375" t="s">
        <v>167</v>
      </c>
      <c r="B33" s="376" t="s">
        <v>291</v>
      </c>
      <c r="C33" s="377" t="s">
        <v>163</v>
      </c>
      <c r="D33" s="378" t="n">
        <v>14</v>
      </c>
      <c r="E33" s="379" t="n">
        <f aca="false">IFERROR(INDEX('FY29 Covenant Compliance (TEV)'!F:F,MATCH(M33,'FY29 Covenant Compliance (TEV)'!A:A,0)),"—")</f>
        <v>14</v>
      </c>
      <c r="F33" s="380" t="n">
        <f aca="false">IFERROR(IF(C33="&gt;=",E33-D33,D33-E33),"—")</f>
        <v>0</v>
      </c>
      <c r="G33" s="381" t="str">
        <f aca="false">IFERROR(IF(ISTEXT(E33),"Pending Input",IF(F33&lt;0,"Breached",IF(F33&lt;ABS(D33)*0.05,"Near Breach","Compliant"))),"—")</f>
        <v>Near Breach</v>
      </c>
      <c r="H33" s="382" t="str">
        <f aca="false">IFERROR(IF(G33="Breached","Critical",IF(G33="Near Breach","Medium",IF(G33="Compliant","Low","—"))),"—")</f>
        <v>Medium</v>
      </c>
      <c r="I33" s="383" t="s">
        <v>292</v>
      </c>
      <c r="J33" s="384" t="s">
        <v>233</v>
      </c>
      <c r="K33" s="385" t="s">
        <v>281</v>
      </c>
      <c r="L33" s="384" t="s">
        <v>286</v>
      </c>
      <c r="M33" s="1" t="n">
        <v>33</v>
      </c>
    </row>
    <row r="34" customFormat="false" ht="31.5" hidden="false" customHeight="true" outlineLevel="0" collapsed="false">
      <c r="A34" s="345" t="s">
        <v>94</v>
      </c>
      <c r="B34" s="345" t="s">
        <v>206</v>
      </c>
      <c r="C34" s="346" t="s">
        <v>163</v>
      </c>
      <c r="D34" s="347" t="n">
        <v>2.5</v>
      </c>
      <c r="E34" s="348" t="n">
        <f aca="false">IFERROR(INDEX('FY29 Covenant Compliance (TEV)'!F:F,MATCH(M34,'FY29 Covenant Compliance (TEV)'!A:A,0)),"—")</f>
        <v>11.381328</v>
      </c>
      <c r="F34" s="349" t="n">
        <f aca="false">IFERROR(IF(C34="&gt;=",E34-D34,D34-E34),"—")</f>
        <v>8.881328</v>
      </c>
      <c r="G34" s="350" t="str">
        <f aca="false">IFERROR(IF(ISTEXT(E34),"Pending Input",IF(F34&lt;0,"Breached",IF(F34&lt;ABS(D34)*0.05,"Near Breach","Compliant"))),"—")</f>
        <v>Compliant</v>
      </c>
      <c r="H34" s="351" t="str">
        <f aca="false">IFERROR(IF(G34="Breached","Critical",IF(G34="Near Breach","Medium",IF(G34="Compliant","Low","—"))),"—")</f>
        <v>Low</v>
      </c>
      <c r="I34" s="352" t="s">
        <v>293</v>
      </c>
      <c r="J34" s="353" t="s">
        <v>233</v>
      </c>
      <c r="K34" s="354" t="s">
        <v>266</v>
      </c>
      <c r="L34" s="355" t="s">
        <v>267</v>
      </c>
      <c r="M34" s="1" t="n">
        <v>35</v>
      </c>
    </row>
    <row r="35" customFormat="false" ht="31.5" hidden="false" customHeight="true" outlineLevel="0" collapsed="false">
      <c r="A35" s="356" t="s">
        <v>167</v>
      </c>
      <c r="B35" s="357" t="s">
        <v>231</v>
      </c>
      <c r="C35" s="358" t="s">
        <v>163</v>
      </c>
      <c r="D35" s="359" t="n">
        <v>1.25</v>
      </c>
      <c r="E35" s="359" t="n">
        <f aca="false">IFERROR(INDEX('FY29 Covenant Compliance (TEV)'!F:F,MATCH(M35,'FY29 Covenant Compliance (TEV)'!A:A,0)),"—")</f>
        <v>1.80088294651867</v>
      </c>
      <c r="F35" s="360" t="n">
        <f aca="false">IFERROR(IF(C35="&gt;=",E35-D35,D35-E35),"—")</f>
        <v>0.55088294651867</v>
      </c>
      <c r="G35" s="350" t="str">
        <f aca="false">IFERROR(IF(ISTEXT(E35),"Pending Input",IF(F35&lt;0,"Breached",IF(F35&lt;ABS(D35)*0.05,"Near Breach","Compliant"))),"—")</f>
        <v>Compliant</v>
      </c>
      <c r="H35" s="361" t="str">
        <f aca="false">IFERROR(IF(G35="Breached","Critical",IF(G35="Near Breach","Medium",IF(G35="Compliant","Low","—"))),"—")</f>
        <v>Low</v>
      </c>
      <c r="I35" s="362" t="s">
        <v>294</v>
      </c>
      <c r="J35" s="363" t="s">
        <v>233</v>
      </c>
      <c r="K35" s="364" t="s">
        <v>234</v>
      </c>
      <c r="L35" s="363" t="s">
        <v>235</v>
      </c>
      <c r="M35" s="1" t="n">
        <v>36</v>
      </c>
    </row>
    <row r="36" customFormat="false" ht="31.5" hidden="false" customHeight="true" outlineLevel="0" collapsed="false">
      <c r="A36" s="365" t="s">
        <v>167</v>
      </c>
      <c r="B36" s="366" t="s">
        <v>236</v>
      </c>
      <c r="C36" s="367" t="s">
        <v>163</v>
      </c>
      <c r="D36" s="348" t="n">
        <v>1.2</v>
      </c>
      <c r="E36" s="348" t="n">
        <f aca="false">IFERROR(INDEX('FY29 Covenant Compliance (TEV)'!F:F,MATCH(M36,'FY29 Covenant Compliance (TEV)'!A:A,0)),"—")</f>
        <v>1.5100186344507</v>
      </c>
      <c r="F36" s="349" t="n">
        <f aca="false">IFERROR(IF(C36="&gt;=",E36-D36,D36-E36),"—")</f>
        <v>0.3100186344507</v>
      </c>
      <c r="G36" s="350" t="str">
        <f aca="false">IFERROR(IF(ISTEXT(E36),"Pending Input",IF(F36&lt;0,"Breached",IF(F36&lt;ABS(D36)*0.05,"Near Breach","Compliant"))),"—")</f>
        <v>Compliant</v>
      </c>
      <c r="H36" s="351" t="str">
        <f aca="false">IFERROR(IF(G36="Breached","Critical",IF(G36="Near Breach","Medium",IF(G36="Compliant","Low","—"))),"—")</f>
        <v>Low</v>
      </c>
      <c r="I36" s="352" t="s">
        <v>295</v>
      </c>
      <c r="J36" s="353" t="s">
        <v>233</v>
      </c>
      <c r="K36" s="368" t="s">
        <v>234</v>
      </c>
      <c r="L36" s="353" t="s">
        <v>235</v>
      </c>
      <c r="M36" s="1" t="n">
        <v>37</v>
      </c>
    </row>
    <row r="37" customFormat="false" ht="31.5" hidden="false" customHeight="true" outlineLevel="0" collapsed="false">
      <c r="A37" s="356" t="s">
        <v>167</v>
      </c>
      <c r="B37" s="357" t="s">
        <v>238</v>
      </c>
      <c r="C37" s="358" t="s">
        <v>163</v>
      </c>
      <c r="D37" s="359" t="n">
        <v>2</v>
      </c>
      <c r="E37" s="359" t="n">
        <f aca="false">IFERROR(INDEX('FY29 Covenant Compliance (TEV)'!F:F,MATCH(M37,'FY29 Covenant Compliance (TEV)'!A:A,0)),"—")</f>
        <v>3.65488279758723</v>
      </c>
      <c r="F37" s="360" t="n">
        <f aca="false">IFERROR(IF(C37="&gt;=",E37-D37,D37-E37),"—")</f>
        <v>1.65488279758723</v>
      </c>
      <c r="G37" s="350" t="str">
        <f aca="false">IFERROR(IF(ISTEXT(E37),"Pending Input",IF(F37&lt;0,"Breached",IF(F37&lt;ABS(D37)*0.05,"Near Breach","Compliant"))),"—")</f>
        <v>Compliant</v>
      </c>
      <c r="H37" s="361" t="str">
        <f aca="false">IFERROR(IF(G37="Breached","Critical",IF(G37="Near Breach","Medium",IF(G37="Compliant","Low","—"))),"—")</f>
        <v>Low</v>
      </c>
      <c r="I37" s="362" t="s">
        <v>296</v>
      </c>
      <c r="J37" s="363" t="s">
        <v>233</v>
      </c>
      <c r="K37" s="364" t="s">
        <v>234</v>
      </c>
      <c r="L37" s="363" t="s">
        <v>235</v>
      </c>
      <c r="M37" s="1" t="n">
        <v>38</v>
      </c>
    </row>
    <row r="38" customFormat="false" ht="31.5" hidden="false" customHeight="true" outlineLevel="0" collapsed="false">
      <c r="A38" s="365" t="s">
        <v>167</v>
      </c>
      <c r="B38" s="366" t="s">
        <v>240</v>
      </c>
      <c r="C38" s="367" t="s">
        <v>173</v>
      </c>
      <c r="D38" s="348" t="n">
        <v>4</v>
      </c>
      <c r="E38" s="348" t="n">
        <f aca="false">IFERROR(INDEX('FY29 Covenant Compliance (TEV)'!F:F,MATCH(M38,'FY29 Covenant Compliance (TEV)'!A:A,0)),"—")</f>
        <v>2.4944117155511</v>
      </c>
      <c r="F38" s="349" t="n">
        <f aca="false">IFERROR(IF(C38="&gt;=",E38-D38,D38-E38),"—")</f>
        <v>1.5055882844489</v>
      </c>
      <c r="G38" s="350" t="str">
        <f aca="false">IFERROR(IF(ISTEXT(E38),"Pending Input",IF(F38&lt;0,"Breached",IF(F38&lt;ABS(D38)*0.05,"Near Breach","Compliant"))),"—")</f>
        <v>Compliant</v>
      </c>
      <c r="H38" s="351" t="str">
        <f aca="false">IFERROR(IF(G38="Breached","Critical",IF(G38="Near Breach","Medium",IF(G38="Compliant","Low","—"))),"—")</f>
        <v>Low</v>
      </c>
      <c r="I38" s="352" t="s">
        <v>297</v>
      </c>
      <c r="J38" s="353" t="s">
        <v>233</v>
      </c>
      <c r="K38" s="368" t="s">
        <v>234</v>
      </c>
      <c r="L38" s="353" t="s">
        <v>235</v>
      </c>
      <c r="M38" s="1" t="n">
        <v>39</v>
      </c>
    </row>
    <row r="39" customFormat="false" ht="31.5" hidden="false" customHeight="true" outlineLevel="0" collapsed="false">
      <c r="A39" s="356" t="s">
        <v>167</v>
      </c>
      <c r="B39" s="357" t="s">
        <v>242</v>
      </c>
      <c r="C39" s="358" t="s">
        <v>173</v>
      </c>
      <c r="D39" s="359" t="n">
        <v>2</v>
      </c>
      <c r="E39" s="359" t="n">
        <f aca="false">IFERROR(INDEX('FY29 Covenant Compliance (TEV)'!F:F,MATCH(M39,'FY29 Covenant Compliance (TEV)'!A:A,0)),"—")</f>
        <v>1.09225421364374</v>
      </c>
      <c r="F39" s="360" t="n">
        <f aca="false">IFERROR(IF(C39="&gt;=",E39-D39,D39-E39),"—")</f>
        <v>0.90774578635626</v>
      </c>
      <c r="G39" s="350" t="str">
        <f aca="false">IFERROR(IF(ISTEXT(E39),"Pending Input",IF(F39&lt;0,"Breached",IF(F39&lt;ABS(D39)*0.05,"Near Breach","Compliant"))),"—")</f>
        <v>Compliant</v>
      </c>
      <c r="H39" s="361" t="str">
        <f aca="false">IFERROR(IF(G39="Breached","Critical",IF(G39="Near Breach","Medium",IF(G39="Compliant","Low","—"))),"—")</f>
        <v>Low</v>
      </c>
      <c r="I39" s="362" t="s">
        <v>298</v>
      </c>
      <c r="J39" s="363" t="s">
        <v>233</v>
      </c>
      <c r="K39" s="364" t="s">
        <v>234</v>
      </c>
      <c r="L39" s="363" t="s">
        <v>235</v>
      </c>
      <c r="M39" s="1" t="n">
        <v>40</v>
      </c>
    </row>
    <row r="40" customFormat="false" ht="31.5" hidden="false" customHeight="true" outlineLevel="0" collapsed="false">
      <c r="A40" s="365" t="s">
        <v>167</v>
      </c>
      <c r="B40" s="366" t="s">
        <v>196</v>
      </c>
      <c r="C40" s="367" t="s">
        <v>173</v>
      </c>
      <c r="D40" s="348" t="n">
        <v>4.25</v>
      </c>
      <c r="E40" s="348" t="n">
        <f aca="false">IFERROR(INDEX('FY29 Covenant Compliance (TEV)'!F:F,MATCH(M40,'FY29 Covenant Compliance (TEV)'!A:A,0)),"—")</f>
        <v>2.81477187264979</v>
      </c>
      <c r="F40" s="349" t="n">
        <f aca="false">IFERROR(IF(C40="&gt;=",E40-D40,D40-E40),"—")</f>
        <v>1.43522812735021</v>
      </c>
      <c r="G40" s="350" t="str">
        <f aca="false">IFERROR(IF(ISTEXT(E40),"Pending Input",IF(F40&lt;0,"Breached",IF(F40&lt;ABS(D40)*0.05,"Near Breach","Compliant"))),"—")</f>
        <v>Compliant</v>
      </c>
      <c r="H40" s="351" t="str">
        <f aca="false">IFERROR(IF(G40="Breached","Critical",IF(G40="Near Breach","Medium",IF(G40="Compliant","Low","—"))),"—")</f>
        <v>Low</v>
      </c>
      <c r="I40" s="352" t="s">
        <v>299</v>
      </c>
      <c r="J40" s="353" t="s">
        <v>233</v>
      </c>
      <c r="K40" s="368" t="s">
        <v>234</v>
      </c>
      <c r="L40" s="353" t="s">
        <v>235</v>
      </c>
      <c r="M40" s="1" t="n">
        <v>41</v>
      </c>
    </row>
    <row r="41" customFormat="false" ht="31.5" hidden="false" customHeight="true" outlineLevel="0" collapsed="false">
      <c r="A41" s="345" t="s">
        <v>210</v>
      </c>
      <c r="B41" s="345" t="s">
        <v>300</v>
      </c>
      <c r="C41" s="346" t="s">
        <v>173</v>
      </c>
      <c r="D41" s="347" t="n">
        <v>0.4</v>
      </c>
      <c r="E41" s="386" t="n">
        <f aca="false">IFERROR(INDEX('FY29 Covenant Compliance (TEV)'!F:F,MATCH(M41,'FY29 Covenant Compliance (TEV)'!A:A,0)),"—")</f>
        <v>0.1241</v>
      </c>
      <c r="F41" s="387" t="n">
        <f aca="false">IFERROR(IF(C41="&gt;=",E41-D41,D41-E41),"—")</f>
        <v>0.2759</v>
      </c>
      <c r="G41" s="350" t="str">
        <f aca="false">IFERROR(IF(ISTEXT(E41),"Pending Input",IF(F41&lt;0,"Breached",IF(F41&lt;ABS(D41)*0.05,"Near Breach","Compliant"))),"—")</f>
        <v>Compliant</v>
      </c>
      <c r="H41" s="361" t="str">
        <f aca="false">IFERROR(IF(G41="Breached","Critical",IF(G41="Near Breach","Medium",IF(G41="Compliant","Low","—"))),"—")</f>
        <v>Low</v>
      </c>
      <c r="I41" s="362" t="s">
        <v>301</v>
      </c>
      <c r="J41" s="363" t="s">
        <v>233</v>
      </c>
      <c r="K41" s="354" t="s">
        <v>266</v>
      </c>
      <c r="L41" s="355" t="s">
        <v>267</v>
      </c>
      <c r="M41" s="1" t="n">
        <v>43</v>
      </c>
    </row>
    <row r="42" customFormat="false" ht="31.5" hidden="false" customHeight="true" outlineLevel="0" collapsed="false">
      <c r="A42" s="345" t="s">
        <v>90</v>
      </c>
      <c r="B42" s="345" t="s">
        <v>196</v>
      </c>
      <c r="C42" s="346" t="s">
        <v>173</v>
      </c>
      <c r="D42" s="347" t="n">
        <v>4.25</v>
      </c>
      <c r="E42" s="348" t="n">
        <f aca="false">IFERROR(INDEX('FY29 Covenant Compliance (TEV)'!F:F,MATCH(M42,'FY29 Covenant Compliance (TEV)'!A:A,0)),"—")</f>
        <v>2.81477187264979</v>
      </c>
      <c r="F42" s="349" t="n">
        <f aca="false">IFERROR(IF(C42="&gt;=",E42-D42,D42-E42),"—")</f>
        <v>1.43522812735021</v>
      </c>
      <c r="G42" s="350" t="str">
        <f aca="false">IFERROR(IF(ISTEXT(E42),"Pending Input",IF(F42&lt;0,"Breached",IF(F42&lt;ABS(D42)*0.05,"Near Breach","Compliant"))),"—")</f>
        <v>Compliant</v>
      </c>
      <c r="H42" s="351" t="str">
        <f aca="false">IFERROR(IF(G42="Breached","Critical",IF(G42="Near Breach","Medium",IF(G42="Compliant","Low","—"))),"—")</f>
        <v>Low</v>
      </c>
      <c r="I42" s="352" t="s">
        <v>302</v>
      </c>
      <c r="J42" s="353" t="s">
        <v>233</v>
      </c>
      <c r="K42" s="354" t="s">
        <v>234</v>
      </c>
      <c r="L42" s="355" t="s">
        <v>235</v>
      </c>
      <c r="M42" s="1" t="n">
        <v>45</v>
      </c>
    </row>
    <row r="43" customFormat="false" ht="31.5" hidden="false" customHeight="true" outlineLevel="0" collapsed="false">
      <c r="A43" s="356" t="s">
        <v>167</v>
      </c>
      <c r="B43" s="357" t="s">
        <v>196</v>
      </c>
      <c r="C43" s="358" t="s">
        <v>173</v>
      </c>
      <c r="D43" s="359" t="n">
        <v>4.25</v>
      </c>
      <c r="E43" s="359" t="n">
        <f aca="false">IFERROR(INDEX('FY29 Covenant Compliance (TEV)'!F:F,MATCH(M43,'FY29 Covenant Compliance (TEV)'!A:A,0)),"—")</f>
        <v>2.81477187264979</v>
      </c>
      <c r="F43" s="360" t="n">
        <f aca="false">IFERROR(IF(C43="&gt;=",E43-D43,D43-E43),"—")</f>
        <v>1.43522812735021</v>
      </c>
      <c r="G43" s="350" t="str">
        <f aca="false">IFERROR(IF(ISTEXT(E43),"Pending Input",IF(F43&lt;0,"Breached",IF(F43&lt;ABS(D43)*0.05,"Near Breach","Compliant"))),"—")</f>
        <v>Compliant</v>
      </c>
      <c r="H43" s="361" t="str">
        <f aca="false">IFERROR(IF(G43="Breached","Critical",IF(G43="Near Breach","Medium",IF(G43="Compliant","Low","—"))),"—")</f>
        <v>Low</v>
      </c>
      <c r="I43" s="362" t="s">
        <v>303</v>
      </c>
      <c r="J43" s="363" t="s">
        <v>233</v>
      </c>
      <c r="K43" s="364" t="s">
        <v>234</v>
      </c>
      <c r="L43" s="363" t="s">
        <v>235</v>
      </c>
      <c r="M43" s="1" t="n">
        <v>46</v>
      </c>
    </row>
    <row r="44" customFormat="false" ht="31.5" hidden="false" customHeight="true" outlineLevel="0" collapsed="false">
      <c r="A44" s="345" t="s">
        <v>88</v>
      </c>
      <c r="B44" s="388" t="s">
        <v>304</v>
      </c>
      <c r="C44" s="389" t="s">
        <v>163</v>
      </c>
      <c r="D44" s="390" t="n">
        <v>1.2</v>
      </c>
      <c r="E44" s="391" t="n">
        <f aca="false">IFERROR(INDEX('FY29 Covenant Compliance (TEV)'!F:F,MATCH(M44,'FY29 Covenant Compliance (TEV)'!A:A,0)),"—")</f>
        <v>1.5100186344507</v>
      </c>
      <c r="F44" s="392" t="n">
        <f aca="false">IFERROR(IF(C44="&gt;=",E44-D44,D44-E44),"—")</f>
        <v>0.3100186344507</v>
      </c>
      <c r="G44" s="393" t="str">
        <f aca="false">IFERROR(IF(ISTEXT(E44),"Pending Input",IF(F44&lt;0,"Breached",IF(F44&lt;ABS(D44)*0.05,"Near Breach","Compliant"))),"—")</f>
        <v>Compliant</v>
      </c>
      <c r="H44" s="394" t="str">
        <f aca="false">IFERROR(IF(G44="Breached","Critical",IF(G44="Near Breach","Medium",IF(G44="Compliant","Low","—"))),"—")</f>
        <v>Low</v>
      </c>
      <c r="I44" s="395" t="s">
        <v>305</v>
      </c>
      <c r="J44" s="394" t="s">
        <v>246</v>
      </c>
      <c r="K44" s="396" t="s">
        <v>234</v>
      </c>
      <c r="L44" s="397" t="s">
        <v>247</v>
      </c>
      <c r="M44" s="1" t="n">
        <v>47</v>
      </c>
    </row>
    <row r="45" customFormat="false" ht="31.5" hidden="false" customHeight="true" outlineLevel="0" collapsed="false">
      <c r="A45" s="398" t="s">
        <v>88</v>
      </c>
      <c r="B45" s="388" t="s">
        <v>306</v>
      </c>
      <c r="C45" s="389" t="s">
        <v>163</v>
      </c>
      <c r="D45" s="390" t="n">
        <v>2</v>
      </c>
      <c r="E45" s="399" t="n">
        <f aca="false">IFERROR(INDEX('FY29 Covenant Compliance (TEV)'!F:F,MATCH(M45,'FY29 Covenant Compliance (TEV)'!A:A,0)),"—")</f>
        <v>3.65488279758723</v>
      </c>
      <c r="F45" s="400" t="n">
        <f aca="false">IFERROR(IF(C45="&gt;=",E45-D45,D45-E45),"—")</f>
        <v>1.65488279758723</v>
      </c>
      <c r="G45" s="393" t="str">
        <f aca="false">IFERROR(IF(ISTEXT(E45),"Pending Input",IF(F45&lt;0,"Breached",IF(F45&lt;ABS(D45)*0.05,"Near Breach","Compliant"))),"—")</f>
        <v>Compliant</v>
      </c>
      <c r="H45" s="401" t="str">
        <f aca="false">IFERROR(IF(G45="Breached","Critical",IF(G45="Near Breach","Medium",IF(G45="Compliant","Low","—"))),"—")</f>
        <v>Low</v>
      </c>
      <c r="I45" s="402" t="s">
        <v>307</v>
      </c>
      <c r="J45" s="401" t="s">
        <v>246</v>
      </c>
      <c r="K45" s="396" t="s">
        <v>234</v>
      </c>
      <c r="L45" s="397" t="s">
        <v>247</v>
      </c>
      <c r="M45" s="1" t="n">
        <v>48</v>
      </c>
    </row>
    <row r="46" customFormat="false" ht="31.5" hidden="false" customHeight="true" outlineLevel="0" collapsed="false">
      <c r="A46" s="365" t="s">
        <v>167</v>
      </c>
      <c r="B46" s="403" t="s">
        <v>308</v>
      </c>
      <c r="C46" s="404" t="s">
        <v>173</v>
      </c>
      <c r="D46" s="391" t="n">
        <v>4</v>
      </c>
      <c r="E46" s="391" t="n">
        <f aca="false">IFERROR(INDEX('FY29 Covenant Compliance (TEV)'!F:F,MATCH(M46,'FY29 Covenant Compliance (TEV)'!A:A,0)),"—")</f>
        <v>2.4944117155511</v>
      </c>
      <c r="F46" s="392" t="n">
        <f aca="false">IFERROR(IF(C46="&gt;=",E46-D46,D46-E46),"—")</f>
        <v>1.5055882844489</v>
      </c>
      <c r="G46" s="393" t="str">
        <f aca="false">IFERROR(IF(ISTEXT(E46),"Pending Input",IF(F46&lt;0,"Breached",IF(F46&lt;ABS(D46)*0.05,"Near Breach","Compliant"))),"—")</f>
        <v>Compliant</v>
      </c>
      <c r="H46" s="394" t="str">
        <f aca="false">IFERROR(IF(G46="Breached","Critical",IF(G46="Near Breach","Medium",IF(G46="Compliant","Low","—"))),"—")</f>
        <v>Low</v>
      </c>
      <c r="I46" s="395" t="s">
        <v>309</v>
      </c>
      <c r="J46" s="394" t="s">
        <v>246</v>
      </c>
      <c r="K46" s="405" t="s">
        <v>234</v>
      </c>
      <c r="L46" s="394" t="s">
        <v>247</v>
      </c>
      <c r="M46" s="1" t="n">
        <v>49</v>
      </c>
    </row>
    <row r="47" customFormat="false" ht="31.5" hidden="false" customHeight="true" outlineLevel="0" collapsed="false">
      <c r="A47" s="357" t="s">
        <v>167</v>
      </c>
      <c r="B47" s="406" t="s">
        <v>310</v>
      </c>
      <c r="C47" s="407" t="s">
        <v>173</v>
      </c>
      <c r="D47" s="399" t="n">
        <v>2</v>
      </c>
      <c r="E47" s="399" t="n">
        <f aca="false">IFERROR(INDEX('FY29 Covenant Compliance (TEV)'!F:F,MATCH(M47,'FY29 Covenant Compliance (TEV)'!A:A,0)),"—")</f>
        <v>1.09225421364374</v>
      </c>
      <c r="F47" s="400" t="n">
        <f aca="false">IFERROR(IF(C47="&gt;=",E47-D47,D47-E47),"—")</f>
        <v>0.90774578635626</v>
      </c>
      <c r="G47" s="393" t="str">
        <f aca="false">IFERROR(IF(ISTEXT(E47),"Pending Input",IF(F47&lt;0,"Breached",IF(F47&lt;ABS(D47)*0.05,"Near Breach","Compliant"))),"—")</f>
        <v>Compliant</v>
      </c>
      <c r="H47" s="401" t="str">
        <f aca="false">IFERROR(IF(G47="Breached","Critical",IF(G47="Near Breach","Medium",IF(G47="Compliant","Low","—"))),"—")</f>
        <v>Low</v>
      </c>
      <c r="I47" s="408" t="s">
        <v>311</v>
      </c>
      <c r="J47" s="401" t="s">
        <v>246</v>
      </c>
      <c r="K47" s="409" t="s">
        <v>234</v>
      </c>
      <c r="L47" s="401" t="s">
        <v>247</v>
      </c>
      <c r="M47" s="1" t="n">
        <v>50</v>
      </c>
    </row>
    <row r="48" customFormat="false" ht="6" hidden="false" customHeight="true" outlineLevel="0" collapsed="false">
      <c r="A48" s="410"/>
      <c r="B48" s="298"/>
      <c r="C48" s="298"/>
      <c r="D48" s="298"/>
      <c r="E48" s="298"/>
      <c r="F48" s="298"/>
      <c r="G48" s="298"/>
      <c r="H48" s="298"/>
      <c r="I48" s="411"/>
      <c r="J48" s="298"/>
      <c r="K48" s="298"/>
      <c r="L48" s="298"/>
    </row>
    <row r="49" customFormat="false" ht="24" hidden="false" customHeight="true" outlineLevel="0" collapsed="false">
      <c r="A49" s="412" t="s">
        <v>312</v>
      </c>
      <c r="B49" s="412"/>
      <c r="C49" s="412"/>
      <c r="D49" s="412"/>
      <c r="E49" s="412"/>
      <c r="F49" s="412"/>
      <c r="G49" s="412"/>
      <c r="H49" s="412"/>
      <c r="I49" s="412"/>
      <c r="J49" s="412"/>
      <c r="K49" s="412"/>
      <c r="L49" s="412"/>
    </row>
    <row r="50" customFormat="false" ht="19.5" hidden="false" customHeight="true" outlineLevel="0" collapsed="false">
      <c r="A50" s="413" t="s">
        <v>119</v>
      </c>
      <c r="B50" s="413" t="s">
        <v>120</v>
      </c>
      <c r="C50" s="413" t="s">
        <v>219</v>
      </c>
    </row>
    <row r="51" customFormat="false" ht="19.5" hidden="false" customHeight="true" outlineLevel="0" collapsed="false">
      <c r="A51" s="414" t="s">
        <v>313</v>
      </c>
      <c r="B51" s="415" t="n">
        <f aca="false">COUNTA(A4:A47)</f>
        <v>44</v>
      </c>
      <c r="C51" s="415" t="s">
        <v>314</v>
      </c>
    </row>
    <row r="52" customFormat="false" ht="19.5" hidden="false" customHeight="true" outlineLevel="0" collapsed="false">
      <c r="A52" s="416" t="s">
        <v>315</v>
      </c>
      <c r="B52" s="417" t="n">
        <f aca="false">COUNTIF(G4:G47,"Compliant")</f>
        <v>43</v>
      </c>
      <c r="C52" s="418" t="n">
        <f aca="false">IFERROR(B52/B51,"—")</f>
        <v>0.977272727272727</v>
      </c>
    </row>
    <row r="53" customFormat="false" ht="19.5" hidden="false" customHeight="true" outlineLevel="0" collapsed="false">
      <c r="A53" s="419" t="s">
        <v>316</v>
      </c>
      <c r="B53" s="420" t="n">
        <f aca="false">COUNTIF(G4:G47,"Near Breach")</f>
        <v>1</v>
      </c>
      <c r="C53" s="421" t="n">
        <f aca="false">IFERROR(B53/B51,"—")</f>
        <v>0.0227272727272727</v>
      </c>
    </row>
    <row r="54" customFormat="false" ht="19.5" hidden="false" customHeight="true" outlineLevel="0" collapsed="false">
      <c r="A54" s="20" t="s">
        <v>317</v>
      </c>
      <c r="B54" s="422" t="n">
        <f aca="false">COUNTIF(G4:G47,"Breached")</f>
        <v>0</v>
      </c>
      <c r="C54" s="423" t="n">
        <f aca="false">IFERROR(B54/B51,"—")</f>
        <v>0</v>
      </c>
    </row>
    <row r="55" customFormat="false" ht="19.5" hidden="false" customHeight="true" outlineLevel="0" collapsed="false">
      <c r="A55" s="424" t="s">
        <v>318</v>
      </c>
      <c r="B55" s="425" t="n">
        <f aca="false">COUNTIF(G4:G47,"Pending Input")</f>
        <v>0</v>
      </c>
      <c r="C55" s="426" t="n">
        <f aca="false">IFERROR(B55/B51,"—")</f>
        <v>0</v>
      </c>
    </row>
    <row r="56" customFormat="false" ht="19.5" hidden="false" customHeight="true" outlineLevel="0" collapsed="false">
      <c r="A56" s="427" t="s">
        <v>319</v>
      </c>
      <c r="B56" s="428" t="n">
        <f aca="false">COUNTIF(G4:G47,"Not Yet Due")</f>
        <v>0</v>
      </c>
      <c r="C56" s="429" t="n">
        <f aca="false">IFERROR(B56/B51,"—")</f>
        <v>0</v>
      </c>
    </row>
    <row r="57" customFormat="false" ht="19.5" hidden="false" customHeight="true" outlineLevel="0" collapsed="false">
      <c r="A57" s="430" t="s">
        <v>320</v>
      </c>
      <c r="B57" s="431" t="n">
        <f aca="false">IFERROR(B52/(B52+B53+B54),0)</f>
        <v>0.977272727272727</v>
      </c>
      <c r="C57" s="43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F50" activeCellId="0" sqref="F5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1.44"/>
    <col collapsed="false" customWidth="true" hidden="false" outlineLevel="0" max="2" min="2" style="1" width="20.33"/>
    <col collapsed="false" customWidth="true" hidden="false" outlineLevel="0" max="3" min="3" style="1" width="46.33"/>
    <col collapsed="false" customWidth="true" hidden="false" outlineLevel="0" max="4" min="4" style="1" width="16.67"/>
    <col collapsed="false" customWidth="true" hidden="false" outlineLevel="0" max="5" min="5" style="1" width="13"/>
    <col collapsed="false" customWidth="true" hidden="false" outlineLevel="0" max="6" min="6" style="1" width="13.88"/>
    <col collapsed="false" customWidth="true" hidden="false" outlineLevel="0" max="7" min="7" style="1" width="20.33"/>
    <col collapsed="false" customWidth="true" hidden="false" outlineLevel="0" max="12" min="8" style="1" width="5.56"/>
  </cols>
  <sheetData>
    <row r="1" customFormat="false" ht="30" hidden="false" customHeight="true" outlineLevel="0" collapsed="false">
      <c r="A1" s="340" t="s">
        <v>321</v>
      </c>
      <c r="B1" s="340"/>
      <c r="C1" s="340"/>
      <c r="D1" s="340"/>
      <c r="E1" s="340"/>
      <c r="F1" s="340"/>
      <c r="G1" s="340"/>
      <c r="H1" s="433"/>
      <c r="I1" s="433"/>
      <c r="J1" s="433"/>
      <c r="K1" s="433"/>
      <c r="L1" s="433"/>
    </row>
    <row r="2" customFormat="false" ht="15.75" hidden="false" customHeight="true" outlineLevel="0" collapsed="false">
      <c r="A2" s="434" t="s">
        <v>322</v>
      </c>
      <c r="B2" s="434"/>
      <c r="C2" s="434"/>
      <c r="D2" s="434"/>
      <c r="E2" s="434"/>
      <c r="F2" s="434"/>
      <c r="G2" s="434"/>
      <c r="H2" s="435"/>
      <c r="I2" s="435"/>
      <c r="J2" s="435"/>
      <c r="K2" s="435"/>
      <c r="L2" s="435"/>
    </row>
    <row r="3" customFormat="false" ht="7.5" hidden="false" customHeight="true" outlineLevel="0" collapsed="false">
      <c r="A3" s="436"/>
      <c r="B3" s="436"/>
      <c r="C3" s="436"/>
      <c r="D3" s="436"/>
      <c r="E3" s="436"/>
      <c r="F3" s="436"/>
      <c r="G3" s="436"/>
      <c r="H3" s="437"/>
      <c r="I3" s="437"/>
      <c r="J3" s="437"/>
      <c r="K3" s="437"/>
      <c r="L3" s="437"/>
    </row>
    <row r="4" customFormat="false" ht="24" hidden="false" customHeight="true" outlineLevel="0" collapsed="false">
      <c r="A4" s="438" t="s">
        <v>323</v>
      </c>
      <c r="B4" s="438"/>
      <c r="C4" s="438"/>
      <c r="D4" s="438"/>
      <c r="E4" s="438"/>
      <c r="F4" s="438"/>
      <c r="G4" s="438"/>
      <c r="H4" s="439"/>
      <c r="I4" s="439"/>
      <c r="J4" s="439"/>
      <c r="K4" s="439"/>
      <c r="L4" s="439"/>
    </row>
    <row r="5" customFormat="false" ht="21.75" hidden="false" customHeight="true" outlineLevel="0" collapsed="false">
      <c r="A5" s="440" t="s">
        <v>82</v>
      </c>
      <c r="B5" s="441" t="s">
        <v>324</v>
      </c>
      <c r="C5" s="441" t="s">
        <v>325</v>
      </c>
      <c r="D5" s="441" t="s">
        <v>83</v>
      </c>
      <c r="E5" s="441" t="s">
        <v>326</v>
      </c>
      <c r="F5" s="441" t="s">
        <v>327</v>
      </c>
      <c r="G5" s="441" t="s">
        <v>86</v>
      </c>
      <c r="H5" s="437"/>
      <c r="I5" s="437"/>
      <c r="J5" s="437"/>
      <c r="K5" s="437"/>
      <c r="L5" s="437"/>
    </row>
    <row r="6" customFormat="false" ht="19.5" hidden="false" customHeight="true" outlineLevel="0" collapsed="false">
      <c r="A6" s="442" t="s">
        <v>87</v>
      </c>
      <c r="B6" s="443" t="n">
        <f aca="false">SUMIFS('Facility Master'!$K:$K, 'Facility Master'!$B:$B, $A6, 'Facility Master'!$H:$H, 1)</f>
        <v>1361</v>
      </c>
      <c r="C6" s="443" t="n">
        <f aca="false">SUMIFS('Facility Master'!$K:$K, 'Facility Master'!$B:$B, $A6, 'Facility Master'!$H:$H, 2)</f>
        <v>0</v>
      </c>
      <c r="D6" s="443" t="n">
        <f aca="false">B6+C6</f>
        <v>1361</v>
      </c>
      <c r="E6" s="444" t="n">
        <f aca="false">D6/D$15</f>
        <v>0.291684526360909</v>
      </c>
      <c r="F6" s="445" t="n">
        <f aca="false">COUNTIFS('Facility Master'!$B:$B, $A6, 'Facility Master'!$H:$H, "&gt;=1", 'Facility Master'!$H:$H, "&lt;=2")</f>
        <v>2</v>
      </c>
      <c r="G6" s="443" t="n">
        <f aca="false">SUMIFS('Facility Master'!$K:$K, 'Facility Master'!$B:$B, $A6, 'Facility Master'!$H:$H, 2) + SUMIFS('Facility Master'!$K:$K, 'Facility Master'!$B:$B, $A6, 'Facility Master'!$AG:$AG, TRUE())</f>
        <v>750</v>
      </c>
      <c r="H6" s="446"/>
      <c r="I6" s="446"/>
      <c r="J6" s="446"/>
      <c r="K6" s="446"/>
      <c r="L6" s="446"/>
    </row>
    <row r="7" customFormat="false" ht="19.5" hidden="false" customHeight="true" outlineLevel="0" collapsed="false">
      <c r="A7" s="447" t="s">
        <v>88</v>
      </c>
      <c r="B7" s="443" t="n">
        <f aca="false">SUMIFS('Facility Master'!$K:$K, 'Facility Master'!$B:$B, $A7, 'Facility Master'!$H:$H, 1)</f>
        <v>235</v>
      </c>
      <c r="C7" s="443" t="n">
        <f aca="false">SUMIFS('Facility Master'!$K:$K, 'Facility Master'!$B:$B, $A7, 'Facility Master'!$H:$H, 2)</f>
        <v>0</v>
      </c>
      <c r="D7" s="443" t="n">
        <f aca="false">B7+C7</f>
        <v>235</v>
      </c>
      <c r="E7" s="444" t="n">
        <f aca="false">D7/D$15</f>
        <v>0.0503643377625375</v>
      </c>
      <c r="F7" s="445" t="n">
        <f aca="false">COUNTIFS('Facility Master'!$B:$B, $A7, 'Facility Master'!$H:$H, "&gt;=1", 'Facility Master'!$H:$H, "&lt;=2")</f>
        <v>1</v>
      </c>
      <c r="G7" s="443" t="n">
        <f aca="false">SUMIFS('Facility Master'!$K:$K, 'Facility Master'!$B:$B, $A7, 'Facility Master'!$H:$H, 2) + SUMIFS('Facility Master'!$K:$K, 'Facility Master'!$B:$B, $A7, 'Facility Master'!$AG:$AG, TRUE())</f>
        <v>0</v>
      </c>
      <c r="H7" s="448"/>
      <c r="I7" s="448"/>
      <c r="J7" s="448"/>
      <c r="K7" s="448"/>
      <c r="L7" s="448"/>
    </row>
    <row r="8" customFormat="false" ht="19.5" hidden="false" customHeight="true" outlineLevel="0" collapsed="false">
      <c r="A8" s="442" t="s">
        <v>89</v>
      </c>
      <c r="B8" s="443" t="n">
        <f aca="false">SUMIFS('Facility Master'!$K:$K, 'Facility Master'!$B:$B, $A8, 'Facility Master'!$H:$H, 1)</f>
        <v>200</v>
      </c>
      <c r="C8" s="443" t="n">
        <f aca="false">SUMIFS('Facility Master'!$K:$K, 'Facility Master'!$B:$B, $A8, 'Facility Master'!$H:$H, 2)</f>
        <v>0</v>
      </c>
      <c r="D8" s="443" t="n">
        <f aca="false">B8+C8</f>
        <v>200</v>
      </c>
      <c r="E8" s="444" t="n">
        <f aca="false">D8/D$15</f>
        <v>0.042863266180883</v>
      </c>
      <c r="F8" s="445" t="n">
        <f aca="false">COUNTIFS('Facility Master'!$B:$B, $A8, 'Facility Master'!$H:$H, "&gt;=1", 'Facility Master'!$H:$H, "&lt;=2")</f>
        <v>1</v>
      </c>
      <c r="G8" s="443" t="n">
        <f aca="false">SUMIFS('Facility Master'!$K:$K, 'Facility Master'!$B:$B, $A8, 'Facility Master'!$H:$H, 2) + SUMIFS('Facility Master'!$K:$K, 'Facility Master'!$B:$B, $A8, 'Facility Master'!$AG:$AG, TRUE())</f>
        <v>200</v>
      </c>
      <c r="H8" s="446"/>
      <c r="I8" s="446"/>
      <c r="J8" s="446"/>
      <c r="K8" s="446"/>
      <c r="L8" s="446"/>
    </row>
    <row r="9" customFormat="false" ht="19.5" hidden="false" customHeight="true" outlineLevel="0" collapsed="false">
      <c r="A9" s="447" t="s">
        <v>90</v>
      </c>
      <c r="B9" s="443" t="n">
        <f aca="false">SUMIFS('Facility Master'!$K:$K, 'Facility Master'!$B:$B, $A9, 'Facility Master'!$H:$H, 1)</f>
        <v>650</v>
      </c>
      <c r="C9" s="443" t="n">
        <f aca="false">SUMIFS('Facility Master'!$K:$K, 'Facility Master'!$B:$B, $A9, 'Facility Master'!$H:$H, 2)</f>
        <v>0</v>
      </c>
      <c r="D9" s="443" t="n">
        <f aca="false">B9+C9</f>
        <v>650</v>
      </c>
      <c r="E9" s="444" t="n">
        <f aca="false">D9/D$15</f>
        <v>0.13930561508787</v>
      </c>
      <c r="F9" s="445" t="n">
        <f aca="false">COUNTIFS('Facility Master'!$B:$B, $A9, 'Facility Master'!$H:$H, "&gt;=1", 'Facility Master'!$H:$H, "&lt;=2")</f>
        <v>1</v>
      </c>
      <c r="G9" s="443" t="n">
        <f aca="false">SUMIFS('Facility Master'!$K:$K, 'Facility Master'!$B:$B, $A9, 'Facility Master'!$H:$H, 2) + SUMIFS('Facility Master'!$K:$K, 'Facility Master'!$B:$B, $A9, 'Facility Master'!$AG:$AG, TRUE())</f>
        <v>100</v>
      </c>
      <c r="H9" s="448"/>
      <c r="I9" s="448"/>
      <c r="J9" s="448"/>
      <c r="K9" s="448"/>
      <c r="L9" s="448"/>
    </row>
    <row r="10" customFormat="false" ht="19.5" hidden="false" customHeight="true" outlineLevel="0" collapsed="false">
      <c r="A10" s="442" t="s">
        <v>91</v>
      </c>
      <c r="B10" s="443" t="n">
        <f aca="false">SUMIFS('Facility Master'!$K:$K, 'Facility Master'!$B:$B, $A10, 'Facility Master'!$H:$H, 1)</f>
        <v>530</v>
      </c>
      <c r="C10" s="443" t="n">
        <f aca="false">SUMIFS('Facility Master'!$K:$K, 'Facility Master'!$B:$B, $A10, 'Facility Master'!$H:$H, 2)</f>
        <v>0</v>
      </c>
      <c r="D10" s="443" t="n">
        <f aca="false">B10+C10</f>
        <v>530</v>
      </c>
      <c r="E10" s="444" t="n">
        <f aca="false">D10/D$15</f>
        <v>0.11358765537934</v>
      </c>
      <c r="F10" s="445" t="n">
        <f aca="false">COUNTIFS('Facility Master'!$B:$B, $A10, 'Facility Master'!$H:$H, "&gt;=1", 'Facility Master'!$H:$H, "&lt;=2")</f>
        <v>1</v>
      </c>
      <c r="G10" s="443" t="n">
        <f aca="false">SUMIFS('Facility Master'!$K:$K, 'Facility Master'!$B:$B, $A10, 'Facility Master'!$H:$H, 2) + SUMIFS('Facility Master'!$K:$K, 'Facility Master'!$B:$B, $A10, 'Facility Master'!$AG:$AG, TRUE())</f>
        <v>400</v>
      </c>
      <c r="H10" s="446"/>
      <c r="I10" s="446"/>
      <c r="J10" s="446"/>
      <c r="K10" s="446"/>
      <c r="L10" s="446"/>
    </row>
    <row r="11" customFormat="false" ht="19.5" hidden="false" customHeight="true" outlineLevel="0" collapsed="false">
      <c r="A11" s="447" t="s">
        <v>282</v>
      </c>
      <c r="B11" s="443" t="n">
        <f aca="false">SUMIFS('Facility Master'!$K:$K, 'Facility Master'!$B:$B, $A11, 'Facility Master'!$H:$H, 1)</f>
        <v>100</v>
      </c>
      <c r="C11" s="443" t="n">
        <f aca="false">SUMIFS('Facility Master'!$K:$K, 'Facility Master'!$B:$B, $A11, 'Facility Master'!$H:$H, 2)</f>
        <v>300</v>
      </c>
      <c r="D11" s="443" t="n">
        <f aca="false">B11+C11</f>
        <v>400</v>
      </c>
      <c r="E11" s="444" t="n">
        <f aca="false">D11/D$15</f>
        <v>0.085726532361766</v>
      </c>
      <c r="F11" s="445" t="n">
        <f aca="false">COUNTIFS('Facility Master'!$B:$B, $A11, 'Facility Master'!$H:$H, "&gt;=1", 'Facility Master'!$H:$H, "&lt;=2")</f>
        <v>2</v>
      </c>
      <c r="G11" s="443" t="n">
        <f aca="false">SUMIFS('Facility Master'!$K:$K, 'Facility Master'!$B:$B, $A11, 'Facility Master'!$H:$H, 2) + SUMIFS('Facility Master'!$K:$K, 'Facility Master'!$B:$B, $A11, 'Facility Master'!$AG:$AG, TRUE())</f>
        <v>300</v>
      </c>
      <c r="H11" s="448"/>
      <c r="I11" s="448"/>
      <c r="J11" s="448"/>
      <c r="K11" s="448"/>
      <c r="L11" s="448"/>
    </row>
    <row r="12" customFormat="false" ht="19.5" hidden="false" customHeight="true" outlineLevel="0" collapsed="false">
      <c r="A12" s="449" t="s">
        <v>210</v>
      </c>
      <c r="B12" s="443" t="n">
        <f aca="false">SUMIFS('Facility Master'!$K:$K, 'Facility Master'!$B:$B, $A12, 'Facility Master'!$H:$H, 1)</f>
        <v>200</v>
      </c>
      <c r="C12" s="443" t="n">
        <f aca="false">SUMIFS('Facility Master'!$K:$K, 'Facility Master'!$B:$B, $A12, 'Facility Master'!$H:$H, 2)</f>
        <v>0</v>
      </c>
      <c r="D12" s="443" t="n">
        <f aca="false">B12+C12</f>
        <v>200</v>
      </c>
      <c r="E12" s="444" t="n">
        <f aca="false">D12/D$15</f>
        <v>0.042863266180883</v>
      </c>
      <c r="F12" s="445" t="n">
        <f aca="false">COUNTIFS('Facility Master'!$B:$B, $A12, 'Facility Master'!$H:$H, "&gt;=1", 'Facility Master'!$H:$H, "&lt;=2")</f>
        <v>1</v>
      </c>
      <c r="G12" s="443" t="n">
        <f aca="false">SUMIFS('Facility Master'!$K:$K, 'Facility Master'!$B:$B, $A12, 'Facility Master'!$H:$H, 2) + SUMIFS('Facility Master'!$K:$K, 'Facility Master'!$B:$B, $A12, 'Facility Master'!$AG:$AG, TRUE())</f>
        <v>0</v>
      </c>
      <c r="H12" s="446"/>
      <c r="I12" s="446"/>
      <c r="J12" s="446"/>
      <c r="K12" s="446"/>
      <c r="L12" s="446"/>
    </row>
    <row r="13" customFormat="false" ht="19.5" hidden="false" customHeight="true" outlineLevel="0" collapsed="false">
      <c r="A13" s="447" t="s">
        <v>94</v>
      </c>
      <c r="B13" s="443" t="n">
        <f aca="false">SUMIFS('Facility Master'!$K:$K, 'Facility Master'!$B:$B, $A13, 'Facility Master'!$H:$H, 1)</f>
        <v>0</v>
      </c>
      <c r="C13" s="443" t="n">
        <f aca="false">SUMIFS('Facility Master'!$K:$K, 'Facility Master'!$B:$B, $A13, 'Facility Master'!$H:$H, 2)</f>
        <v>250</v>
      </c>
      <c r="D13" s="443" t="n">
        <f aca="false">B13+C13</f>
        <v>250</v>
      </c>
      <c r="E13" s="444" t="n">
        <f aca="false">D13/D$15</f>
        <v>0.0535790827261037</v>
      </c>
      <c r="F13" s="445" t="n">
        <f aca="false">COUNTIFS('Facility Master'!$B:$B, $A13, 'Facility Master'!$H:$H, "&gt;=1", 'Facility Master'!$H:$H, "&lt;=2")</f>
        <v>1</v>
      </c>
      <c r="G13" s="443" t="n">
        <f aca="false">SUMIFS('Facility Master'!$K:$K, 'Facility Master'!$B:$B, $A13, 'Facility Master'!$H:$H, 2) + SUMIFS('Facility Master'!$K:$K, 'Facility Master'!$B:$B, $A13, 'Facility Master'!$AG:$AG, TRUE())</f>
        <v>250</v>
      </c>
      <c r="H13" s="448"/>
      <c r="I13" s="448"/>
      <c r="J13" s="448"/>
      <c r="K13" s="448"/>
      <c r="L13" s="448"/>
    </row>
    <row r="14" customFormat="false" ht="19.5" hidden="false" customHeight="true" outlineLevel="0" collapsed="false">
      <c r="A14" s="450" t="s">
        <v>95</v>
      </c>
      <c r="B14" s="443" t="n">
        <f aca="false">SUMIFS('Facility Master'!$K:$K, 'Facility Master'!$B:$B, $A14, 'Facility Master'!$H:$H, 1)</f>
        <v>840</v>
      </c>
      <c r="C14" s="443" t="n">
        <f aca="false">SUMIFS('Facility Master'!$K:$K, 'Facility Master'!$B:$B, $A14, 'Facility Master'!$H:$H, 2)</f>
        <v>0</v>
      </c>
      <c r="D14" s="443" t="n">
        <f aca="false">B14+C14</f>
        <v>840</v>
      </c>
      <c r="E14" s="444" t="n">
        <f aca="false">D14/D$15</f>
        <v>0.180025717959709</v>
      </c>
      <c r="F14" s="445" t="n">
        <f aca="false">COUNTIFS('Facility Master'!$B:$B, $A14, 'Facility Master'!$H:$H, "&gt;=1", 'Facility Master'!$H:$H, "&lt;=2")</f>
        <v>1</v>
      </c>
      <c r="G14" s="443" t="n">
        <f aca="false">SUMIFS('Facility Master'!$K:$K, 'Facility Master'!$B:$B, $A14, 'Facility Master'!$H:$H, 2) + SUMIFS('Facility Master'!$K:$K, 'Facility Master'!$B:$B, $A14, 'Facility Master'!$AG:$AG, TRUE())</f>
        <v>40</v>
      </c>
      <c r="H14" s="446"/>
      <c r="I14" s="446"/>
      <c r="J14" s="446"/>
      <c r="K14" s="446"/>
      <c r="L14" s="446"/>
    </row>
    <row r="15" customFormat="false" ht="21.75" hidden="false" customHeight="true" outlineLevel="0" collapsed="false">
      <c r="A15" s="451" t="s">
        <v>96</v>
      </c>
      <c r="B15" s="452" t="n">
        <f aca="false">SUM(B6:B14)</f>
        <v>4116</v>
      </c>
      <c r="C15" s="452" t="n">
        <f aca="false">SUM(C6:C14)</f>
        <v>550</v>
      </c>
      <c r="D15" s="452" t="n">
        <f aca="false">SUM(D6:D14)</f>
        <v>4666</v>
      </c>
      <c r="E15" s="453" t="n">
        <v>1</v>
      </c>
      <c r="F15" s="454" t="n">
        <f aca="false">SUM(F6:F14)</f>
        <v>11</v>
      </c>
      <c r="G15" s="452" t="n">
        <f aca="false">SUM(G6:G14)</f>
        <v>2040</v>
      </c>
      <c r="H15" s="455"/>
      <c r="I15" s="455"/>
      <c r="J15" s="455"/>
      <c r="K15" s="455"/>
      <c r="L15" s="455"/>
    </row>
    <row r="16" customFormat="false" ht="15.75" hidden="false" customHeight="true" outlineLevel="0" collapsed="false">
      <c r="A16" s="456" t="s">
        <v>328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  <c r="L16" s="456"/>
    </row>
    <row r="17" customFormat="false" ht="7.5" hidden="false" customHeight="true" outlineLevel="0" collapsed="false">
      <c r="A17" s="437"/>
      <c r="B17" s="437"/>
      <c r="C17" s="437"/>
      <c r="D17" s="437"/>
      <c r="E17" s="437"/>
      <c r="F17" s="437"/>
      <c r="G17" s="437"/>
      <c r="H17" s="437"/>
      <c r="I17" s="437"/>
      <c r="J17" s="437"/>
      <c r="K17" s="437"/>
      <c r="L17" s="437"/>
    </row>
    <row r="18" customFormat="false" ht="24" hidden="false" customHeight="true" outlineLevel="0" collapsed="false">
      <c r="A18" s="439" t="s">
        <v>329</v>
      </c>
      <c r="B18" s="439"/>
      <c r="C18" s="439"/>
      <c r="D18" s="439"/>
      <c r="E18" s="439"/>
      <c r="F18" s="439"/>
      <c r="G18" s="439"/>
      <c r="H18" s="439"/>
      <c r="I18" s="439"/>
      <c r="J18" s="439"/>
      <c r="K18" s="439"/>
      <c r="L18" s="439"/>
    </row>
    <row r="19" customFormat="false" ht="21.75" hidden="false" customHeight="true" outlineLevel="0" collapsed="false">
      <c r="A19" s="457" t="s">
        <v>330</v>
      </c>
      <c r="B19" s="458" t="s">
        <v>331</v>
      </c>
      <c r="C19" s="457" t="s">
        <v>332</v>
      </c>
      <c r="D19" s="459"/>
      <c r="E19" s="459"/>
      <c r="F19" s="459"/>
      <c r="G19" s="459"/>
      <c r="H19" s="459"/>
      <c r="I19" s="459"/>
      <c r="J19" s="459"/>
      <c r="K19" s="459"/>
      <c r="L19" s="459"/>
    </row>
    <row r="20" customFormat="false" ht="19.5" hidden="false" customHeight="true" outlineLevel="0" collapsed="false">
      <c r="A20" s="460" t="s">
        <v>333</v>
      </c>
      <c r="B20" s="461" t="n">
        <f aca="false">SUMIFS('Facility Master'!K:K,'Facility Master'!H:H,1)+SUMIFS('Facility Master'!K:K,'Facility Master'!H:H,2)</f>
        <v>4666</v>
      </c>
      <c r="C20" s="462" t="s">
        <v>334</v>
      </c>
      <c r="D20" s="446"/>
      <c r="E20" s="446"/>
      <c r="F20" s="446"/>
      <c r="G20" s="446"/>
      <c r="H20" s="446"/>
      <c r="I20" s="446"/>
      <c r="J20" s="446"/>
      <c r="K20" s="446"/>
      <c r="L20" s="446"/>
    </row>
    <row r="21" customFormat="false" ht="19.5" hidden="false" customHeight="true" outlineLevel="0" collapsed="false">
      <c r="A21" s="463" t="s">
        <v>335</v>
      </c>
      <c r="B21" s="464" t="n">
        <f aca="false">SUMIFS('Facility Master'!K:K,'Facility Master'!H:H,1)</f>
        <v>4116</v>
      </c>
      <c r="C21" s="465" t="s">
        <v>336</v>
      </c>
      <c r="D21" s="448"/>
      <c r="E21" s="448"/>
      <c r="F21" s="448"/>
      <c r="G21" s="448"/>
      <c r="H21" s="448"/>
      <c r="I21" s="448"/>
      <c r="J21" s="448"/>
      <c r="K21" s="448"/>
      <c r="L21" s="448"/>
    </row>
    <row r="22" customFormat="false" ht="19.5" hidden="false" customHeight="true" outlineLevel="0" collapsed="false">
      <c r="A22" s="460" t="s">
        <v>337</v>
      </c>
      <c r="B22" s="461" t="n">
        <f aca="false">SUMIFS('Facility Master'!K:K,'Facility Master'!H:H,2)</f>
        <v>550</v>
      </c>
      <c r="C22" s="462" t="s">
        <v>338</v>
      </c>
      <c r="D22" s="446"/>
      <c r="E22" s="446"/>
      <c r="F22" s="446"/>
      <c r="G22" s="446"/>
      <c r="H22" s="446"/>
      <c r="I22" s="446"/>
      <c r="J22" s="446"/>
      <c r="K22" s="446"/>
      <c r="L22" s="446"/>
    </row>
    <row r="23" customFormat="false" ht="19.5" hidden="false" customHeight="true" outlineLevel="0" collapsed="false">
      <c r="A23" s="463" t="s">
        <v>339</v>
      </c>
      <c r="B23" s="464" t="n">
        <f aca="false">SUMIFS('Facility Master'!K:K,'Facility Master'!H:H,2)+SUMIFS('Facility Master'!K:K,'Facility Master'!AG:AG,TRUE())</f>
        <v>2040</v>
      </c>
      <c r="C23" s="465" t="s">
        <v>340</v>
      </c>
      <c r="D23" s="448"/>
      <c r="E23" s="448"/>
      <c r="F23" s="448"/>
      <c r="G23" s="448"/>
      <c r="H23" s="448"/>
      <c r="I23" s="448"/>
      <c r="J23" s="448"/>
      <c r="K23" s="448"/>
      <c r="L23" s="448"/>
    </row>
    <row r="24" customFormat="false" ht="19.5" hidden="false" customHeight="true" outlineLevel="0" collapsed="false">
      <c r="A24" s="460" t="s">
        <v>341</v>
      </c>
      <c r="B24" s="461" t="n">
        <f aca="false">SUMIFS('Facility Master'!K:K,'Facility Master'!H:H,3)</f>
        <v>150</v>
      </c>
      <c r="C24" s="462" t="s">
        <v>342</v>
      </c>
      <c r="D24" s="446"/>
      <c r="E24" s="446"/>
      <c r="F24" s="446"/>
      <c r="G24" s="446"/>
      <c r="H24" s="446"/>
      <c r="I24" s="446"/>
      <c r="J24" s="446"/>
      <c r="K24" s="446"/>
      <c r="L24" s="446"/>
    </row>
    <row r="25" customFormat="false" ht="19.5" hidden="false" customHeight="true" outlineLevel="0" collapsed="false">
      <c r="A25" s="463" t="s">
        <v>343</v>
      </c>
      <c r="B25" s="464" t="n">
        <f aca="false">SUMIFS('Facility Master'!K:K,'Facility Master'!H:H,4)</f>
        <v>0</v>
      </c>
      <c r="C25" s="465" t="s">
        <v>344</v>
      </c>
      <c r="D25" s="448"/>
      <c r="E25" s="448"/>
      <c r="F25" s="448"/>
      <c r="G25" s="448"/>
      <c r="H25" s="448"/>
      <c r="I25" s="448"/>
      <c r="J25" s="448"/>
      <c r="K25" s="448"/>
      <c r="L25" s="448"/>
    </row>
    <row r="26" customFormat="false" ht="19.5" hidden="false" customHeight="true" outlineLevel="0" collapsed="false">
      <c r="A26" s="460" t="s">
        <v>345</v>
      </c>
      <c r="B26" s="461" t="n">
        <f aca="false">SUMIFS('Facility Master'!K:K,'Facility Master'!H:H,"H")</f>
        <v>75</v>
      </c>
      <c r="C26" s="462" t="s">
        <v>346</v>
      </c>
      <c r="D26" s="446"/>
      <c r="E26" s="446"/>
      <c r="F26" s="446"/>
      <c r="G26" s="446"/>
      <c r="H26" s="446"/>
      <c r="I26" s="446"/>
      <c r="J26" s="446"/>
      <c r="K26" s="446"/>
      <c r="L26" s="446"/>
    </row>
    <row r="27" customFormat="false" ht="19.5" hidden="false" customHeight="true" outlineLevel="0" collapsed="false">
      <c r="A27" s="466" t="s">
        <v>347</v>
      </c>
      <c r="B27" s="467" t="n">
        <f aca="false">SUMIFS('Facility Master'!K:K,'Facility Master'!AH:AH,TRUE(),'Facility Master'!H:H,1)</f>
        <v>840</v>
      </c>
      <c r="C27" s="468" t="s">
        <v>348</v>
      </c>
      <c r="D27" s="448"/>
      <c r="E27" s="448"/>
      <c r="F27" s="448"/>
      <c r="G27" s="448"/>
      <c r="H27" s="448"/>
      <c r="I27" s="448"/>
      <c r="J27" s="448"/>
      <c r="K27" s="448"/>
      <c r="L27" s="448"/>
    </row>
    <row r="28" customFormat="false" ht="19.5" hidden="false" customHeight="true" outlineLevel="0" collapsed="false">
      <c r="A28" s="469" t="s">
        <v>349</v>
      </c>
      <c r="B28" s="470" t="n">
        <f aca="false">B20-B27</f>
        <v>3826</v>
      </c>
      <c r="C28" s="471" t="s">
        <v>350</v>
      </c>
      <c r="D28" s="446"/>
      <c r="E28" s="446"/>
      <c r="F28" s="446"/>
      <c r="G28" s="446"/>
      <c r="H28" s="446"/>
      <c r="I28" s="446"/>
      <c r="J28" s="446"/>
      <c r="K28" s="446"/>
      <c r="L28" s="446"/>
    </row>
    <row r="29" customFormat="false" ht="7.5" hidden="false" customHeight="true" outlineLevel="0" collapsed="false">
      <c r="A29" s="437"/>
      <c r="B29" s="437"/>
      <c r="C29" s="437"/>
      <c r="D29" s="437"/>
      <c r="E29" s="437"/>
      <c r="F29" s="437"/>
      <c r="G29" s="437"/>
      <c r="H29" s="437"/>
      <c r="I29" s="437"/>
      <c r="J29" s="437"/>
      <c r="K29" s="437"/>
      <c r="L29" s="437"/>
    </row>
    <row r="30" customFormat="false" ht="24" hidden="false" customHeight="true" outlineLevel="0" collapsed="false">
      <c r="A30" s="439" t="s">
        <v>351</v>
      </c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</row>
    <row r="31" customFormat="false" ht="21.75" hidden="false" customHeight="true" outlineLevel="0" collapsed="false">
      <c r="A31" s="457" t="s">
        <v>82</v>
      </c>
      <c r="B31" s="458" t="s">
        <v>352</v>
      </c>
      <c r="C31" s="458" t="s">
        <v>84</v>
      </c>
      <c r="D31" s="459"/>
      <c r="E31" s="459"/>
      <c r="F31" s="459"/>
      <c r="G31" s="459"/>
      <c r="H31" s="459"/>
      <c r="I31" s="459"/>
      <c r="J31" s="459"/>
      <c r="K31" s="459"/>
      <c r="L31" s="459"/>
    </row>
    <row r="32" customFormat="false" ht="19.5" hidden="false" customHeight="true" outlineLevel="0" collapsed="false">
      <c r="A32" s="463" t="s">
        <v>89</v>
      </c>
      <c r="B32" s="464" t="n">
        <v>100</v>
      </c>
      <c r="C32" s="472" t="n">
        <v>0.667</v>
      </c>
      <c r="D32" s="448"/>
      <c r="E32" s="448"/>
      <c r="F32" s="448"/>
      <c r="G32" s="448"/>
      <c r="H32" s="448"/>
      <c r="I32" s="448"/>
      <c r="J32" s="448"/>
      <c r="K32" s="448"/>
      <c r="L32" s="448"/>
    </row>
    <row r="33" customFormat="false" ht="19.5" hidden="false" customHeight="true" outlineLevel="0" collapsed="false">
      <c r="A33" s="460" t="s">
        <v>94</v>
      </c>
      <c r="B33" s="461" t="n">
        <v>50</v>
      </c>
      <c r="C33" s="473" t="n">
        <v>0.333</v>
      </c>
      <c r="D33" s="446"/>
      <c r="E33" s="446"/>
      <c r="F33" s="446"/>
      <c r="G33" s="446"/>
      <c r="H33" s="446"/>
      <c r="I33" s="446"/>
      <c r="J33" s="446"/>
      <c r="K33" s="446"/>
      <c r="L33" s="446"/>
    </row>
    <row r="34" customFormat="false" ht="19.5" hidden="false" customHeight="true" outlineLevel="0" collapsed="false">
      <c r="A34" s="412" t="s">
        <v>96</v>
      </c>
      <c r="B34" s="474" t="n">
        <v>150</v>
      </c>
      <c r="C34" s="475" t="n">
        <v>1</v>
      </c>
      <c r="D34" s="412"/>
      <c r="E34" s="412"/>
      <c r="F34" s="412"/>
      <c r="G34" s="412"/>
      <c r="H34" s="412"/>
      <c r="I34" s="412"/>
      <c r="J34" s="412"/>
      <c r="K34" s="412"/>
      <c r="L34" s="412"/>
    </row>
    <row r="35" customFormat="false" ht="7.5" hidden="false" customHeight="true" outlineLevel="0" collapsed="false">
      <c r="A35" s="437"/>
      <c r="B35" s="437"/>
      <c r="C35" s="437"/>
      <c r="D35" s="437"/>
      <c r="E35" s="437"/>
      <c r="F35" s="437"/>
      <c r="G35" s="437"/>
      <c r="H35" s="437"/>
      <c r="I35" s="437"/>
      <c r="J35" s="437"/>
      <c r="K35" s="437"/>
      <c r="L35" s="437"/>
    </row>
    <row r="36" customFormat="false" ht="24" hidden="false" customHeight="true" outlineLevel="0" collapsed="false">
      <c r="A36" s="439" t="s">
        <v>353</v>
      </c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</row>
    <row r="37" customFormat="false" ht="21.75" hidden="false" customHeight="true" outlineLevel="0" collapsed="false">
      <c r="A37" s="457" t="s">
        <v>82</v>
      </c>
      <c r="B37" s="458" t="s">
        <v>354</v>
      </c>
      <c r="C37" s="457" t="s">
        <v>355</v>
      </c>
      <c r="D37" s="459"/>
      <c r="E37" s="459"/>
      <c r="F37" s="459"/>
      <c r="G37" s="459"/>
      <c r="H37" s="459"/>
      <c r="I37" s="459"/>
      <c r="J37" s="459"/>
      <c r="K37" s="459"/>
      <c r="L37" s="459"/>
    </row>
    <row r="38" customFormat="false" ht="21.75" hidden="false" customHeight="true" outlineLevel="0" collapsed="false">
      <c r="A38" s="466" t="s">
        <v>210</v>
      </c>
      <c r="B38" s="476" t="n">
        <v>0</v>
      </c>
      <c r="C38" s="468" t="s">
        <v>356</v>
      </c>
      <c r="D38" s="477"/>
      <c r="E38" s="477"/>
      <c r="F38" s="477"/>
      <c r="G38" s="477"/>
      <c r="H38" s="477"/>
      <c r="I38" s="477"/>
      <c r="J38" s="477"/>
      <c r="K38" s="477"/>
      <c r="L38" s="477"/>
    </row>
    <row r="39" customFormat="false" ht="7.5" hidden="false" customHeight="true" outlineLevel="0" collapsed="false">
      <c r="A39" s="437"/>
      <c r="B39" s="437"/>
      <c r="C39" s="437"/>
      <c r="D39" s="437"/>
      <c r="E39" s="437"/>
      <c r="F39" s="437"/>
      <c r="G39" s="437"/>
      <c r="H39" s="437"/>
      <c r="I39" s="437"/>
      <c r="J39" s="437"/>
      <c r="K39" s="437"/>
      <c r="L39" s="437"/>
    </row>
    <row r="40" customFormat="false" ht="24" hidden="false" customHeight="true" outlineLevel="0" collapsed="false">
      <c r="A40" s="439" t="s">
        <v>357</v>
      </c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</row>
    <row r="41" customFormat="false" ht="21.75" hidden="false" customHeight="true" outlineLevel="0" collapsed="false">
      <c r="A41" s="457" t="s">
        <v>82</v>
      </c>
      <c r="B41" s="458" t="s">
        <v>358</v>
      </c>
      <c r="C41" s="457" t="s">
        <v>355</v>
      </c>
      <c r="D41" s="459"/>
      <c r="E41" s="459"/>
      <c r="F41" s="459"/>
      <c r="G41" s="459"/>
      <c r="H41" s="459"/>
      <c r="I41" s="459"/>
      <c r="J41" s="459"/>
      <c r="K41" s="459"/>
      <c r="L41" s="459"/>
    </row>
    <row r="42" customFormat="false" ht="21.75" hidden="false" customHeight="true" outlineLevel="0" collapsed="false">
      <c r="A42" s="463" t="s">
        <v>87</v>
      </c>
      <c r="B42" s="464" t="n">
        <v>75</v>
      </c>
      <c r="C42" s="465" t="s">
        <v>359</v>
      </c>
      <c r="D42" s="448"/>
      <c r="E42" s="448"/>
      <c r="F42" s="448"/>
      <c r="G42" s="448"/>
      <c r="H42" s="448"/>
      <c r="I42" s="448"/>
      <c r="J42" s="448"/>
      <c r="K42" s="448"/>
      <c r="L42" s="448"/>
    </row>
    <row r="43" s="437" customFormat="true" ht="15" hidden="true" customHeight="true" outlineLevel="0" collapsed="false"/>
    <row r="44" s="437" customFormat="true" ht="21.75" hidden="true" customHeight="true" outlineLevel="0" collapsed="false"/>
    <row r="45" s="437" customFormat="true" ht="26.25" hidden="true" customHeight="true" outlineLevel="0" collapsed="false"/>
    <row r="46" s="437" customFormat="true" ht="34.5" hidden="true" customHeight="true" outlineLevel="0" collapsed="false"/>
    <row r="47" s="437" customFormat="true" ht="15" hidden="true" customHeight="true" outlineLevel="0" collapsed="false"/>
    <row r="48" s="437" customFormat="true" ht="21.75" hidden="true" customHeight="true" outlineLevel="0" collapsed="false"/>
    <row r="49" s="437" customFormat="true" ht="26.25" hidden="true" customHeight="true" outlineLevel="0" collapsed="false"/>
    <row r="50" s="437" customFormat="true" ht="57" hidden="true" customHeight="true" outlineLevel="0" collapsed="false"/>
    <row r="51" s="437" customFormat="true" ht="14.25" hidden="true" customHeight="true" outlineLevel="0" collapsed="false"/>
    <row r="52" s="437" customFormat="true" ht="14.25" hidden="true" customHeight="true" outlineLevel="0" collapsed="false"/>
    <row r="53" s="437" customFormat="true" ht="14.25" hidden="true" customHeight="true" outlineLevel="0" collapsed="false"/>
    <row r="54" s="437" customFormat="true" ht="14.25" hidden="true" customHeight="true" outlineLevel="0" collapsed="false"/>
    <row r="55" s="437" customFormat="true" ht="14.25" hidden="true" customHeight="true" outlineLevel="0" collapsed="false"/>
    <row r="56" s="437" customFormat="true" ht="14.25" hidden="true" customHeight="true" outlineLevel="0" collapsed="false"/>
    <row r="57" s="437" customFormat="true" ht="14.25" hidden="true" customHeight="true" outlineLevel="0" collapsed="false"/>
    <row r="58" s="437" customFormat="true" ht="14.25" hidden="true" customHeight="true" outlineLevel="0" collapsed="false"/>
    <row r="59" s="437" customFormat="true" ht="14.25" hidden="true" customHeight="true" outlineLevel="0" collapsed="false"/>
    <row r="60" s="437" customFormat="true" ht="14.25" hidden="true" customHeight="true" outlineLevel="0" collapsed="false"/>
    <row r="61" s="437" customFormat="true" ht="14.25" hidden="true" customHeight="true" outlineLevel="0" collapsed="false"/>
    <row r="62" s="437" customFormat="true" ht="14.25" hidden="true" customHeight="true" outlineLevel="0" collapsed="false"/>
    <row r="63" s="437" customFormat="true" ht="14.25" hidden="true" customHeight="true" outlineLevel="0" collapsed="false"/>
    <row r="64" s="437" customFormat="true" ht="14.25" hidden="true" customHeight="true" outlineLevel="0" collapsed="false"/>
    <row r="65" s="437" customFormat="true" ht="14.25" hidden="true" customHeight="true" outlineLevel="0" collapsed="false"/>
    <row r="66" s="437" customFormat="true" ht="14.25" hidden="true" customHeight="true" outlineLevel="0" collapsed="false"/>
    <row r="67" s="437" customFormat="true" ht="14.25" hidden="true" customHeight="true" outlineLevel="0" collapsed="false"/>
    <row r="68" s="437" customFormat="true" ht="14.25" hidden="true" customHeight="true" outlineLevel="0" collapsed="false"/>
    <row r="69" s="437" customFormat="true" ht="14.25" hidden="true" customHeight="true" outlineLevel="0" collapsed="false"/>
    <row r="70" s="437" customFormat="true" ht="14.25" hidden="true" customHeight="true" outlineLevel="0" collapsed="false"/>
    <row r="71" s="437" customFormat="true" ht="14.25" hidden="true" customHeight="true" outlineLevel="0" collapsed="false"/>
    <row r="72" s="437" customFormat="true" ht="14.25" hidden="true" customHeight="true" outlineLevel="0" collapsed="false"/>
    <row r="73" s="437" customFormat="true" ht="14.25" hidden="true" customHeight="true" outlineLevel="0" collapsed="false"/>
    <row r="74" s="437" customFormat="true" ht="14.25" hidden="true" customHeight="true" outlineLevel="0" collapsed="false"/>
    <row r="75" s="437" customFormat="true" ht="14.25" hidden="true" customHeight="true" outlineLevel="0" collapsed="false"/>
    <row r="76" s="437" customFormat="true" ht="14.25" hidden="true" customHeight="true" outlineLevel="0" collapsed="false"/>
    <row r="77" s="437" customFormat="true" ht="14.25" hidden="true" customHeight="true" outlineLevel="0" collapsed="false"/>
    <row r="78" s="437" customFormat="true" ht="14.25" hidden="true" customHeight="true" outlineLevel="0" collapsed="false"/>
    <row r="79" s="437" customFormat="true" ht="14.25" hidden="true" customHeight="true" outlineLevel="0" collapsed="false"/>
    <row r="80" s="437" customFormat="true" ht="14.25" hidden="true" customHeight="true" outlineLevel="0" collapsed="false"/>
    <row r="81" customFormat="false" ht="14.25" hidden="true" customHeight="true" outlineLevel="0" collapsed="false">
      <c r="A81" s="437"/>
      <c r="B81" s="437"/>
      <c r="C81" s="437"/>
      <c r="D81" s="437"/>
      <c r="E81" s="437"/>
      <c r="F81" s="437"/>
      <c r="G81" s="437"/>
      <c r="H81" s="437"/>
      <c r="I81" s="437"/>
      <c r="J81" s="437"/>
      <c r="K81" s="437"/>
      <c r="L81" s="437"/>
    </row>
    <row r="82" customFormat="false" ht="14.25" hidden="true" customHeight="true" outlineLevel="0" collapsed="false">
      <c r="A82" s="437"/>
      <c r="B82" s="437"/>
      <c r="C82" s="437"/>
      <c r="D82" s="437"/>
      <c r="E82" s="437"/>
      <c r="F82" s="437"/>
      <c r="G82" s="437"/>
      <c r="H82" s="437"/>
      <c r="I82" s="437"/>
      <c r="J82" s="437"/>
      <c r="K82" s="437"/>
      <c r="L82" s="437"/>
    </row>
    <row r="83" customFormat="false" ht="14.25" hidden="true" customHeight="true" outlineLevel="0" collapsed="false">
      <c r="A83" s="437"/>
      <c r="B83" s="437"/>
      <c r="C83" s="437"/>
      <c r="D83" s="437"/>
      <c r="E83" s="437"/>
      <c r="F83" s="437"/>
      <c r="G83" s="437"/>
      <c r="H83" s="437"/>
      <c r="I83" s="437"/>
      <c r="J83" s="437"/>
      <c r="K83" s="437"/>
      <c r="L83" s="437"/>
    </row>
    <row r="84" customFormat="false" ht="14.25" hidden="true" customHeight="true" outlineLevel="0" collapsed="false">
      <c r="A84" s="437"/>
      <c r="B84" s="437"/>
      <c r="C84" s="437"/>
      <c r="D84" s="437"/>
      <c r="E84" s="437"/>
      <c r="F84" s="437"/>
      <c r="G84" s="437"/>
      <c r="H84" s="437"/>
      <c r="I84" s="437"/>
      <c r="J84" s="437"/>
      <c r="K84" s="437"/>
      <c r="L84" s="437"/>
    </row>
    <row r="85" customFormat="false" ht="14.25" hidden="true" customHeight="true" outlineLevel="0" collapsed="false">
      <c r="A85" s="437"/>
      <c r="B85" s="437"/>
      <c r="C85" s="437"/>
      <c r="D85" s="437"/>
      <c r="E85" s="437"/>
      <c r="F85" s="437"/>
      <c r="G85" s="437"/>
      <c r="H85" s="437"/>
      <c r="I85" s="437"/>
      <c r="J85" s="437"/>
      <c r="K85" s="437"/>
      <c r="L85" s="437"/>
    </row>
    <row r="86" customFormat="false" ht="14.25" hidden="true" customHeight="true" outlineLevel="0" collapsed="false">
      <c r="A86" s="437"/>
      <c r="B86" s="437"/>
      <c r="C86" s="437"/>
      <c r="D86" s="437"/>
      <c r="E86" s="437"/>
      <c r="F86" s="437"/>
      <c r="G86" s="437"/>
      <c r="H86" s="437"/>
      <c r="I86" s="437"/>
      <c r="J86" s="437"/>
      <c r="K86" s="437"/>
      <c r="L86" s="437"/>
    </row>
    <row r="87" customFormat="false" ht="14.25" hidden="true" customHeight="true" outlineLevel="0" collapsed="false">
      <c r="A87" s="437"/>
      <c r="B87" s="437"/>
      <c r="C87" s="437"/>
      <c r="D87" s="437"/>
      <c r="E87" s="437"/>
      <c r="F87" s="437"/>
      <c r="G87" s="437"/>
      <c r="H87" s="437"/>
      <c r="I87" s="437"/>
      <c r="J87" s="437"/>
      <c r="K87" s="437"/>
      <c r="L87" s="437"/>
    </row>
    <row r="88" customFormat="false" ht="14.25" hidden="true" customHeight="true" outlineLevel="0" collapsed="false">
      <c r="A88" s="437"/>
      <c r="B88" s="437"/>
      <c r="C88" s="437"/>
      <c r="D88" s="437"/>
      <c r="E88" s="437"/>
      <c r="F88" s="437"/>
      <c r="G88" s="437"/>
      <c r="H88" s="437"/>
      <c r="I88" s="437"/>
      <c r="J88" s="437"/>
      <c r="K88" s="437"/>
      <c r="L88" s="437"/>
    </row>
    <row r="89" customFormat="false" ht="14.25" hidden="true" customHeight="true" outlineLevel="0" collapsed="false">
      <c r="A89" s="437"/>
      <c r="B89" s="437"/>
      <c r="C89" s="437"/>
      <c r="D89" s="437"/>
      <c r="E89" s="437"/>
      <c r="F89" s="437"/>
      <c r="G89" s="437"/>
      <c r="H89" s="437"/>
      <c r="I89" s="437"/>
      <c r="J89" s="437"/>
      <c r="K89" s="437"/>
      <c r="L89" s="437"/>
    </row>
    <row r="90" customFormat="false" ht="14.25" hidden="true" customHeight="true" outlineLevel="0" collapsed="false">
      <c r="A90" s="437"/>
      <c r="B90" s="437"/>
      <c r="C90" s="437"/>
      <c r="D90" s="437"/>
      <c r="E90" s="437"/>
      <c r="F90" s="437"/>
      <c r="G90" s="437"/>
      <c r="H90" s="437"/>
      <c r="I90" s="437"/>
      <c r="J90" s="437"/>
      <c r="K90" s="437"/>
      <c r="L90" s="437"/>
    </row>
    <row r="91" customFormat="false" ht="14.25" hidden="true" customHeight="true" outlineLevel="0" collapsed="false">
      <c r="A91" s="437"/>
      <c r="B91" s="437"/>
      <c r="C91" s="437"/>
      <c r="D91" s="437"/>
      <c r="E91" s="437"/>
      <c r="F91" s="437"/>
      <c r="G91" s="437"/>
      <c r="H91" s="437"/>
      <c r="I91" s="437"/>
      <c r="J91" s="437"/>
      <c r="K91" s="437"/>
      <c r="L91" s="437"/>
    </row>
    <row r="92" customFormat="false" ht="14.25" hidden="true" customHeight="true" outlineLevel="0" collapsed="false">
      <c r="A92" s="437"/>
      <c r="B92" s="437"/>
      <c r="C92" s="437"/>
      <c r="D92" s="437"/>
      <c r="E92" s="437"/>
      <c r="F92" s="437"/>
      <c r="G92" s="437"/>
      <c r="H92" s="437"/>
      <c r="I92" s="437"/>
      <c r="J92" s="437"/>
      <c r="K92" s="437"/>
      <c r="L92" s="437"/>
    </row>
    <row r="93" customFormat="false" ht="14.25" hidden="true" customHeight="true" outlineLevel="0" collapsed="false">
      <c r="A93" s="437"/>
      <c r="B93" s="437"/>
      <c r="C93" s="437"/>
      <c r="D93" s="437"/>
      <c r="E93" s="437"/>
      <c r="F93" s="437"/>
      <c r="G93" s="437"/>
      <c r="H93" s="437"/>
      <c r="I93" s="437"/>
      <c r="J93" s="437"/>
      <c r="K93" s="437"/>
      <c r="L93" s="437"/>
    </row>
    <row r="94" customFormat="false" ht="14.25" hidden="true" customHeight="true" outlineLevel="0" collapsed="false">
      <c r="A94" s="437"/>
      <c r="B94" s="437"/>
      <c r="C94" s="437"/>
      <c r="D94" s="437"/>
      <c r="E94" s="437"/>
      <c r="F94" s="437"/>
      <c r="G94" s="437"/>
      <c r="H94" s="437"/>
      <c r="I94" s="437"/>
      <c r="J94" s="437"/>
      <c r="K94" s="437"/>
      <c r="L94" s="437"/>
    </row>
    <row r="95" customFormat="false" ht="14.25" hidden="true" customHeight="true" outlineLevel="0" collapsed="false">
      <c r="A95" s="437"/>
      <c r="B95" s="437"/>
      <c r="C95" s="437"/>
      <c r="D95" s="437"/>
      <c r="E95" s="437"/>
      <c r="F95" s="437"/>
      <c r="G95" s="437"/>
      <c r="H95" s="437"/>
      <c r="I95" s="437"/>
      <c r="J95" s="437"/>
      <c r="K95" s="437"/>
      <c r="L95" s="437"/>
    </row>
    <row r="96" customFormat="false" ht="14.25" hidden="true" customHeight="true" outlineLevel="0" collapsed="false">
      <c r="A96" s="437"/>
      <c r="B96" s="437"/>
      <c r="C96" s="437"/>
      <c r="D96" s="437"/>
      <c r="E96" s="437"/>
      <c r="F96" s="437"/>
      <c r="G96" s="437"/>
      <c r="H96" s="437"/>
      <c r="I96" s="437"/>
      <c r="J96" s="437"/>
      <c r="K96" s="437"/>
      <c r="L96" s="437"/>
    </row>
    <row r="97" customFormat="false" ht="14.25" hidden="true" customHeight="true" outlineLevel="0" collapsed="false">
      <c r="A97" s="437"/>
      <c r="B97" s="437"/>
      <c r="C97" s="437"/>
      <c r="D97" s="437"/>
      <c r="E97" s="437"/>
      <c r="F97" s="437"/>
      <c r="G97" s="437"/>
      <c r="H97" s="437"/>
      <c r="I97" s="437"/>
      <c r="J97" s="437"/>
      <c r="K97" s="437"/>
      <c r="L97" s="437"/>
    </row>
    <row r="98" customFormat="false" ht="14.25" hidden="true" customHeight="true" outlineLevel="0" collapsed="false">
      <c r="A98" s="437"/>
      <c r="B98" s="437"/>
      <c r="C98" s="437"/>
      <c r="D98" s="437"/>
      <c r="E98" s="437"/>
      <c r="F98" s="437"/>
      <c r="G98" s="437"/>
      <c r="H98" s="437"/>
      <c r="I98" s="437"/>
      <c r="J98" s="437"/>
      <c r="K98" s="437"/>
      <c r="L98" s="437"/>
    </row>
    <row r="99" customFormat="false" ht="14.25" hidden="true" customHeight="true" outlineLevel="0" collapsed="false">
      <c r="A99" s="437"/>
      <c r="B99" s="437"/>
      <c r="C99" s="437"/>
      <c r="D99" s="437"/>
      <c r="E99" s="437"/>
      <c r="F99" s="437"/>
      <c r="G99" s="437"/>
      <c r="H99" s="437"/>
      <c r="I99" s="437"/>
      <c r="J99" s="437"/>
      <c r="K99" s="437"/>
      <c r="L99" s="437"/>
    </row>
    <row r="100" customFormat="false" ht="14.25" hidden="true" customHeight="true" outlineLevel="0" collapsed="false">
      <c r="A100" s="437"/>
      <c r="B100" s="437"/>
      <c r="C100" s="437"/>
      <c r="D100" s="437"/>
      <c r="E100" s="437"/>
      <c r="F100" s="437"/>
      <c r="G100" s="437"/>
      <c r="H100" s="437"/>
      <c r="I100" s="437"/>
      <c r="J100" s="437"/>
      <c r="K100" s="437"/>
      <c r="L100" s="437"/>
    </row>
  </sheetData>
  <mergeCells count="3">
    <mergeCell ref="A1:G1"/>
    <mergeCell ref="A2:G2"/>
    <mergeCell ref="A4:G4"/>
  </mergeCells>
  <printOptions headings="false" gridLines="false" gridLinesSet="true" horizontalCentered="tru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JFL Debt Model v11 | CONFIDENTIAL | Lender Summary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H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J23" activeCellId="0" sqref="J2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.21"/>
    <col collapsed="false" customWidth="true" hidden="false" outlineLevel="0" max="2" min="2" style="1" width="16.67"/>
    <col collapsed="false" customWidth="true" hidden="false" outlineLevel="0" max="3" min="3" style="1" width="29.66"/>
    <col collapsed="false" customWidth="true" hidden="false" outlineLevel="0" max="4" min="4" style="1" width="12"/>
    <col collapsed="false" customWidth="true" hidden="false" outlineLevel="0" max="5" min="5" style="1" width="13.88"/>
    <col collapsed="false" customWidth="true" hidden="false" outlineLevel="0" max="7" min="6" style="1" width="9.21"/>
    <col collapsed="false" customWidth="true" hidden="false" outlineLevel="0" max="8" min="8" style="1" width="7.44"/>
    <col collapsed="false" customWidth="true" hidden="false" outlineLevel="0" max="9" min="9" style="1" width="6.44"/>
    <col collapsed="false" customWidth="true" hidden="false" outlineLevel="0" max="11" min="10" style="1" width="13"/>
    <col collapsed="false" customWidth="true" hidden="false" outlineLevel="0" max="13" min="12" style="1" width="11.11"/>
    <col collapsed="false" customWidth="true" hidden="false" outlineLevel="0" max="14" min="14" style="1" width="8.34"/>
    <col collapsed="false" customWidth="true" hidden="false" outlineLevel="0" max="15" min="15" style="1" width="11.11"/>
    <col collapsed="false" customWidth="true" hidden="false" outlineLevel="0" max="16" min="16" style="1" width="16.67"/>
    <col collapsed="false" customWidth="true" hidden="false" outlineLevel="0" max="17" min="17" style="1" width="9.21"/>
    <col collapsed="false" customWidth="true" hidden="false" outlineLevel="0" max="18" min="18" style="1" width="12"/>
    <col collapsed="false" customWidth="true" hidden="false" outlineLevel="0" max="20" min="19" style="1" width="10.2"/>
    <col collapsed="false" customWidth="true" hidden="false" outlineLevel="0" max="21" min="21" style="1" width="12"/>
    <col collapsed="false" customWidth="true" hidden="false" outlineLevel="0" max="23" min="22" style="1" width="10.2"/>
    <col collapsed="false" customWidth="true" hidden="false" outlineLevel="0" max="28" min="24" style="1" width="13"/>
    <col collapsed="false" customWidth="true" hidden="false" outlineLevel="0" max="29" min="29" style="1" width="22.22"/>
    <col collapsed="false" customWidth="true" hidden="false" outlineLevel="0" max="30" min="30" style="1" width="29.66"/>
    <col collapsed="false" customWidth="true" hidden="false" outlineLevel="0" max="31" min="31" style="1" width="24.11"/>
    <col collapsed="false" customWidth="true" hidden="false" outlineLevel="0" max="32" min="32" style="1" width="33.33"/>
    <col collapsed="false" customWidth="true" hidden="false" outlineLevel="0" max="34" min="33" style="1" width="11.11"/>
  </cols>
  <sheetData>
    <row r="1" customFormat="false" ht="30" hidden="false" customHeight="true" outlineLevel="0" collapsed="false">
      <c r="A1" s="340" t="s">
        <v>360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</row>
    <row r="2" customFormat="false" ht="15.75" hidden="false" customHeight="true" outlineLevel="0" collapsed="false">
      <c r="A2" s="434" t="s">
        <v>361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</row>
    <row r="3" customFormat="false" ht="18" hidden="false" customHeight="true" outlineLevel="0" collapsed="false">
      <c r="A3" s="478" t="s">
        <v>362</v>
      </c>
      <c r="B3" s="478"/>
      <c r="C3" s="478"/>
      <c r="D3" s="478"/>
      <c r="E3" s="478"/>
      <c r="F3" s="478"/>
      <c r="G3" s="478" t="s">
        <v>363</v>
      </c>
      <c r="H3" s="478"/>
      <c r="I3" s="478" t="s">
        <v>364</v>
      </c>
      <c r="J3" s="478"/>
      <c r="K3" s="478"/>
      <c r="L3" s="478"/>
      <c r="M3" s="478"/>
      <c r="N3" s="478"/>
      <c r="O3" s="478"/>
      <c r="P3" s="478" t="s">
        <v>365</v>
      </c>
      <c r="Q3" s="478"/>
      <c r="R3" s="478"/>
      <c r="S3" s="478"/>
      <c r="T3" s="478" t="s">
        <v>366</v>
      </c>
      <c r="U3" s="478"/>
      <c r="V3" s="478"/>
      <c r="W3" s="478"/>
      <c r="X3" s="478" t="s">
        <v>367</v>
      </c>
      <c r="Y3" s="478"/>
      <c r="Z3" s="478"/>
      <c r="AA3" s="478"/>
      <c r="AB3" s="478"/>
      <c r="AC3" s="478" t="s">
        <v>368</v>
      </c>
      <c r="AD3" s="478"/>
      <c r="AE3" s="478"/>
      <c r="AF3" s="478"/>
      <c r="AG3" s="478" t="s">
        <v>369</v>
      </c>
      <c r="AH3" s="478"/>
    </row>
    <row r="4" customFormat="false" ht="36" hidden="false" customHeight="true" outlineLevel="0" collapsed="false">
      <c r="A4" s="479" t="s">
        <v>370</v>
      </c>
      <c r="B4" s="479" t="s">
        <v>82</v>
      </c>
      <c r="C4" s="479" t="s">
        <v>371</v>
      </c>
      <c r="D4" s="480" t="s">
        <v>119</v>
      </c>
      <c r="E4" s="480" t="s">
        <v>372</v>
      </c>
      <c r="F4" s="480" t="s">
        <v>373</v>
      </c>
      <c r="G4" s="480" t="s">
        <v>374</v>
      </c>
      <c r="H4" s="480" t="s">
        <v>375</v>
      </c>
      <c r="I4" s="480" t="s">
        <v>376</v>
      </c>
      <c r="J4" s="480" t="s">
        <v>377</v>
      </c>
      <c r="K4" s="480" t="s">
        <v>378</v>
      </c>
      <c r="L4" s="480" t="s">
        <v>379</v>
      </c>
      <c r="M4" s="480" t="s">
        <v>380</v>
      </c>
      <c r="N4" s="480" t="s">
        <v>381</v>
      </c>
      <c r="O4" s="480" t="s">
        <v>159</v>
      </c>
      <c r="P4" s="480" t="s">
        <v>382</v>
      </c>
      <c r="Q4" s="480" t="s">
        <v>383</v>
      </c>
      <c r="R4" s="480" t="s">
        <v>384</v>
      </c>
      <c r="S4" s="480" t="s">
        <v>385</v>
      </c>
      <c r="T4" s="480" t="s">
        <v>386</v>
      </c>
      <c r="U4" s="480" t="s">
        <v>387</v>
      </c>
      <c r="V4" s="480" t="s">
        <v>388</v>
      </c>
      <c r="W4" s="480" t="s">
        <v>389</v>
      </c>
      <c r="X4" s="480" t="s">
        <v>390</v>
      </c>
      <c r="Y4" s="480" t="s">
        <v>391</v>
      </c>
      <c r="Z4" s="480" t="s">
        <v>392</v>
      </c>
      <c r="AA4" s="480" t="s">
        <v>393</v>
      </c>
      <c r="AB4" s="480" t="s">
        <v>394</v>
      </c>
      <c r="AC4" s="480" t="s">
        <v>395</v>
      </c>
      <c r="AD4" s="480" t="s">
        <v>396</v>
      </c>
      <c r="AE4" s="480" t="s">
        <v>397</v>
      </c>
      <c r="AF4" s="480" t="s">
        <v>398</v>
      </c>
      <c r="AG4" s="480" t="s">
        <v>399</v>
      </c>
      <c r="AH4" s="480" t="s">
        <v>400</v>
      </c>
    </row>
    <row r="5" customFormat="false" ht="21.75" hidden="false" customHeight="true" outlineLevel="0" collapsed="false">
      <c r="A5" s="481" t="n">
        <v>1</v>
      </c>
      <c r="B5" s="482" t="s">
        <v>87</v>
      </c>
      <c r="C5" s="482" t="s">
        <v>401</v>
      </c>
      <c r="D5" s="483" t="s">
        <v>402</v>
      </c>
      <c r="E5" s="483" t="s">
        <v>403</v>
      </c>
      <c r="F5" s="484" t="b">
        <f aca="false">FALSE()</f>
        <v>0</v>
      </c>
      <c r="G5" s="483" t="b">
        <f aca="false">FALSE()</f>
        <v>0</v>
      </c>
      <c r="H5" s="481" t="n">
        <v>1</v>
      </c>
      <c r="I5" s="483" t="s">
        <v>404</v>
      </c>
      <c r="J5" s="485" t="n">
        <v>1125</v>
      </c>
      <c r="K5" s="485" t="n">
        <f aca="false">IFERROR(J5,0)</f>
        <v>1125</v>
      </c>
      <c r="L5" s="485"/>
      <c r="M5" s="486" t="n">
        <f aca="false">IFERROR(IF(D5="FB-Term",IF(A5=UBI_RTL1_SNo,UBI_RTL1_PrincOS,IF(A5=UBI_RTL2_SNo,UBI_RTL2_PrincOS,IF(A5=IB_TL_SNo,IB_TL_PrincOS,IF(A5=RBL_TL_SNo,RBL_TL_PrincOS,IF(A5=YBL_TL_SNo,YBL_TL_PrincOS,IF(A5=IDFC_TL_SNo,IDFC_TL_PrincOS,IF(A5=ICICI_TL_SNo,ICICI_TL_PrincOS,0))))))),IF(L5&lt;&gt;"",L5,IF(UseFullUtil,K5,0))),0)</f>
        <v>1125</v>
      </c>
      <c r="N5" s="487" t="n">
        <f aca="false">IFERROR(M5/K5,0)</f>
        <v>1</v>
      </c>
      <c r="O5" s="485" t="n">
        <f aca="false">IFERROR(K5-M5,0)</f>
        <v>0</v>
      </c>
      <c r="P5" s="482" t="s">
        <v>405</v>
      </c>
      <c r="Q5" s="488" t="n">
        <v>0.005</v>
      </c>
      <c r="R5" s="489" t="n">
        <f aca="false">IFERROR(VLOOKUP(P5,'Instructions &amp; Assumptions'!$A$14:$B$27,2,FALSE())+Q5,Q5)</f>
        <v>0.094</v>
      </c>
      <c r="S5" s="483" t="s">
        <v>406</v>
      </c>
      <c r="T5" s="490" t="n">
        <v>48</v>
      </c>
      <c r="U5" s="483" t="s">
        <v>407</v>
      </c>
      <c r="V5" s="490" t="n">
        <v>192</v>
      </c>
      <c r="W5" s="490" t="n">
        <v>48</v>
      </c>
      <c r="X5" s="491" t="n">
        <v>45104</v>
      </c>
      <c r="Y5" s="491" t="n">
        <v>46568</v>
      </c>
      <c r="Z5" s="491" t="n">
        <v>50860</v>
      </c>
      <c r="AA5" s="491" t="n">
        <v>45920</v>
      </c>
      <c r="AB5" s="491" t="n">
        <v>50860</v>
      </c>
      <c r="AC5" s="492" t="s">
        <v>408</v>
      </c>
      <c r="AD5" s="493" t="s">
        <v>409</v>
      </c>
      <c r="AE5" s="493" t="s">
        <v>410</v>
      </c>
      <c r="AF5" s="493" t="s">
        <v>411</v>
      </c>
      <c r="AG5" s="494" t="b">
        <f aca="false">FALSE()</f>
        <v>0</v>
      </c>
      <c r="AH5" s="494" t="b">
        <f aca="false">FALSE()</f>
        <v>0</v>
      </c>
    </row>
    <row r="6" customFormat="false" ht="21.75" hidden="false" customHeight="true" outlineLevel="0" collapsed="false">
      <c r="A6" s="495" t="n">
        <v>2</v>
      </c>
      <c r="B6" s="362" t="s">
        <v>87</v>
      </c>
      <c r="C6" s="362" t="s">
        <v>412</v>
      </c>
      <c r="D6" s="496" t="s">
        <v>402</v>
      </c>
      <c r="E6" s="496" t="s">
        <v>403</v>
      </c>
      <c r="F6" s="497" t="b">
        <f aca="false">FALSE()</f>
        <v>0</v>
      </c>
      <c r="G6" s="496" t="b">
        <f aca="false">FALSE()</f>
        <v>0</v>
      </c>
      <c r="H6" s="498" t="n">
        <v>1</v>
      </c>
      <c r="I6" s="496" t="s">
        <v>404</v>
      </c>
      <c r="J6" s="499" t="n">
        <v>236</v>
      </c>
      <c r="K6" s="499" t="n">
        <f aca="false">IFERROR(J6,0)</f>
        <v>236</v>
      </c>
      <c r="L6" s="499"/>
      <c r="M6" s="500" t="n">
        <f aca="false">IFERROR(IF(D6="FB-Term",IF(A6=UBI_RTL1_SNo,UBI_RTL1_PrincOS,IF(A6=UBI_RTL2_SNo,UBI_RTL2_PrincOS,IF(A6=IB_TL_SNo,IB_TL_PrincOS,IF(A6=RBL_TL_SNo,RBL_TL_PrincOS,IF(A6=YBL_TL_SNo,YBL_TL_PrincOS,IF(A6=IDFC_TL_SNo,IDFC_TL_PrincOS,IF(A6=ICICI_TL_SNo,ICICI_TL_PrincOS,0))))))),IF(L6&lt;&gt;"",L6,IF(UseFullUtil,K6,0))),0)</f>
        <v>236</v>
      </c>
      <c r="N6" s="501" t="n">
        <f aca="false">IFERROR(M6/K6,0)</f>
        <v>1</v>
      </c>
      <c r="O6" s="499" t="n">
        <f aca="false">IFERROR(K6-M6,0)</f>
        <v>0</v>
      </c>
      <c r="P6" s="362" t="s">
        <v>413</v>
      </c>
      <c r="Q6" s="502" t="n">
        <v>0.005</v>
      </c>
      <c r="R6" s="503" t="n">
        <f aca="false">IFERROR(VLOOKUP(P6,'Instructions &amp; Assumptions'!$A$14:$B$27,2,FALSE())+Q6,Q6)</f>
        <v>0.091</v>
      </c>
      <c r="S6" s="496" t="s">
        <v>406</v>
      </c>
      <c r="T6" s="504" t="n">
        <v>21</v>
      </c>
      <c r="U6" s="496" t="s">
        <v>407</v>
      </c>
      <c r="V6" s="504" t="n">
        <v>162</v>
      </c>
      <c r="W6" s="504" t="n">
        <v>48</v>
      </c>
      <c r="X6" s="505" t="n">
        <v>45920</v>
      </c>
      <c r="Y6" s="505" t="n">
        <v>46568</v>
      </c>
      <c r="Z6" s="505" t="n">
        <v>50860</v>
      </c>
      <c r="AA6" s="505" t="n">
        <v>45920</v>
      </c>
      <c r="AB6" s="505" t="n">
        <v>50860</v>
      </c>
      <c r="AC6" s="506" t="s">
        <v>414</v>
      </c>
      <c r="AD6" s="507" t="s">
        <v>415</v>
      </c>
      <c r="AE6" s="507" t="s">
        <v>410</v>
      </c>
      <c r="AF6" s="507" t="s">
        <v>416</v>
      </c>
      <c r="AG6" s="508" t="b">
        <f aca="false">FALSE()</f>
        <v>0</v>
      </c>
      <c r="AH6" s="508" t="b">
        <f aca="false">FALSE()</f>
        <v>0</v>
      </c>
    </row>
    <row r="7" customFormat="false" ht="21.75" hidden="false" customHeight="true" outlineLevel="0" collapsed="false">
      <c r="A7" s="509" t="n">
        <v>3</v>
      </c>
      <c r="B7" s="482" t="s">
        <v>87</v>
      </c>
      <c r="C7" s="510" t="s">
        <v>417</v>
      </c>
      <c r="D7" s="483" t="s">
        <v>418</v>
      </c>
      <c r="E7" s="483" t="s">
        <v>419</v>
      </c>
      <c r="F7" s="511" t="b">
        <f aca="false">TRUE()</f>
        <v>1</v>
      </c>
      <c r="G7" s="483" t="b">
        <f aca="false">FALSE()</f>
        <v>0</v>
      </c>
      <c r="H7" s="512" t="n">
        <v>0</v>
      </c>
      <c r="I7" s="483" t="s">
        <v>404</v>
      </c>
      <c r="J7" s="485" t="n">
        <v>750</v>
      </c>
      <c r="K7" s="485" t="n">
        <f aca="false">IFERROR(J7,0)</f>
        <v>750</v>
      </c>
      <c r="L7" s="485"/>
      <c r="M7" s="486" t="n">
        <f aca="false">IFERROR(IF(D7="FB-Term",IF(A7=UBI_RTL1_SNo,UBI_RTL1_PrincOS,IF(A7=UBI_RTL2_SNo,UBI_RTL2_PrincOS,IF(A7=IB_TL_SNo,IB_TL_PrincOS,IF(A7=RBL_TL_SNo,RBL_TL_PrincOS,IF(A7=YBL_TL_SNo,YBL_TL_PrincOS,IF(A7=IDFC_TL_SNo,IDFC_TL_PrincOS,IF(A7=ICICI_TL_SNo,ICICI_TL_PrincOS,0))))))),IF(L7&lt;&gt;"",L7,IF(UseFullUtil,K7,0))),0)</f>
        <v>750</v>
      </c>
      <c r="N7" s="487" t="n">
        <f aca="false">IFERROR(M7/K7,0)</f>
        <v>1</v>
      </c>
      <c r="O7" s="485" t="n">
        <f aca="false">IFERROR(K7-M7,0)</f>
        <v>0</v>
      </c>
      <c r="P7" s="482" t="s">
        <v>420</v>
      </c>
      <c r="Q7" s="488" t="n">
        <v>0.006</v>
      </c>
      <c r="R7" s="488" t="n">
        <f aca="false">IFERROR(VLOOKUP(P7,'Instructions &amp; Assumptions'!$A$14:$B$27,2,FALSE())+Q7,Q7)</f>
        <v>0.006</v>
      </c>
      <c r="S7" s="483" t="s">
        <v>421</v>
      </c>
      <c r="T7" s="490" t="n">
        <v>0</v>
      </c>
      <c r="U7" s="483" t="s">
        <v>422</v>
      </c>
      <c r="V7" s="490" t="n">
        <v>12</v>
      </c>
      <c r="W7" s="490" t="n">
        <v>0</v>
      </c>
      <c r="X7" s="491" t="n">
        <v>45920</v>
      </c>
      <c r="Y7" s="491" t="n">
        <f aca="false">IFERROR(EDATE(X7,T7),"")</f>
        <v>45920</v>
      </c>
      <c r="Z7" s="491" t="n">
        <f aca="false">IFERROR(EDATE(X7,V7),"")</f>
        <v>46285</v>
      </c>
      <c r="AA7" s="491" t="n">
        <v>45920</v>
      </c>
      <c r="AB7" s="491" t="n">
        <v>46284</v>
      </c>
      <c r="AC7" s="492" t="s">
        <v>423</v>
      </c>
      <c r="AD7" s="493" t="s">
        <v>424</v>
      </c>
      <c r="AE7" s="493" t="s">
        <v>410</v>
      </c>
      <c r="AF7" s="493" t="s">
        <v>425</v>
      </c>
      <c r="AG7" s="494" t="b">
        <f aca="false">TRUE()</f>
        <v>1</v>
      </c>
      <c r="AH7" s="494" t="b">
        <f aca="false">FALSE()</f>
        <v>0</v>
      </c>
    </row>
    <row r="8" customFormat="false" ht="21.75" hidden="false" customHeight="true" outlineLevel="0" collapsed="false">
      <c r="A8" s="495" t="n">
        <v>4</v>
      </c>
      <c r="B8" s="362" t="s">
        <v>87</v>
      </c>
      <c r="C8" s="513" t="s">
        <v>426</v>
      </c>
      <c r="D8" s="496" t="s">
        <v>418</v>
      </c>
      <c r="E8" s="496" t="s">
        <v>419</v>
      </c>
      <c r="F8" s="514" t="b">
        <f aca="false">TRUE()</f>
        <v>1</v>
      </c>
      <c r="G8" s="496" t="b">
        <f aca="false">FALSE()</f>
        <v>0</v>
      </c>
      <c r="H8" s="515" t="n">
        <v>0</v>
      </c>
      <c r="I8" s="496" t="s">
        <v>404</v>
      </c>
      <c r="J8" s="499" t="n">
        <v>12.5</v>
      </c>
      <c r="K8" s="499" t="n">
        <f aca="false">IFERROR(J8,0)</f>
        <v>12.5</v>
      </c>
      <c r="L8" s="499"/>
      <c r="M8" s="500" t="n">
        <f aca="false">IFERROR(IF(D8="FB-Term",IF(A8=UBI_RTL1_SNo,UBI_RTL1_PrincOS,IF(A8=UBI_RTL2_SNo,UBI_RTL2_PrincOS,IF(A8=IB_TL_SNo,IB_TL_PrincOS,IF(A8=RBL_TL_SNo,RBL_TL_PrincOS,IF(A8=YBL_TL_SNo,YBL_TL_PrincOS,IF(A8=IDFC_TL_SNo,IDFC_TL_PrincOS,IF(A8=ICICI_TL_SNo,ICICI_TL_PrincOS,0))))))),IF(L8&lt;&gt;"",L8,IF(UseFullUtil,K8,0))),0)</f>
        <v>12.5</v>
      </c>
      <c r="N8" s="501" t="n">
        <f aca="false">IFERROR(M8/K8,0)</f>
        <v>1</v>
      </c>
      <c r="O8" s="499" t="n">
        <f aca="false">IFERROR(K8-M8,0)</f>
        <v>0</v>
      </c>
      <c r="P8" s="362" t="s">
        <v>420</v>
      </c>
      <c r="Q8" s="502" t="n">
        <v>0.006</v>
      </c>
      <c r="R8" s="502" t="n">
        <f aca="false">IFERROR(VLOOKUP(P8,'Instructions &amp; Assumptions'!$A$14:$B$27,2,FALSE())+Q8,Q8)</f>
        <v>0.006</v>
      </c>
      <c r="S8" s="496" t="s">
        <v>421</v>
      </c>
      <c r="T8" s="504" t="n">
        <v>0</v>
      </c>
      <c r="U8" s="496" t="s">
        <v>422</v>
      </c>
      <c r="V8" s="504" t="n">
        <v>36</v>
      </c>
      <c r="W8" s="504" t="n">
        <v>0</v>
      </c>
      <c r="X8" s="505" t="n">
        <v>45920</v>
      </c>
      <c r="Y8" s="505" t="n">
        <f aca="false">IFERROR(EDATE(X8,T8),"")</f>
        <v>45920</v>
      </c>
      <c r="Z8" s="505" t="n">
        <f aca="false">IFERROR(EDATE(X8,V8),"")</f>
        <v>47016</v>
      </c>
      <c r="AA8" s="505" t="n">
        <v>45920</v>
      </c>
      <c r="AB8" s="505" t="n">
        <v>46284</v>
      </c>
      <c r="AC8" s="506" t="s">
        <v>427</v>
      </c>
      <c r="AD8" s="507" t="s">
        <v>428</v>
      </c>
      <c r="AE8" s="507" t="s">
        <v>410</v>
      </c>
      <c r="AF8" s="507" t="s">
        <v>429</v>
      </c>
      <c r="AG8" s="508" t="b">
        <f aca="false">FALSE()</f>
        <v>0</v>
      </c>
      <c r="AH8" s="508" t="b">
        <f aca="false">FALSE()</f>
        <v>0</v>
      </c>
    </row>
    <row r="9" customFormat="false" ht="21.75" hidden="false" customHeight="true" outlineLevel="0" collapsed="false">
      <c r="A9" s="509" t="n">
        <v>5</v>
      </c>
      <c r="B9" s="482" t="s">
        <v>87</v>
      </c>
      <c r="C9" s="482" t="s">
        <v>430</v>
      </c>
      <c r="D9" s="483" t="s">
        <v>431</v>
      </c>
      <c r="E9" s="483" t="s">
        <v>419</v>
      </c>
      <c r="F9" s="484" t="b">
        <f aca="false">FALSE()</f>
        <v>0</v>
      </c>
      <c r="G9" s="483" t="b">
        <f aca="false">FALSE()</f>
        <v>0</v>
      </c>
      <c r="H9" s="516" t="s">
        <v>432</v>
      </c>
      <c r="I9" s="483" t="s">
        <v>404</v>
      </c>
      <c r="J9" s="485" t="n">
        <v>75</v>
      </c>
      <c r="K9" s="485" t="n">
        <f aca="false">IFERROR(J9,0)</f>
        <v>75</v>
      </c>
      <c r="L9" s="485"/>
      <c r="M9" s="486" t="n">
        <f aca="false">IFERROR(IF(D9="FB-Term",IF(A9=UBI_RTL1_SNo,UBI_RTL1_PrincOS,IF(A9=UBI_RTL2_SNo,UBI_RTL2_PrincOS,IF(A9=IB_TL_SNo,IB_TL_PrincOS,IF(A9=RBL_TL_SNo,RBL_TL_PrincOS,IF(A9=YBL_TL_SNo,YBL_TL_PrincOS,IF(A9=IDFC_TL_SNo,IDFC_TL_PrincOS,IF(A9=ICICI_TL_SNo,ICICI_TL_PrincOS,0))))))),IF(L9&lt;&gt;"",L9,IF(UseFullUtil,K9,0))),0)</f>
        <v>75</v>
      </c>
      <c r="N9" s="487" t="n">
        <f aca="false">IFERROR(M9/K9,0)</f>
        <v>1</v>
      </c>
      <c r="O9" s="485" t="n">
        <f aca="false">IFERROR(K9-M9,0)</f>
        <v>0</v>
      </c>
      <c r="P9" s="482" t="s">
        <v>433</v>
      </c>
      <c r="Q9" s="488" t="n">
        <v>0</v>
      </c>
      <c r="R9" s="488" t="n">
        <f aca="false">IFERROR(VLOOKUP(P9,'Instructions &amp; Assumptions'!$A$14:$B$27,2,FALSE())+Q9,Q9)</f>
        <v>0</v>
      </c>
      <c r="S9" s="483" t="s">
        <v>421</v>
      </c>
      <c r="T9" s="490" t="n">
        <v>0</v>
      </c>
      <c r="U9" s="483" t="s">
        <v>434</v>
      </c>
      <c r="V9" s="490" t="n">
        <v>12</v>
      </c>
      <c r="W9" s="490" t="n">
        <v>0</v>
      </c>
      <c r="X9" s="491" t="n">
        <v>45920</v>
      </c>
      <c r="Y9" s="491" t="n">
        <f aca="false">IFERROR(EDATE(X9,T9),"")</f>
        <v>45920</v>
      </c>
      <c r="Z9" s="491" t="n">
        <f aca="false">IFERROR(EDATE(X9,V9),"")</f>
        <v>46285</v>
      </c>
      <c r="AA9" s="491" t="n">
        <v>45920</v>
      </c>
      <c r="AB9" s="491" t="n">
        <v>46284</v>
      </c>
      <c r="AC9" s="492" t="s">
        <v>435</v>
      </c>
      <c r="AD9" s="493" t="s">
        <v>436</v>
      </c>
      <c r="AE9" s="493" t="s">
        <v>410</v>
      </c>
      <c r="AF9" s="493" t="s">
        <v>437</v>
      </c>
      <c r="AG9" s="494" t="b">
        <f aca="false">FALSE()</f>
        <v>0</v>
      </c>
      <c r="AH9" s="494" t="b">
        <f aca="false">FALSE()</f>
        <v>0</v>
      </c>
    </row>
    <row r="10" customFormat="false" ht="21.75" hidden="false" customHeight="true" outlineLevel="0" collapsed="false">
      <c r="A10" s="481" t="n">
        <v>6</v>
      </c>
      <c r="B10" s="482" t="s">
        <v>88</v>
      </c>
      <c r="C10" s="482" t="s">
        <v>438</v>
      </c>
      <c r="D10" s="483" t="s">
        <v>402</v>
      </c>
      <c r="E10" s="483" t="s">
        <v>403</v>
      </c>
      <c r="F10" s="484" t="b">
        <f aca="false">FALSE()</f>
        <v>0</v>
      </c>
      <c r="G10" s="483" t="b">
        <f aca="false">FALSE()</f>
        <v>0</v>
      </c>
      <c r="H10" s="481" t="n">
        <v>1</v>
      </c>
      <c r="I10" s="483" t="s">
        <v>404</v>
      </c>
      <c r="J10" s="485" t="n">
        <v>235</v>
      </c>
      <c r="K10" s="485" t="n">
        <f aca="false">IFERROR(J10,0)</f>
        <v>235</v>
      </c>
      <c r="L10" s="485"/>
      <c r="M10" s="486" t="n">
        <f aca="false">IFERROR(IF(D10="FB-Term",IF(A10=UBI_RTL1_SNo,UBI_RTL1_PrincOS,IF(A10=UBI_RTL2_SNo,UBI_RTL2_PrincOS,IF(A10=IB_TL_SNo,IB_TL_PrincOS,IF(A10=RBL_TL_SNo,RBL_TL_PrincOS,IF(A10=YBL_TL_SNo,YBL_TL_PrincOS,IF(A10=IDFC_TL_SNo,IDFC_TL_PrincOS,IF(A10=ICICI_TL_SNo,ICICI_TL_PrincOS,0))))))),IF(L10&lt;&gt;"",L10,IF(UseFullUtil,K10,0))),0)</f>
        <v>235</v>
      </c>
      <c r="N10" s="487" t="n">
        <f aca="false">IFERROR(M10/K10,0)</f>
        <v>1</v>
      </c>
      <c r="O10" s="485" t="n">
        <f aca="false">IFERROR(K10-M10,0)</f>
        <v>0</v>
      </c>
      <c r="P10" s="482" t="s">
        <v>439</v>
      </c>
      <c r="Q10" s="488" t="n">
        <v>0.005</v>
      </c>
      <c r="R10" s="489" t="n">
        <f aca="false">IFERROR(VLOOKUP(P10,'Instructions &amp; Assumptions'!$A$14:$B$27,2,FALSE())+Q10,Q10)</f>
        <v>0.094</v>
      </c>
      <c r="S10" s="483" t="s">
        <v>406</v>
      </c>
      <c r="T10" s="490" t="n">
        <v>50</v>
      </c>
      <c r="U10" s="483" t="s">
        <v>407</v>
      </c>
      <c r="V10" s="490" t="n">
        <v>192</v>
      </c>
      <c r="W10" s="490" t="n">
        <v>48</v>
      </c>
      <c r="X10" s="491" t="n">
        <v>44927</v>
      </c>
      <c r="Y10" s="491" t="n">
        <v>46477</v>
      </c>
      <c r="Z10" s="517" t="n">
        <v>50770</v>
      </c>
      <c r="AA10" s="491" t="n">
        <v>45926</v>
      </c>
      <c r="AB10" s="491" t="n">
        <f aca="false">Z10</f>
        <v>50770</v>
      </c>
      <c r="AC10" s="492" t="s">
        <v>440</v>
      </c>
      <c r="AD10" s="493" t="s">
        <v>441</v>
      </c>
      <c r="AE10" s="493" t="s">
        <v>442</v>
      </c>
      <c r="AF10" s="493" t="s">
        <v>443</v>
      </c>
      <c r="AG10" s="494" t="b">
        <f aca="false">FALSE()</f>
        <v>0</v>
      </c>
      <c r="AH10" s="494" t="b">
        <f aca="false">FALSE()</f>
        <v>0</v>
      </c>
    </row>
    <row r="11" customFormat="false" ht="21.75" hidden="false" customHeight="true" outlineLevel="0" collapsed="false">
      <c r="A11" s="518" t="n">
        <v>7</v>
      </c>
      <c r="B11" s="519" t="s">
        <v>89</v>
      </c>
      <c r="C11" s="519" t="s">
        <v>444</v>
      </c>
      <c r="D11" s="520" t="s">
        <v>402</v>
      </c>
      <c r="E11" s="520" t="s">
        <v>403</v>
      </c>
      <c r="F11" s="521" t="b">
        <f aca="false">FALSE()</f>
        <v>0</v>
      </c>
      <c r="G11" s="520" t="b">
        <f aca="false">FALSE()</f>
        <v>0</v>
      </c>
      <c r="H11" s="518" t="n">
        <v>1</v>
      </c>
      <c r="I11" s="520" t="s">
        <v>404</v>
      </c>
      <c r="J11" s="522" t="n">
        <v>200</v>
      </c>
      <c r="K11" s="522" t="n">
        <f aca="false">IFERROR(J11,0)</f>
        <v>200</v>
      </c>
      <c r="L11" s="522"/>
      <c r="M11" s="523" t="n">
        <f aca="false">IFERROR(IF(D11="FB-Term",IF(A11=UBI_RTL1_SNo,UBI_RTL1_PrincOS,IF(A11=UBI_RTL2_SNo,UBI_RTL2_PrincOS,IF(A11=IB_TL_SNo,IB_TL_PrincOS,IF(A11=RBL_TL_SNo,RBL_TL_PrincOS,IF(A11=YBL_TL_SNo,YBL_TL_PrincOS,IF(A11=IDFC_TL_SNo,IDFC_TL_PrincOS,IF(A11=ICICI_TL_SNo,ICICI_TL_PrincOS,0))))))),IF(L11&lt;&gt;"",L11,IF(UseFullUtil,K11,0))),0)</f>
        <v>200</v>
      </c>
      <c r="N11" s="524" t="n">
        <f aca="false">IFERROR(M11/K11,0)</f>
        <v>1</v>
      </c>
      <c r="O11" s="522" t="n">
        <f aca="false">IFERROR(K11-M11,0)</f>
        <v>0</v>
      </c>
      <c r="P11" s="519" t="s">
        <v>445</v>
      </c>
      <c r="Q11" s="525" t="n">
        <v>0</v>
      </c>
      <c r="R11" s="526" t="n">
        <f aca="false">IFERROR(VLOOKUP(P11,'Instructions &amp; Assumptions'!$A$14:$B$27,2,FALSE())+Q11,Q11)</f>
        <v>0.095</v>
      </c>
      <c r="S11" s="520" t="s">
        <v>446</v>
      </c>
      <c r="T11" s="527" t="n">
        <v>0</v>
      </c>
      <c r="U11" s="520" t="s">
        <v>447</v>
      </c>
      <c r="V11" s="527" t="n">
        <v>12</v>
      </c>
      <c r="W11" s="527" t="n">
        <v>1</v>
      </c>
      <c r="X11" s="528" t="n">
        <v>45974</v>
      </c>
      <c r="Y11" s="528" t="n">
        <v>46339</v>
      </c>
      <c r="Z11" s="528" t="n">
        <v>46339</v>
      </c>
      <c r="AA11" s="528" t="n">
        <v>45974</v>
      </c>
      <c r="AB11" s="528" t="n">
        <v>46265</v>
      </c>
      <c r="AC11" s="529" t="s">
        <v>448</v>
      </c>
      <c r="AD11" s="530" t="s">
        <v>449</v>
      </c>
      <c r="AE11" s="530" t="s">
        <v>450</v>
      </c>
      <c r="AF11" s="530" t="s">
        <v>451</v>
      </c>
      <c r="AG11" s="531" t="b">
        <f aca="false">FALSE()</f>
        <v>0</v>
      </c>
      <c r="AH11" s="531" t="b">
        <f aca="false">FALSE()</f>
        <v>0</v>
      </c>
    </row>
    <row r="12" customFormat="false" ht="21.75" hidden="false" customHeight="true" outlineLevel="0" collapsed="false">
      <c r="A12" s="495" t="n">
        <v>8</v>
      </c>
      <c r="B12" s="362" t="s">
        <v>89</v>
      </c>
      <c r="C12" s="513" t="s">
        <v>452</v>
      </c>
      <c r="D12" s="496" t="s">
        <v>418</v>
      </c>
      <c r="E12" s="496" t="s">
        <v>419</v>
      </c>
      <c r="F12" s="514" t="b">
        <f aca="false">TRUE()</f>
        <v>1</v>
      </c>
      <c r="G12" s="496" t="b">
        <f aca="false">FALSE()</f>
        <v>0</v>
      </c>
      <c r="H12" s="515" t="n">
        <v>0</v>
      </c>
      <c r="I12" s="496" t="s">
        <v>404</v>
      </c>
      <c r="J12" s="499" t="n">
        <v>200</v>
      </c>
      <c r="K12" s="499" t="n">
        <f aca="false">IFERROR(J12,0)</f>
        <v>200</v>
      </c>
      <c r="L12" s="499"/>
      <c r="M12" s="500" t="n">
        <f aca="false">IFERROR(IF(D12="FB-Term",IF(A12=UBI_RTL1_SNo,UBI_RTL1_PrincOS,IF(A12=UBI_RTL2_SNo,UBI_RTL2_PrincOS,IF(A12=IB_TL_SNo,IB_TL_PrincOS,IF(A12=RBL_TL_SNo,RBL_TL_PrincOS,IF(A12=YBL_TL_SNo,YBL_TL_PrincOS,IF(A12=IDFC_TL_SNo,IDFC_TL_PrincOS,IF(A12=ICICI_TL_SNo,ICICI_TL_PrincOS,0))))))),IF(L12&lt;&gt;"",L12,IF(UseFullUtil,K12,0))),0)</f>
        <v>200</v>
      </c>
      <c r="N12" s="501" t="n">
        <f aca="false">IFERROR(M12/K12,0)</f>
        <v>1</v>
      </c>
      <c r="O12" s="499" t="n">
        <f aca="false">IFERROR(K12-M12,0)</f>
        <v>0</v>
      </c>
      <c r="P12" s="362" t="s">
        <v>420</v>
      </c>
      <c r="Q12" s="502" t="n">
        <v>0.005</v>
      </c>
      <c r="R12" s="502" t="n">
        <f aca="false">IFERROR(VLOOKUP(P12,'Instructions &amp; Assumptions'!$A$14:$B$27,2,FALSE())+Q12,Q12)</f>
        <v>0.005</v>
      </c>
      <c r="S12" s="496" t="s">
        <v>421</v>
      </c>
      <c r="T12" s="504" t="n">
        <v>0</v>
      </c>
      <c r="U12" s="496" t="s">
        <v>422</v>
      </c>
      <c r="V12" s="504" t="n">
        <v>6</v>
      </c>
      <c r="W12" s="504" t="n">
        <v>0</v>
      </c>
      <c r="X12" s="505" t="n">
        <v>45974</v>
      </c>
      <c r="Y12" s="505" t="n">
        <f aca="false">IFERROR(EDATE(X12,T12),"")</f>
        <v>45974</v>
      </c>
      <c r="Z12" s="505" t="n">
        <f aca="false">IFERROR(EDATE(X12,V12),"")</f>
        <v>46155</v>
      </c>
      <c r="AA12" s="505" t="n">
        <v>45974</v>
      </c>
      <c r="AB12" s="505" t="n">
        <v>46265</v>
      </c>
      <c r="AC12" s="506" t="s">
        <v>453</v>
      </c>
      <c r="AD12" s="507" t="s">
        <v>454</v>
      </c>
      <c r="AE12" s="507" t="s">
        <v>450</v>
      </c>
      <c r="AF12" s="507" t="s">
        <v>455</v>
      </c>
      <c r="AG12" s="508" t="b">
        <f aca="false">TRUE()</f>
        <v>1</v>
      </c>
      <c r="AH12" s="508" t="b">
        <f aca="false">FALSE()</f>
        <v>0</v>
      </c>
    </row>
    <row r="13" customFormat="false" ht="21.75" hidden="false" customHeight="true" outlineLevel="0" collapsed="false">
      <c r="A13" s="532" t="n">
        <v>9</v>
      </c>
      <c r="B13" s="519" t="s">
        <v>89</v>
      </c>
      <c r="C13" s="519" t="s">
        <v>456</v>
      </c>
      <c r="D13" s="520" t="s">
        <v>457</v>
      </c>
      <c r="E13" s="520" t="s">
        <v>419</v>
      </c>
      <c r="F13" s="521" t="b">
        <f aca="false">FALSE()</f>
        <v>0</v>
      </c>
      <c r="G13" s="533" t="b">
        <f aca="false">TRUE()</f>
        <v>1</v>
      </c>
      <c r="H13" s="533" t="n">
        <v>3</v>
      </c>
      <c r="I13" s="520" t="s">
        <v>404</v>
      </c>
      <c r="J13" s="522" t="n">
        <v>100</v>
      </c>
      <c r="K13" s="522" t="n">
        <f aca="false">IFERROR(J13,0)</f>
        <v>100</v>
      </c>
      <c r="L13" s="522"/>
      <c r="M13" s="523" t="n">
        <f aca="false">IFERROR(IF(D13="FB-Term",IF(A13=UBI_RTL1_SNo,UBI_RTL1_PrincOS,IF(A13=UBI_RTL2_SNo,UBI_RTL2_PrincOS,IF(A13=IB_TL_SNo,IB_TL_PrincOS,IF(A13=RBL_TL_SNo,RBL_TL_PrincOS,IF(A13=YBL_TL_SNo,YBL_TL_PrincOS,IF(A13=IDFC_TL_SNo,IDFC_TL_PrincOS,IF(A13=ICICI_TL_SNo,ICICI_TL_PrincOS,0))))))),IF(L13&lt;&gt;"",L13,IF(UseFullUtil,K13,0))),0)</f>
        <v>100</v>
      </c>
      <c r="N13" s="524" t="n">
        <f aca="false">IFERROR(M13/K13,0)</f>
        <v>1</v>
      </c>
      <c r="O13" s="522" t="n">
        <f aca="false">IFERROR(K13-M13,0)</f>
        <v>0</v>
      </c>
      <c r="P13" s="519" t="s">
        <v>445</v>
      </c>
      <c r="Q13" s="525" t="n">
        <v>0</v>
      </c>
      <c r="R13" s="526" t="n">
        <f aca="false">IFERROR(VLOOKUP(P13,'Instructions &amp; Assumptions'!$A$14:$B$27,2,FALSE())+Q13,Q13)</f>
        <v>0.095</v>
      </c>
      <c r="S13" s="520" t="s">
        <v>446</v>
      </c>
      <c r="T13" s="527" t="n">
        <v>0</v>
      </c>
      <c r="U13" s="520" t="s">
        <v>458</v>
      </c>
      <c r="V13" s="527" t="n">
        <v>12</v>
      </c>
      <c r="W13" s="527" t="n">
        <v>0</v>
      </c>
      <c r="X13" s="528" t="n">
        <v>45974</v>
      </c>
      <c r="Y13" s="528" t="n">
        <f aca="false">IFERROR(EDATE(X13,T13),"")</f>
        <v>45974</v>
      </c>
      <c r="Z13" s="528" t="n">
        <f aca="false">IFERROR(EDATE(X13,V13),"")</f>
        <v>46339</v>
      </c>
      <c r="AA13" s="528" t="n">
        <v>45974</v>
      </c>
      <c r="AB13" s="528" t="n">
        <v>46265</v>
      </c>
      <c r="AC13" s="529" t="s">
        <v>459</v>
      </c>
      <c r="AD13" s="530" t="s">
        <v>460</v>
      </c>
      <c r="AE13" s="530" t="s">
        <v>450</v>
      </c>
      <c r="AF13" s="530" t="s">
        <v>461</v>
      </c>
      <c r="AG13" s="531" t="b">
        <f aca="false">FALSE()</f>
        <v>0</v>
      </c>
      <c r="AH13" s="531" t="b">
        <f aca="false">FALSE()</f>
        <v>0</v>
      </c>
    </row>
    <row r="14" customFormat="false" ht="21.75" hidden="false" customHeight="true" outlineLevel="0" collapsed="false">
      <c r="A14" s="481" t="n">
        <v>10</v>
      </c>
      <c r="B14" s="482" t="s">
        <v>90</v>
      </c>
      <c r="C14" s="482" t="s">
        <v>462</v>
      </c>
      <c r="D14" s="483" t="s">
        <v>402</v>
      </c>
      <c r="E14" s="483" t="s">
        <v>403</v>
      </c>
      <c r="F14" s="484" t="b">
        <f aca="false">FALSE()</f>
        <v>0</v>
      </c>
      <c r="G14" s="483" t="b">
        <f aca="false">FALSE()</f>
        <v>0</v>
      </c>
      <c r="H14" s="481" t="n">
        <v>1</v>
      </c>
      <c r="I14" s="483" t="s">
        <v>404</v>
      </c>
      <c r="J14" s="485" t="n">
        <v>650</v>
      </c>
      <c r="K14" s="485" t="n">
        <f aca="false">IFERROR(J14,0)</f>
        <v>650</v>
      </c>
      <c r="L14" s="485"/>
      <c r="M14" s="486" t="n">
        <f aca="false">IFERROR(IF(D14="FB-Term",IF(A14=UBI_RTL1_SNo,UBI_RTL1_PrincOS,IF(A14=UBI_RTL2_SNo,UBI_RTL2_PrincOS,IF(A14=IB_TL_SNo,IB_TL_PrincOS,IF(A14=RBL_TL_SNo,RBL_TL_PrincOS,IF(A14=YBL_TL_SNo,YBL_TL_PrincOS,IF(A14=IDFC_TL_SNo,IDFC_TL_PrincOS,IF(A14=ICICI_TL_SNo,ICICI_TL_PrincOS,0))))))),IF(L14&lt;&gt;"",L14,IF(UseFullUtil,K14,0))),0)</f>
        <v>650</v>
      </c>
      <c r="N14" s="487" t="n">
        <f aca="false">IFERROR(M14/K14,0)</f>
        <v>1</v>
      </c>
      <c r="O14" s="485" t="n">
        <f aca="false">IFERROR(K14-M14,0)</f>
        <v>0</v>
      </c>
      <c r="P14" s="482" t="s">
        <v>463</v>
      </c>
      <c r="Q14" s="488" t="n">
        <v>0.0345</v>
      </c>
      <c r="R14" s="489" t="n">
        <f aca="false">IFERROR(VLOOKUP(P14,'Instructions &amp; Assumptions'!$A$14:$B$27,2,FALSE())+Q14,Q14)</f>
        <v>0.0955</v>
      </c>
      <c r="S14" s="483" t="s">
        <v>406</v>
      </c>
      <c r="T14" s="490" t="n">
        <v>12</v>
      </c>
      <c r="U14" s="483" t="s">
        <v>407</v>
      </c>
      <c r="V14" s="490" t="n">
        <v>160</v>
      </c>
      <c r="W14" s="490" t="n">
        <v>48</v>
      </c>
      <c r="X14" s="491" t="n">
        <v>46020</v>
      </c>
      <c r="Y14" s="491" t="n">
        <v>46568</v>
      </c>
      <c r="Z14" s="491" t="n">
        <v>50860</v>
      </c>
      <c r="AA14" s="491" t="n">
        <v>46020</v>
      </c>
      <c r="AB14" s="491" t="n">
        <v>50860</v>
      </c>
      <c r="AC14" s="492" t="s">
        <v>464</v>
      </c>
      <c r="AD14" s="493" t="s">
        <v>465</v>
      </c>
      <c r="AE14" s="493" t="s">
        <v>466</v>
      </c>
      <c r="AF14" s="493" t="s">
        <v>467</v>
      </c>
      <c r="AG14" s="494" t="b">
        <f aca="false">FALSE()</f>
        <v>0</v>
      </c>
      <c r="AH14" s="494" t="b">
        <f aca="false">FALSE()</f>
        <v>0</v>
      </c>
    </row>
    <row r="15" customFormat="false" ht="21.75" hidden="false" customHeight="true" outlineLevel="0" collapsed="false">
      <c r="A15" s="495" t="n">
        <v>11</v>
      </c>
      <c r="B15" s="362" t="s">
        <v>90</v>
      </c>
      <c r="C15" s="513" t="s">
        <v>468</v>
      </c>
      <c r="D15" s="496" t="s">
        <v>418</v>
      </c>
      <c r="E15" s="496" t="s">
        <v>419</v>
      </c>
      <c r="F15" s="514" t="b">
        <f aca="false">TRUE()</f>
        <v>1</v>
      </c>
      <c r="G15" s="496" t="b">
        <f aca="false">FALSE()</f>
        <v>0</v>
      </c>
      <c r="H15" s="515" t="n">
        <v>0</v>
      </c>
      <c r="I15" s="496" t="s">
        <v>404</v>
      </c>
      <c r="J15" s="499" t="n">
        <v>100</v>
      </c>
      <c r="K15" s="499" t="n">
        <f aca="false">IFERROR(J15,0)</f>
        <v>100</v>
      </c>
      <c r="L15" s="499"/>
      <c r="M15" s="500" t="n">
        <f aca="false">IFERROR(IF(D15="FB-Term",IF(A15=UBI_RTL1_SNo,UBI_RTL1_PrincOS,IF(A15=UBI_RTL2_SNo,UBI_RTL2_PrincOS,IF(A15=IB_TL_SNo,IB_TL_PrincOS,IF(A15=RBL_TL_SNo,RBL_TL_PrincOS,IF(A15=YBL_TL_SNo,YBL_TL_PrincOS,IF(A15=IDFC_TL_SNo,IDFC_TL_PrincOS,IF(A15=ICICI_TL_SNo,ICICI_TL_PrincOS,0))))))),IF(L15&lt;&gt;"",L15,IF(UseFullUtil,K15,0))),0)</f>
        <v>100</v>
      </c>
      <c r="N15" s="501" t="n">
        <f aca="false">IFERROR(M15/K15,0)</f>
        <v>1</v>
      </c>
      <c r="O15" s="499" t="n">
        <f aca="false">IFERROR(K15-M15,0)</f>
        <v>0</v>
      </c>
      <c r="P15" s="362" t="s">
        <v>420</v>
      </c>
      <c r="Q15" s="502" t="n">
        <v>0.005</v>
      </c>
      <c r="R15" s="502" t="n">
        <f aca="false">IFERROR(VLOOKUP(P15,'Instructions &amp; Assumptions'!$A$14:$B$27,2,FALSE())+Q15,Q15)</f>
        <v>0.005</v>
      </c>
      <c r="S15" s="496" t="s">
        <v>421</v>
      </c>
      <c r="T15" s="504" t="n">
        <v>0</v>
      </c>
      <c r="U15" s="496" t="s">
        <v>422</v>
      </c>
      <c r="V15" s="504" t="n">
        <v>36</v>
      </c>
      <c r="W15" s="504" t="n">
        <v>0</v>
      </c>
      <c r="X15" s="505" t="n">
        <v>46020</v>
      </c>
      <c r="Y15" s="505" t="n">
        <f aca="false">IFERROR(EDATE(X15,T15),"")</f>
        <v>46020</v>
      </c>
      <c r="Z15" s="505" t="n">
        <f aca="false">IFERROR(EDATE(X15,V15),"")</f>
        <v>47116</v>
      </c>
      <c r="AA15" s="505" t="n">
        <v>46020</v>
      </c>
      <c r="AB15" s="505" t="n">
        <f aca="false">EDATE(X15,V15)</f>
        <v>47116</v>
      </c>
      <c r="AC15" s="506" t="s">
        <v>469</v>
      </c>
      <c r="AD15" s="507" t="s">
        <v>470</v>
      </c>
      <c r="AE15" s="507" t="s">
        <v>466</v>
      </c>
      <c r="AF15" s="507" t="s">
        <v>471</v>
      </c>
      <c r="AG15" s="508" t="b">
        <f aca="false">TRUE()</f>
        <v>1</v>
      </c>
      <c r="AH15" s="508" t="b">
        <f aca="false">FALSE()</f>
        <v>0</v>
      </c>
    </row>
    <row r="16" customFormat="false" ht="21.75" hidden="false" customHeight="true" outlineLevel="0" collapsed="false">
      <c r="A16" s="518" t="n">
        <v>12</v>
      </c>
      <c r="B16" s="519" t="s">
        <v>91</v>
      </c>
      <c r="C16" s="519" t="s">
        <v>472</v>
      </c>
      <c r="D16" s="520" t="s">
        <v>402</v>
      </c>
      <c r="E16" s="520" t="s">
        <v>403</v>
      </c>
      <c r="F16" s="521" t="b">
        <f aca="false">FALSE()</f>
        <v>0</v>
      </c>
      <c r="G16" s="520" t="b">
        <f aca="false">FALSE()</f>
        <v>0</v>
      </c>
      <c r="H16" s="518" t="n">
        <v>1</v>
      </c>
      <c r="I16" s="520" t="s">
        <v>404</v>
      </c>
      <c r="J16" s="522" t="n">
        <v>530</v>
      </c>
      <c r="K16" s="522" t="n">
        <f aca="false">IFERROR(J16,0)</f>
        <v>530</v>
      </c>
      <c r="L16" s="522"/>
      <c r="M16" s="523" t="n">
        <f aca="false">IFERROR(IF(D16="FB-Term",IF(A16=UBI_RTL1_SNo,UBI_RTL1_PrincOS,IF(A16=UBI_RTL2_SNo,UBI_RTL2_PrincOS,IF(A16=IB_TL_SNo,IB_TL_PrincOS,IF(A16=RBL_TL_SNo,RBL_TL_PrincOS,IF(A16=YBL_TL_SNo,YBL_TL_PrincOS,IF(A16=IDFC_TL_SNo,IDFC_TL_PrincOS,IF(A16=ICICI_TL_SNo,ICICI_TL_PrincOS,0))))))),IF(L16&lt;&gt;"",L16,IF(UseFullUtil,K16,0))),0)</f>
        <v>530</v>
      </c>
      <c r="N16" s="524" t="n">
        <f aca="false">IFERROR(M16/K16,0)</f>
        <v>1</v>
      </c>
      <c r="O16" s="522" t="n">
        <f aca="false">IFERROR(K16-M16,0)</f>
        <v>0</v>
      </c>
      <c r="P16" s="519" t="s">
        <v>473</v>
      </c>
      <c r="Q16" s="525" t="n">
        <v>0.0105</v>
      </c>
      <c r="R16" s="526" t="n">
        <f aca="false">IFERROR(VLOOKUP(P16,'Instructions &amp; Assumptions'!$A$14:$B$27,2,FALSE())+Q16,Q16)</f>
        <v>0.088</v>
      </c>
      <c r="S16" s="520" t="s">
        <v>406</v>
      </c>
      <c r="T16" s="527" t="n">
        <v>12</v>
      </c>
      <c r="U16" s="520" t="s">
        <v>407</v>
      </c>
      <c r="V16" s="527" t="n">
        <v>156</v>
      </c>
      <c r="W16" s="527" t="n">
        <v>48</v>
      </c>
      <c r="X16" s="528" t="n">
        <v>46031</v>
      </c>
      <c r="Y16" s="528" t="n">
        <v>46568</v>
      </c>
      <c r="Z16" s="528" t="n">
        <v>50860</v>
      </c>
      <c r="AA16" s="528" t="n">
        <v>46031</v>
      </c>
      <c r="AB16" s="528" t="n">
        <v>50860</v>
      </c>
      <c r="AC16" s="529" t="s">
        <v>464</v>
      </c>
      <c r="AD16" s="530" t="s">
        <v>474</v>
      </c>
      <c r="AE16" s="530" t="s">
        <v>475</v>
      </c>
      <c r="AF16" s="530" t="s">
        <v>476</v>
      </c>
      <c r="AG16" s="531" t="b">
        <f aca="false">FALSE()</f>
        <v>0</v>
      </c>
      <c r="AH16" s="531" t="b">
        <f aca="false">FALSE()</f>
        <v>0</v>
      </c>
    </row>
    <row r="17" customFormat="false" ht="21.75" hidden="false" customHeight="true" outlineLevel="0" collapsed="false">
      <c r="A17" s="495" t="n">
        <v>13</v>
      </c>
      <c r="B17" s="362" t="s">
        <v>91</v>
      </c>
      <c r="C17" s="513" t="s">
        <v>477</v>
      </c>
      <c r="D17" s="496" t="s">
        <v>418</v>
      </c>
      <c r="E17" s="496" t="s">
        <v>419</v>
      </c>
      <c r="F17" s="514" t="b">
        <f aca="false">TRUE()</f>
        <v>1</v>
      </c>
      <c r="G17" s="496" t="b">
        <f aca="false">FALSE()</f>
        <v>0</v>
      </c>
      <c r="H17" s="515" t="n">
        <v>0</v>
      </c>
      <c r="I17" s="496" t="s">
        <v>404</v>
      </c>
      <c r="J17" s="499" t="n">
        <v>400</v>
      </c>
      <c r="K17" s="499" t="n">
        <f aca="false">IFERROR(J17,0)</f>
        <v>400</v>
      </c>
      <c r="L17" s="499"/>
      <c r="M17" s="500" t="n">
        <f aca="false">IFERROR(IF(D17="FB-Term",IF(A17=UBI_RTL1_SNo,UBI_RTL1_PrincOS,IF(A17=UBI_RTL2_SNo,UBI_RTL2_PrincOS,IF(A17=IB_TL_SNo,IB_TL_PrincOS,IF(A17=RBL_TL_SNo,RBL_TL_PrincOS,IF(A17=YBL_TL_SNo,YBL_TL_PrincOS,IF(A17=IDFC_TL_SNo,IDFC_TL_PrincOS,IF(A17=ICICI_TL_SNo,ICICI_TL_PrincOS,0))))))),IF(L17&lt;&gt;"",L17,IF(UseFullUtil,K17,0))),0)</f>
        <v>400</v>
      </c>
      <c r="N17" s="501" t="n">
        <f aca="false">IFERROR(M17/K17,0)</f>
        <v>1</v>
      </c>
      <c r="O17" s="499" t="n">
        <f aca="false">IFERROR(K17-M17,0)</f>
        <v>0</v>
      </c>
      <c r="P17" s="362" t="s">
        <v>420</v>
      </c>
      <c r="Q17" s="502" t="n">
        <v>0.0035</v>
      </c>
      <c r="R17" s="502" t="n">
        <f aca="false">IFERROR(VLOOKUP(P17,'Instructions &amp; Assumptions'!$A$14:$B$27,2,FALSE())+Q17,Q17)</f>
        <v>0.0035</v>
      </c>
      <c r="S17" s="496" t="s">
        <v>421</v>
      </c>
      <c r="T17" s="504" t="n">
        <v>0</v>
      </c>
      <c r="U17" s="496" t="s">
        <v>422</v>
      </c>
      <c r="V17" s="504" t="n">
        <v>36</v>
      </c>
      <c r="W17" s="504" t="n">
        <v>0</v>
      </c>
      <c r="X17" s="505" t="n">
        <v>46031</v>
      </c>
      <c r="Y17" s="505" t="n">
        <f aca="false">IFERROR(EDATE(X17,T17),"")</f>
        <v>46031</v>
      </c>
      <c r="Z17" s="505" t="n">
        <f aca="false">IFERROR(EDATE(X17,V17),"")</f>
        <v>47127</v>
      </c>
      <c r="AA17" s="505" t="n">
        <v>46031</v>
      </c>
      <c r="AB17" s="505" t="n">
        <v>46295</v>
      </c>
      <c r="AC17" s="506" t="s">
        <v>478</v>
      </c>
      <c r="AD17" s="507" t="s">
        <v>479</v>
      </c>
      <c r="AE17" s="507" t="s">
        <v>475</v>
      </c>
      <c r="AF17" s="507" t="s">
        <v>480</v>
      </c>
      <c r="AG17" s="508" t="b">
        <f aca="false">TRUE()</f>
        <v>1</v>
      </c>
      <c r="AH17" s="508" t="b">
        <f aca="false">FALSE()</f>
        <v>0</v>
      </c>
    </row>
    <row r="18" customFormat="false" ht="21.75" hidden="false" customHeight="true" outlineLevel="0" collapsed="false">
      <c r="A18" s="532" t="n">
        <v>14</v>
      </c>
      <c r="B18" s="519" t="s">
        <v>91</v>
      </c>
      <c r="C18" s="534" t="s">
        <v>481</v>
      </c>
      <c r="D18" s="520" t="s">
        <v>418</v>
      </c>
      <c r="E18" s="520" t="s">
        <v>419</v>
      </c>
      <c r="F18" s="535" t="b">
        <f aca="false">TRUE()</f>
        <v>1</v>
      </c>
      <c r="G18" s="520" t="b">
        <f aca="false">FALSE()</f>
        <v>0</v>
      </c>
      <c r="H18" s="536" t="n">
        <v>0</v>
      </c>
      <c r="I18" s="520" t="s">
        <v>404</v>
      </c>
      <c r="J18" s="522" t="n">
        <v>200</v>
      </c>
      <c r="K18" s="522" t="n">
        <f aca="false">IFERROR(J18,0)</f>
        <v>200</v>
      </c>
      <c r="L18" s="522"/>
      <c r="M18" s="523" t="n">
        <f aca="false">IFERROR(IF(D18="FB-Term",IF(A18=UBI_RTL1_SNo,UBI_RTL1_PrincOS,IF(A18=UBI_RTL2_SNo,UBI_RTL2_PrincOS,IF(A18=IB_TL_SNo,IB_TL_PrincOS,IF(A18=RBL_TL_SNo,RBL_TL_PrincOS,IF(A18=YBL_TL_SNo,YBL_TL_PrincOS,IF(A18=IDFC_TL_SNo,IDFC_TL_PrincOS,IF(A18=ICICI_TL_SNo,ICICI_TL_PrincOS,0))))))),IF(L18&lt;&gt;"",L18,IF(UseFullUtil,K18,0))),0)</f>
        <v>200</v>
      </c>
      <c r="N18" s="524" t="n">
        <f aca="false">IFERROR(M18/K18,0)</f>
        <v>1</v>
      </c>
      <c r="O18" s="522" t="n">
        <f aca="false">IFERROR(K18-M18,0)</f>
        <v>0</v>
      </c>
      <c r="P18" s="519" t="s">
        <v>420</v>
      </c>
      <c r="Q18" s="525" t="n">
        <v>0.0035</v>
      </c>
      <c r="R18" s="525" t="n">
        <f aca="false">IFERROR(VLOOKUP(P18,'Instructions &amp; Assumptions'!$A$14:$B$27,2,FALSE())+Q18,Q18)</f>
        <v>0.0035</v>
      </c>
      <c r="S18" s="520" t="s">
        <v>421</v>
      </c>
      <c r="T18" s="527" t="n">
        <v>0</v>
      </c>
      <c r="U18" s="520" t="s">
        <v>422</v>
      </c>
      <c r="V18" s="527" t="n">
        <v>48</v>
      </c>
      <c r="W18" s="527" t="n">
        <v>0</v>
      </c>
      <c r="X18" s="528" t="n">
        <v>46031</v>
      </c>
      <c r="Y18" s="528" t="n">
        <f aca="false">IFERROR(EDATE(X18,T18),"")</f>
        <v>46031</v>
      </c>
      <c r="Z18" s="528" t="n">
        <f aca="false">IFERROR(EDATE(X18,V18),"")</f>
        <v>47492</v>
      </c>
      <c r="AA18" s="528" t="n">
        <v>46031</v>
      </c>
      <c r="AB18" s="528" t="n">
        <v>46295</v>
      </c>
      <c r="AC18" s="529" t="s">
        <v>482</v>
      </c>
      <c r="AD18" s="530" t="s">
        <v>479</v>
      </c>
      <c r="AE18" s="530" t="s">
        <v>475</v>
      </c>
      <c r="AF18" s="530" t="s">
        <v>483</v>
      </c>
      <c r="AG18" s="531" t="b">
        <f aca="false">FALSE()</f>
        <v>0</v>
      </c>
      <c r="AH18" s="531" t="b">
        <f aca="false">FALSE()</f>
        <v>0</v>
      </c>
    </row>
    <row r="19" customFormat="false" ht="21.75" hidden="false" customHeight="true" outlineLevel="0" collapsed="false">
      <c r="A19" s="495" t="n">
        <v>15</v>
      </c>
      <c r="B19" s="362" t="s">
        <v>282</v>
      </c>
      <c r="C19" s="362" t="s">
        <v>484</v>
      </c>
      <c r="D19" s="496" t="s">
        <v>485</v>
      </c>
      <c r="E19" s="496" t="s">
        <v>419</v>
      </c>
      <c r="F19" s="497" t="b">
        <f aca="false">FALSE()</f>
        <v>0</v>
      </c>
      <c r="G19" s="496" t="b">
        <f aca="false">FALSE()</f>
        <v>0</v>
      </c>
      <c r="H19" s="498" t="n">
        <v>1</v>
      </c>
      <c r="I19" s="496" t="s">
        <v>404</v>
      </c>
      <c r="J19" s="499" t="n">
        <v>100</v>
      </c>
      <c r="K19" s="499" t="n">
        <f aca="false">IFERROR(J19,0)</f>
        <v>100</v>
      </c>
      <c r="L19" s="499"/>
      <c r="M19" s="500" t="n">
        <f aca="false">IFERROR(IF(D19="FB-Term",IF(A19=UBI_RTL1_SNo,UBI_RTL1_PrincOS,IF(A19=UBI_RTL2_SNo,UBI_RTL2_PrincOS,IF(A19=IB_TL_SNo,IB_TL_PrincOS,IF(A19=RBL_TL_SNo,RBL_TL_PrincOS,IF(A19=YBL_TL_SNo,YBL_TL_PrincOS,IF(A19=IDFC_TL_SNo,IDFC_TL_PrincOS,IF(A19=ICICI_TL_SNo,ICICI_TL_PrincOS,0))))))),IF(L19&lt;&gt;"",L19,IF(UseFullUtil,K19,0))),0)</f>
        <v>100</v>
      </c>
      <c r="N19" s="501" t="n">
        <f aca="false">IFERROR(M19/K19,0)</f>
        <v>1</v>
      </c>
      <c r="O19" s="499" t="n">
        <f aca="false">IFERROR(K19-M19,0)</f>
        <v>0</v>
      </c>
      <c r="P19" s="362" t="s">
        <v>486</v>
      </c>
      <c r="Q19" s="502" t="n">
        <v>0.002</v>
      </c>
      <c r="R19" s="503" t="n">
        <f aca="false">IFERROR(VLOOKUP(P19,'Instructions &amp; Assumptions'!$A$14:$B$27,2,FALSE())+Q19,Q19)</f>
        <v>0.085</v>
      </c>
      <c r="S19" s="496" t="s">
        <v>406</v>
      </c>
      <c r="T19" s="504" t="n">
        <v>0</v>
      </c>
      <c r="U19" s="496" t="s">
        <v>458</v>
      </c>
      <c r="V19" s="504" t="n">
        <v>12</v>
      </c>
      <c r="W19" s="504" t="n">
        <v>0</v>
      </c>
      <c r="X19" s="505" t="n">
        <v>46065</v>
      </c>
      <c r="Y19" s="505" t="n">
        <f aca="false">IFERROR(EDATE(X19,T19),"")</f>
        <v>46065</v>
      </c>
      <c r="Z19" s="505" t="n">
        <v>46421</v>
      </c>
      <c r="AA19" s="505" t="n">
        <v>46065</v>
      </c>
      <c r="AB19" s="505" t="n">
        <v>46421</v>
      </c>
      <c r="AC19" s="506" t="s">
        <v>487</v>
      </c>
      <c r="AD19" s="507" t="s">
        <v>488</v>
      </c>
      <c r="AE19" s="507" t="s">
        <v>489</v>
      </c>
      <c r="AF19" s="507" t="s">
        <v>490</v>
      </c>
      <c r="AG19" s="508" t="b">
        <f aca="false">FALSE()</f>
        <v>0</v>
      </c>
      <c r="AH19" s="508" t="b">
        <f aca="false">FALSE()</f>
        <v>0</v>
      </c>
    </row>
    <row r="20" customFormat="false" ht="21.75" hidden="false" customHeight="true" outlineLevel="0" collapsed="false">
      <c r="A20" s="481" t="n">
        <v>16</v>
      </c>
      <c r="B20" s="482" t="s">
        <v>282</v>
      </c>
      <c r="C20" s="510" t="s">
        <v>491</v>
      </c>
      <c r="D20" s="483" t="s">
        <v>485</v>
      </c>
      <c r="E20" s="483" t="s">
        <v>419</v>
      </c>
      <c r="F20" s="511" t="b">
        <f aca="false">TRUE()</f>
        <v>1</v>
      </c>
      <c r="G20" s="483" t="b">
        <f aca="false">FALSE()</f>
        <v>0</v>
      </c>
      <c r="H20" s="512" t="n">
        <v>0</v>
      </c>
      <c r="I20" s="483" t="s">
        <v>404</v>
      </c>
      <c r="J20" s="485" t="n">
        <v>100</v>
      </c>
      <c r="K20" s="485" t="n">
        <f aca="false">IFERROR(J20,0)</f>
        <v>100</v>
      </c>
      <c r="L20" s="485"/>
      <c r="M20" s="486" t="n">
        <f aca="false">IFERROR(IF(D20="FB-Term",IF(A20=UBI_RTL1_SNo,UBI_RTL1_PrincOS,IF(A20=UBI_RTL2_SNo,UBI_RTL2_PrincOS,IF(A20=IB_TL_SNo,IB_TL_PrincOS,IF(A20=RBL_TL_SNo,RBL_TL_PrincOS,IF(A20=YBL_TL_SNo,YBL_TL_PrincOS,IF(A20=IDFC_TL_SNo,IDFC_TL_PrincOS,IF(A20=ICICI_TL_SNo,ICICI_TL_PrincOS,0))))))),IF(L20&lt;&gt;"",L20,IF(UseFullUtil,K20,0))),0)</f>
        <v>100</v>
      </c>
      <c r="N20" s="487" t="n">
        <f aca="false">IFERROR(M20/K20,0)</f>
        <v>1</v>
      </c>
      <c r="O20" s="485" t="n">
        <f aca="false">IFERROR(K20-M20,0)</f>
        <v>0</v>
      </c>
      <c r="P20" s="482" t="s">
        <v>492</v>
      </c>
      <c r="Q20" s="488" t="n">
        <v>0</v>
      </c>
      <c r="R20" s="488" t="n">
        <f aca="false">IFERROR(VLOOKUP(P20,'Instructions &amp; Assumptions'!$A$14:$B$27,2,FALSE())+Q20,Q20)</f>
        <v>0.0525</v>
      </c>
      <c r="S20" s="483" t="s">
        <v>446</v>
      </c>
      <c r="T20" s="490" t="n">
        <v>0</v>
      </c>
      <c r="U20" s="483" t="s">
        <v>422</v>
      </c>
      <c r="V20" s="490" t="n">
        <v>3</v>
      </c>
      <c r="W20" s="490" t="n">
        <v>0</v>
      </c>
      <c r="X20" s="491" t="n">
        <v>46065</v>
      </c>
      <c r="Y20" s="491" t="n">
        <f aca="false">IFERROR(EDATE(X20,T20),"")</f>
        <v>46065</v>
      </c>
      <c r="Z20" s="491" t="n">
        <v>46421</v>
      </c>
      <c r="AA20" s="491" t="n">
        <v>46065</v>
      </c>
      <c r="AB20" s="491" t="n">
        <v>46421</v>
      </c>
      <c r="AC20" s="492" t="s">
        <v>493</v>
      </c>
      <c r="AD20" s="493" t="s">
        <v>494</v>
      </c>
      <c r="AE20" s="493" t="s">
        <v>489</v>
      </c>
      <c r="AF20" s="493" t="s">
        <v>495</v>
      </c>
      <c r="AG20" s="494" t="b">
        <f aca="false">FALSE()</f>
        <v>0</v>
      </c>
      <c r="AH20" s="494" t="b">
        <f aca="false">FALSE()</f>
        <v>0</v>
      </c>
    </row>
    <row r="21" customFormat="false" ht="21.75" hidden="false" customHeight="true" outlineLevel="0" collapsed="false">
      <c r="A21" s="495" t="n">
        <v>17</v>
      </c>
      <c r="B21" s="362" t="s">
        <v>282</v>
      </c>
      <c r="C21" s="362" t="s">
        <v>496</v>
      </c>
      <c r="D21" s="496" t="s">
        <v>418</v>
      </c>
      <c r="E21" s="496" t="s">
        <v>419</v>
      </c>
      <c r="F21" s="497" t="b">
        <f aca="false">FALSE()</f>
        <v>0</v>
      </c>
      <c r="G21" s="496" t="b">
        <f aca="false">FALSE()</f>
        <v>0</v>
      </c>
      <c r="H21" s="537" t="n">
        <v>2</v>
      </c>
      <c r="I21" s="496" t="s">
        <v>404</v>
      </c>
      <c r="J21" s="499" t="n">
        <v>300</v>
      </c>
      <c r="K21" s="499" t="n">
        <f aca="false">IFERROR(J21,0)</f>
        <v>300</v>
      </c>
      <c r="L21" s="499"/>
      <c r="M21" s="500" t="n">
        <f aca="false">IFERROR(IF(D21="FB-Term",IF(A21=UBI_RTL1_SNo,UBI_RTL1_PrincOS,IF(A21=UBI_RTL2_SNo,UBI_RTL2_PrincOS,IF(A21=IB_TL_SNo,IB_TL_PrincOS,IF(A21=RBL_TL_SNo,RBL_TL_PrincOS,IF(A21=YBL_TL_SNo,YBL_TL_PrincOS,IF(A21=IDFC_TL_SNo,IDFC_TL_PrincOS,IF(A21=ICICI_TL_SNo,ICICI_TL_PrincOS,0))))))),IF(L21&lt;&gt;"",L21,IF(UseFullUtil,K21,0))),0)</f>
        <v>300</v>
      </c>
      <c r="N21" s="501" t="n">
        <f aca="false">IFERROR(M21/K21,0)</f>
        <v>1</v>
      </c>
      <c r="O21" s="499" t="n">
        <f aca="false">IFERROR(K21-M21,0)</f>
        <v>0</v>
      </c>
      <c r="P21" s="362" t="s">
        <v>420</v>
      </c>
      <c r="Q21" s="502" t="n">
        <v>0.006</v>
      </c>
      <c r="R21" s="502" t="n">
        <f aca="false">IFERROR(VLOOKUP(P21,'Instructions &amp; Assumptions'!$A$14:$B$27,2,FALSE())+Q21,Q21)</f>
        <v>0.006</v>
      </c>
      <c r="S21" s="496" t="s">
        <v>421</v>
      </c>
      <c r="T21" s="504" t="n">
        <v>0</v>
      </c>
      <c r="U21" s="496" t="s">
        <v>422</v>
      </c>
      <c r="V21" s="504" t="n">
        <v>12</v>
      </c>
      <c r="W21" s="504" t="n">
        <v>0</v>
      </c>
      <c r="X21" s="505" t="n">
        <v>46065</v>
      </c>
      <c r="Y21" s="505" t="n">
        <f aca="false">IFERROR(EDATE(X21,T21),"")</f>
        <v>46065</v>
      </c>
      <c r="Z21" s="505" t="n">
        <v>46421</v>
      </c>
      <c r="AA21" s="505" t="n">
        <v>46065</v>
      </c>
      <c r="AB21" s="505" t="n">
        <v>46421</v>
      </c>
      <c r="AC21" s="506" t="s">
        <v>497</v>
      </c>
      <c r="AD21" s="507" t="s">
        <v>494</v>
      </c>
      <c r="AE21" s="507" t="s">
        <v>489</v>
      </c>
      <c r="AF21" s="507" t="s">
        <v>498</v>
      </c>
      <c r="AG21" s="508" t="b">
        <f aca="false">FALSE()</f>
        <v>0</v>
      </c>
      <c r="AH21" s="508" t="b">
        <f aca="false">FALSE()</f>
        <v>0</v>
      </c>
    </row>
    <row r="22" customFormat="false" ht="21.75" hidden="false" customHeight="true" outlineLevel="0" collapsed="false">
      <c r="A22" s="509" t="n">
        <v>18</v>
      </c>
      <c r="B22" s="482" t="s">
        <v>282</v>
      </c>
      <c r="C22" s="510" t="s">
        <v>499</v>
      </c>
      <c r="D22" s="483" t="s">
        <v>418</v>
      </c>
      <c r="E22" s="483" t="s">
        <v>419</v>
      </c>
      <c r="F22" s="511" t="b">
        <f aca="false">TRUE()</f>
        <v>1</v>
      </c>
      <c r="G22" s="483" t="b">
        <f aca="false">FALSE()</f>
        <v>0</v>
      </c>
      <c r="H22" s="512" t="n">
        <v>0</v>
      </c>
      <c r="I22" s="483" t="s">
        <v>404</v>
      </c>
      <c r="J22" s="485" t="n">
        <v>300</v>
      </c>
      <c r="K22" s="485" t="n">
        <f aca="false">IFERROR(J22,0)</f>
        <v>300</v>
      </c>
      <c r="L22" s="485"/>
      <c r="M22" s="486" t="n">
        <f aca="false">IFERROR(IF(D22="FB-Term",IF(A22=UBI_RTL1_SNo,UBI_RTL1_PrincOS,IF(A22=UBI_RTL2_SNo,UBI_RTL2_PrincOS,IF(A22=IB_TL_SNo,IB_TL_PrincOS,IF(A22=RBL_TL_SNo,RBL_TL_PrincOS,IF(A22=YBL_TL_SNo,YBL_TL_PrincOS,IF(A22=IDFC_TL_SNo,IDFC_TL_PrincOS,IF(A22=ICICI_TL_SNo,ICICI_TL_PrincOS,0))))))),IF(L22&lt;&gt;"",L22,IF(UseFullUtil,K22,0))),0)</f>
        <v>300</v>
      </c>
      <c r="N22" s="487" t="n">
        <f aca="false">IFERROR(M22/K22,0)</f>
        <v>1</v>
      </c>
      <c r="O22" s="485" t="n">
        <f aca="false">IFERROR(K22-M22,0)</f>
        <v>0</v>
      </c>
      <c r="P22" s="482" t="s">
        <v>420</v>
      </c>
      <c r="Q22" s="488" t="n">
        <v>0.006</v>
      </c>
      <c r="R22" s="488" t="n">
        <f aca="false">IFERROR(VLOOKUP(P22,'Instructions &amp; Assumptions'!$A$14:$B$27,2,FALSE())+Q22,Q22)</f>
        <v>0.006</v>
      </c>
      <c r="S22" s="483" t="s">
        <v>421</v>
      </c>
      <c r="T22" s="490" t="n">
        <v>0</v>
      </c>
      <c r="U22" s="483" t="s">
        <v>422</v>
      </c>
      <c r="V22" s="490" t="n">
        <v>36</v>
      </c>
      <c r="W22" s="490" t="n">
        <v>0</v>
      </c>
      <c r="X22" s="491" t="n">
        <v>46065</v>
      </c>
      <c r="Y22" s="491" t="n">
        <f aca="false">IFERROR(EDATE(X22,T22),"")</f>
        <v>46065</v>
      </c>
      <c r="Z22" s="491" t="n">
        <v>46421</v>
      </c>
      <c r="AA22" s="491" t="n">
        <v>46065</v>
      </c>
      <c r="AB22" s="491" t="n">
        <v>46421</v>
      </c>
      <c r="AC22" s="492" t="s">
        <v>500</v>
      </c>
      <c r="AD22" s="493" t="s">
        <v>494</v>
      </c>
      <c r="AE22" s="493" t="s">
        <v>489</v>
      </c>
      <c r="AF22" s="493" t="s">
        <v>501</v>
      </c>
      <c r="AG22" s="494" t="b">
        <f aca="false">FALSE()</f>
        <v>0</v>
      </c>
      <c r="AH22" s="494" t="b">
        <f aca="false">FALSE()</f>
        <v>0</v>
      </c>
    </row>
    <row r="23" customFormat="false" ht="21.75" hidden="false" customHeight="true" outlineLevel="0" collapsed="false">
      <c r="A23" s="495" t="n">
        <v>19</v>
      </c>
      <c r="B23" s="362" t="s">
        <v>210</v>
      </c>
      <c r="C23" s="362" t="s">
        <v>502</v>
      </c>
      <c r="D23" s="496" t="s">
        <v>418</v>
      </c>
      <c r="E23" s="496" t="s">
        <v>419</v>
      </c>
      <c r="F23" s="497" t="b">
        <f aca="false">FALSE()</f>
        <v>0</v>
      </c>
      <c r="G23" s="496" t="b">
        <f aca="false">FALSE()</f>
        <v>0</v>
      </c>
      <c r="H23" s="538" t="n">
        <v>1</v>
      </c>
      <c r="I23" s="496" t="s">
        <v>404</v>
      </c>
      <c r="J23" s="499" t="n">
        <v>200</v>
      </c>
      <c r="K23" s="499" t="n">
        <f aca="false">IFERROR(J23,0)</f>
        <v>200</v>
      </c>
      <c r="L23" s="499"/>
      <c r="M23" s="500" t="n">
        <f aca="false">IFERROR(IF(D23="FB-Term",IF(A23=UBI_RTL1_SNo,UBI_RTL1_PrincOS,IF(A23=UBI_RTL2_SNo,UBI_RTL2_PrincOS,IF(A23=IB_TL_SNo,IB_TL_PrincOS,IF(A23=RBL_TL_SNo,RBL_TL_PrincOS,IF(A23=YBL_TL_SNo,YBL_TL_PrincOS,IF(A23=IDFC_TL_SNo,IDFC_TL_PrincOS,IF(A23=ICICI_TL_SNo,ICICI_TL_PrincOS,0))))))),IF(L23&lt;&gt;"",L23,IF(UseFullUtil,K23,0))),0)</f>
        <v>200</v>
      </c>
      <c r="N23" s="501" t="n">
        <f aca="false">IFERROR(M23/K23,0)</f>
        <v>1</v>
      </c>
      <c r="O23" s="499" t="n">
        <f aca="false">IFERROR(K23-M23,0)</f>
        <v>0</v>
      </c>
      <c r="P23" s="362" t="s">
        <v>503</v>
      </c>
      <c r="Q23" s="502" t="n">
        <v>0</v>
      </c>
      <c r="R23" s="503" t="n">
        <f aca="false">IFERROR(VLOOKUP(P23,'Instructions &amp; Assumptions'!$A$14:$B$27,2,FALSE())+Q23,Q23)</f>
        <v>0.09</v>
      </c>
      <c r="S23" s="496" t="s">
        <v>446</v>
      </c>
      <c r="T23" s="504" t="n">
        <v>0</v>
      </c>
      <c r="U23" s="496" t="s">
        <v>504</v>
      </c>
      <c r="V23" s="504" t="n">
        <v>12</v>
      </c>
      <c r="W23" s="504" t="n">
        <v>0</v>
      </c>
      <c r="X23" s="505" t="n">
        <v>46080</v>
      </c>
      <c r="Y23" s="505" t="n">
        <f aca="false">IFERROR(EDATE(X23,T23),"")</f>
        <v>46080</v>
      </c>
      <c r="Z23" s="505" t="n">
        <f aca="false">IFERROR(EDATE(X23,V23),"")</f>
        <v>46445</v>
      </c>
      <c r="AA23" s="505" t="n">
        <v>46080</v>
      </c>
      <c r="AB23" s="505" t="n">
        <v>46265</v>
      </c>
      <c r="AC23" s="506" t="s">
        <v>505</v>
      </c>
      <c r="AD23" s="507" t="s">
        <v>506</v>
      </c>
      <c r="AE23" s="507" t="s">
        <v>507</v>
      </c>
      <c r="AF23" s="507" t="s">
        <v>508</v>
      </c>
      <c r="AG23" s="508" t="b">
        <f aca="false">FALSE()</f>
        <v>0</v>
      </c>
      <c r="AH23" s="508" t="b">
        <f aca="false">FALSE()</f>
        <v>0</v>
      </c>
    </row>
    <row r="24" customFormat="false" ht="21.75" hidden="false" customHeight="true" outlineLevel="0" collapsed="false">
      <c r="A24" s="539" t="n">
        <v>20</v>
      </c>
      <c r="B24" s="540" t="s">
        <v>210</v>
      </c>
      <c r="C24" s="541" t="s">
        <v>509</v>
      </c>
      <c r="D24" s="542" t="s">
        <v>485</v>
      </c>
      <c r="E24" s="543" t="s">
        <v>419</v>
      </c>
      <c r="F24" s="544" t="b">
        <f aca="false">TRUE()</f>
        <v>1</v>
      </c>
      <c r="G24" s="543" t="b">
        <f aca="false">FALSE()</f>
        <v>0</v>
      </c>
      <c r="H24" s="545" t="n">
        <v>0</v>
      </c>
      <c r="I24" s="543" t="s">
        <v>404</v>
      </c>
      <c r="J24" s="546" t="n">
        <v>26.08</v>
      </c>
      <c r="K24" s="546" t="n">
        <f aca="false">IFERROR(J24,0)</f>
        <v>26.08</v>
      </c>
      <c r="L24" s="546"/>
      <c r="M24" s="547" t="n">
        <f aca="false">IFERROR(IF(D24="FB-Term",IF(A24=UBI_RTL1_SNo,UBI_RTL1_PrincOS,IF(A24=UBI_RTL2_SNo,UBI_RTL2_PrincOS,IF(A24=IB_TL_SNo,IB_TL_PrincOS,IF(A24=RBL_TL_SNo,RBL_TL_PrincOS,IF(A24=YBL_TL_SNo,YBL_TL_PrincOS,IF(A24=IDFC_TL_SNo,IDFC_TL_PrincOS,IF(A24=ICICI_TL_SNo,ICICI_TL_PrincOS,0))))))),IF(L24&lt;&gt;"",L24,IF(UseFullUtil,K24,0))),0)</f>
        <v>26.08</v>
      </c>
      <c r="N24" s="548" t="n">
        <f aca="false">IFERROR(M24/K24,0)</f>
        <v>1</v>
      </c>
      <c r="O24" s="546" t="n">
        <f aca="false">IFERROR(K24-M24,0)</f>
        <v>0</v>
      </c>
      <c r="P24" s="540" t="s">
        <v>503</v>
      </c>
      <c r="Q24" s="549" t="n">
        <v>0</v>
      </c>
      <c r="R24" s="550" t="n">
        <f aca="false">IFERROR(VLOOKUP(P24,'Instructions &amp; Assumptions'!$A$14:$B$27,2,FALSE())+Q24,Q24)</f>
        <v>0.09</v>
      </c>
      <c r="S24" s="543" t="s">
        <v>446</v>
      </c>
      <c r="T24" s="551" t="n">
        <v>0</v>
      </c>
      <c r="U24" s="543" t="s">
        <v>422</v>
      </c>
      <c r="V24" s="551" t="n">
        <v>6</v>
      </c>
      <c r="W24" s="551" t="n">
        <v>0</v>
      </c>
      <c r="X24" s="552" t="n">
        <v>46080</v>
      </c>
      <c r="Y24" s="552" t="n">
        <f aca="false">IFERROR(EDATE(X24,T24),"")</f>
        <v>46080</v>
      </c>
      <c r="Z24" s="552" t="n">
        <f aca="false">IFERROR(EDATE(X24,V24),"")</f>
        <v>46261</v>
      </c>
      <c r="AA24" s="552" t="n">
        <v>46080</v>
      </c>
      <c r="AB24" s="552" t="n">
        <v>46265</v>
      </c>
      <c r="AC24" s="553" t="s">
        <v>493</v>
      </c>
      <c r="AD24" s="554" t="s">
        <v>510</v>
      </c>
      <c r="AE24" s="554" t="s">
        <v>507</v>
      </c>
      <c r="AF24" s="554" t="s">
        <v>511</v>
      </c>
      <c r="AG24" s="555" t="b">
        <f aca="false">FALSE()</f>
        <v>0</v>
      </c>
      <c r="AH24" s="555" t="b">
        <f aca="false">FALSE()</f>
        <v>0</v>
      </c>
    </row>
    <row r="25" customFormat="false" ht="21.75" hidden="false" customHeight="true" outlineLevel="0" collapsed="false">
      <c r="A25" s="495" t="n">
        <v>21</v>
      </c>
      <c r="B25" s="362" t="s">
        <v>210</v>
      </c>
      <c r="C25" s="513" t="s">
        <v>512</v>
      </c>
      <c r="D25" s="556" t="s">
        <v>485</v>
      </c>
      <c r="E25" s="496" t="s">
        <v>419</v>
      </c>
      <c r="F25" s="514" t="b">
        <f aca="false">TRUE()</f>
        <v>1</v>
      </c>
      <c r="G25" s="496" t="b">
        <f aca="false">FALSE()</f>
        <v>0</v>
      </c>
      <c r="H25" s="515" t="n">
        <v>0</v>
      </c>
      <c r="I25" s="496" t="s">
        <v>404</v>
      </c>
      <c r="J25" s="499" t="n">
        <v>10.432</v>
      </c>
      <c r="K25" s="499" t="n">
        <f aca="false">IFERROR(J25,0)</f>
        <v>10.432</v>
      </c>
      <c r="L25" s="499"/>
      <c r="M25" s="500" t="n">
        <f aca="false">IFERROR(IF(D25="FB-Term",IF(A25=UBI_RTL1_SNo,UBI_RTL1_PrincOS,IF(A25=UBI_RTL2_SNo,UBI_RTL2_PrincOS,IF(A25=IB_TL_SNo,IB_TL_PrincOS,IF(A25=RBL_TL_SNo,RBL_TL_PrincOS,IF(A25=YBL_TL_SNo,YBL_TL_PrincOS,IF(A25=IDFC_TL_SNo,IDFC_TL_PrincOS,IF(A25=ICICI_TL_SNo,ICICI_TL_PrincOS,0))))))),IF(L25&lt;&gt;"",L25,IF(UseFullUtil,K25,0))),0)</f>
        <v>10.432</v>
      </c>
      <c r="N25" s="501" t="n">
        <f aca="false">IFERROR(M25/K25,0)</f>
        <v>1</v>
      </c>
      <c r="O25" s="499" t="n">
        <f aca="false">IFERROR(K25-M25,0)</f>
        <v>0</v>
      </c>
      <c r="P25" s="362" t="s">
        <v>503</v>
      </c>
      <c r="Q25" s="502" t="n">
        <v>0</v>
      </c>
      <c r="R25" s="503" t="n">
        <f aca="false">IFERROR(VLOOKUP(P25,'Instructions &amp; Assumptions'!$A$14:$B$27,2,FALSE())+Q25,Q25)</f>
        <v>0.09</v>
      </c>
      <c r="S25" s="496" t="s">
        <v>446</v>
      </c>
      <c r="T25" s="504" t="n">
        <v>0</v>
      </c>
      <c r="U25" s="496" t="s">
        <v>458</v>
      </c>
      <c r="V25" s="504" t="n">
        <v>12</v>
      </c>
      <c r="W25" s="504" t="n">
        <v>0</v>
      </c>
      <c r="X25" s="505" t="n">
        <v>46080</v>
      </c>
      <c r="Y25" s="505" t="n">
        <f aca="false">IFERROR(EDATE(X25,T25),"")</f>
        <v>46080</v>
      </c>
      <c r="Z25" s="505" t="n">
        <f aca="false">IFERROR(EDATE(X25,V25),"")</f>
        <v>46445</v>
      </c>
      <c r="AA25" s="505" t="n">
        <v>46080</v>
      </c>
      <c r="AB25" s="505" t="n">
        <v>46265</v>
      </c>
      <c r="AC25" s="506" t="s">
        <v>493</v>
      </c>
      <c r="AD25" s="507" t="s">
        <v>510</v>
      </c>
      <c r="AE25" s="507" t="s">
        <v>507</v>
      </c>
      <c r="AF25" s="507" t="s">
        <v>513</v>
      </c>
      <c r="AG25" s="508" t="b">
        <f aca="false">FALSE()</f>
        <v>0</v>
      </c>
      <c r="AH25" s="508" t="b">
        <f aca="false">FALSE()</f>
        <v>0</v>
      </c>
    </row>
    <row r="26" customFormat="false" ht="21.75" hidden="false" customHeight="true" outlineLevel="0" collapsed="false">
      <c r="A26" s="557" t="n">
        <v>22</v>
      </c>
      <c r="B26" s="540" t="s">
        <v>210</v>
      </c>
      <c r="C26" s="541" t="s">
        <v>514</v>
      </c>
      <c r="D26" s="542" t="s">
        <v>418</v>
      </c>
      <c r="E26" s="543" t="s">
        <v>419</v>
      </c>
      <c r="F26" s="544" t="b">
        <f aca="false">TRUE()</f>
        <v>1</v>
      </c>
      <c r="G26" s="543" t="b">
        <f aca="false">FALSE()</f>
        <v>0</v>
      </c>
      <c r="H26" s="545" t="n">
        <v>0</v>
      </c>
      <c r="I26" s="543" t="s">
        <v>404</v>
      </c>
      <c r="J26" s="546" t="n">
        <v>26.08</v>
      </c>
      <c r="K26" s="546" t="n">
        <f aca="false">IFERROR(J26,0)</f>
        <v>26.08</v>
      </c>
      <c r="L26" s="546"/>
      <c r="M26" s="547" t="n">
        <f aca="false">IFERROR(IF(D26="FB-Term",IF(A26=UBI_RTL1_SNo,UBI_RTL1_PrincOS,IF(A26=UBI_RTL2_SNo,UBI_RTL2_PrincOS,IF(A26=IB_TL_SNo,IB_TL_PrincOS,IF(A26=RBL_TL_SNo,RBL_TL_PrincOS,IF(A26=YBL_TL_SNo,YBL_TL_PrincOS,IF(A26=IDFC_TL_SNo,IDFC_TL_PrincOS,IF(A26=ICICI_TL_SNo,ICICI_TL_PrincOS,0))))))),IF(L26&lt;&gt;"",L26,IF(UseFullUtil,K26,0))),0)</f>
        <v>26.08</v>
      </c>
      <c r="N26" s="548" t="n">
        <f aca="false">IFERROR(M26/K26,0)</f>
        <v>1</v>
      </c>
      <c r="O26" s="546" t="n">
        <f aca="false">IFERROR(K26-M26,0)</f>
        <v>0</v>
      </c>
      <c r="P26" s="540" t="s">
        <v>503</v>
      </c>
      <c r="Q26" s="549" t="n">
        <v>0</v>
      </c>
      <c r="R26" s="550" t="n">
        <f aca="false">IFERROR(VLOOKUP(P26,'Instructions &amp; Assumptions'!$A$14:$B$27,2,FALSE())+Q26,Q26)</f>
        <v>0.09</v>
      </c>
      <c r="S26" s="543" t="s">
        <v>446</v>
      </c>
      <c r="T26" s="551" t="n">
        <v>0</v>
      </c>
      <c r="U26" s="543" t="s">
        <v>504</v>
      </c>
      <c r="V26" s="551" t="n">
        <v>6</v>
      </c>
      <c r="W26" s="551" t="n">
        <v>0</v>
      </c>
      <c r="X26" s="552" t="n">
        <v>46080</v>
      </c>
      <c r="Y26" s="552" t="n">
        <f aca="false">IFERROR(EDATE(X26,T26),"")</f>
        <v>46080</v>
      </c>
      <c r="Z26" s="552" t="n">
        <f aca="false">IFERROR(EDATE(X26,V26),"")</f>
        <v>46261</v>
      </c>
      <c r="AA26" s="552" t="n">
        <v>46080</v>
      </c>
      <c r="AB26" s="552" t="n">
        <v>46265</v>
      </c>
      <c r="AC26" s="553" t="s">
        <v>515</v>
      </c>
      <c r="AD26" s="554" t="s">
        <v>510</v>
      </c>
      <c r="AE26" s="554" t="s">
        <v>507</v>
      </c>
      <c r="AF26" s="554" t="s">
        <v>516</v>
      </c>
      <c r="AG26" s="555" t="b">
        <f aca="false">FALSE()</f>
        <v>0</v>
      </c>
      <c r="AH26" s="555" t="b">
        <f aca="false">FALSE()</f>
        <v>0</v>
      </c>
    </row>
    <row r="27" customFormat="false" ht="21.75" hidden="false" customHeight="true" outlineLevel="0" collapsed="false">
      <c r="A27" s="495" t="n">
        <v>23</v>
      </c>
      <c r="B27" s="362" t="s">
        <v>210</v>
      </c>
      <c r="C27" s="513" t="s">
        <v>517</v>
      </c>
      <c r="D27" s="556" t="s">
        <v>418</v>
      </c>
      <c r="E27" s="496" t="s">
        <v>419</v>
      </c>
      <c r="F27" s="514" t="b">
        <f aca="false">TRUE()</f>
        <v>1</v>
      </c>
      <c r="G27" s="496" t="b">
        <f aca="false">FALSE()</f>
        <v>0</v>
      </c>
      <c r="H27" s="515" t="n">
        <v>0</v>
      </c>
      <c r="I27" s="496" t="s">
        <v>404</v>
      </c>
      <c r="J27" s="499" t="n">
        <v>26.08</v>
      </c>
      <c r="K27" s="499" t="n">
        <f aca="false">IFERROR(J27,0)</f>
        <v>26.08</v>
      </c>
      <c r="L27" s="499"/>
      <c r="M27" s="500" t="n">
        <f aca="false">IFERROR(IF(D27="FB-Term",IF(A27=UBI_RTL1_SNo,UBI_RTL1_PrincOS,IF(A27=UBI_RTL2_SNo,UBI_RTL2_PrincOS,IF(A27=IB_TL_SNo,IB_TL_PrincOS,IF(A27=RBL_TL_SNo,RBL_TL_PrincOS,IF(A27=YBL_TL_SNo,YBL_TL_PrincOS,IF(A27=IDFC_TL_SNo,IDFC_TL_PrincOS,IF(A27=ICICI_TL_SNo,ICICI_TL_PrincOS,0))))))),IF(L27&lt;&gt;"",L27,IF(UseFullUtil,K27,0))),0)</f>
        <v>26.08</v>
      </c>
      <c r="N27" s="501" t="n">
        <f aca="false">IFERROR(M27/K27,0)</f>
        <v>1</v>
      </c>
      <c r="O27" s="499" t="n">
        <f aca="false">IFERROR(K27-M27,0)</f>
        <v>0</v>
      </c>
      <c r="P27" s="362" t="s">
        <v>503</v>
      </c>
      <c r="Q27" s="502" t="n">
        <v>0</v>
      </c>
      <c r="R27" s="503" t="n">
        <f aca="false">IFERROR(VLOOKUP(P27,'Instructions &amp; Assumptions'!$A$14:$B$27,2,FALSE())+Q27,Q27)</f>
        <v>0.09</v>
      </c>
      <c r="S27" s="496" t="s">
        <v>446</v>
      </c>
      <c r="T27" s="504" t="n">
        <v>0</v>
      </c>
      <c r="U27" s="496" t="s">
        <v>422</v>
      </c>
      <c r="V27" s="504" t="n">
        <v>6</v>
      </c>
      <c r="W27" s="504" t="n">
        <v>0</v>
      </c>
      <c r="X27" s="505" t="n">
        <v>46080</v>
      </c>
      <c r="Y27" s="505" t="n">
        <f aca="false">IFERROR(EDATE(X27,T27),"")</f>
        <v>46080</v>
      </c>
      <c r="Z27" s="505" t="n">
        <f aca="false">IFERROR(EDATE(X27,V27),"")</f>
        <v>46261</v>
      </c>
      <c r="AA27" s="505" t="n">
        <v>46080</v>
      </c>
      <c r="AB27" s="505" t="n">
        <v>46265</v>
      </c>
      <c r="AC27" s="506" t="s">
        <v>518</v>
      </c>
      <c r="AD27" s="507" t="s">
        <v>510</v>
      </c>
      <c r="AE27" s="507" t="s">
        <v>507</v>
      </c>
      <c r="AF27" s="507" t="s">
        <v>519</v>
      </c>
      <c r="AG27" s="508" t="b">
        <f aca="false">FALSE()</f>
        <v>0</v>
      </c>
      <c r="AH27" s="508" t="b">
        <f aca="false">FALSE()</f>
        <v>0</v>
      </c>
    </row>
    <row r="28" customFormat="false" ht="21.75" hidden="false" customHeight="true" outlineLevel="0" collapsed="false">
      <c r="A28" s="557" t="n">
        <v>24</v>
      </c>
      <c r="B28" s="540" t="s">
        <v>210</v>
      </c>
      <c r="C28" s="541" t="s">
        <v>520</v>
      </c>
      <c r="D28" s="542" t="s">
        <v>485</v>
      </c>
      <c r="E28" s="543" t="s">
        <v>419</v>
      </c>
      <c r="F28" s="544" t="b">
        <f aca="false">TRUE()</f>
        <v>1</v>
      </c>
      <c r="G28" s="543" t="b">
        <f aca="false">FALSE()</f>
        <v>0</v>
      </c>
      <c r="H28" s="545" t="n">
        <v>0</v>
      </c>
      <c r="I28" s="543" t="s">
        <v>404</v>
      </c>
      <c r="J28" s="546" t="n">
        <v>26.08</v>
      </c>
      <c r="K28" s="546" t="n">
        <f aca="false">IFERROR(J28,0)</f>
        <v>26.08</v>
      </c>
      <c r="L28" s="546"/>
      <c r="M28" s="547" t="n">
        <f aca="false">IFERROR(IF(D28="FB-Term",IF(A28=UBI_RTL1_SNo,UBI_RTL1_PrincOS,IF(A28=UBI_RTL2_SNo,UBI_RTL2_PrincOS,IF(A28=IB_TL_SNo,IB_TL_PrincOS,IF(A28=RBL_TL_SNo,RBL_TL_PrincOS,IF(A28=YBL_TL_SNo,YBL_TL_PrincOS,IF(A28=IDFC_TL_SNo,IDFC_TL_PrincOS,IF(A28=ICICI_TL_SNo,ICICI_TL_PrincOS,0))))))),IF(L28&lt;&gt;"",L28,IF(UseFullUtil,K28,0))),0)</f>
        <v>26.08</v>
      </c>
      <c r="N28" s="548" t="n">
        <f aca="false">IFERROR(M28/K28,0)</f>
        <v>1</v>
      </c>
      <c r="O28" s="546" t="n">
        <f aca="false">IFERROR(K28-M28,0)</f>
        <v>0</v>
      </c>
      <c r="P28" s="540" t="s">
        <v>503</v>
      </c>
      <c r="Q28" s="549" t="n">
        <v>0</v>
      </c>
      <c r="R28" s="550" t="n">
        <f aca="false">IFERROR(VLOOKUP(P28,'Instructions &amp; Assumptions'!$A$14:$B$27,2,FALSE())+Q28,Q28)</f>
        <v>0.09</v>
      </c>
      <c r="S28" s="543" t="s">
        <v>446</v>
      </c>
      <c r="T28" s="551" t="n">
        <v>0</v>
      </c>
      <c r="U28" s="543" t="s">
        <v>422</v>
      </c>
      <c r="V28" s="551" t="n">
        <v>6</v>
      </c>
      <c r="W28" s="551" t="n">
        <v>0</v>
      </c>
      <c r="X28" s="552" t="n">
        <v>46080</v>
      </c>
      <c r="Y28" s="552" t="n">
        <f aca="false">IFERROR(EDATE(X28,T28),"")</f>
        <v>46080</v>
      </c>
      <c r="Z28" s="552" t="n">
        <f aca="false">IFERROR(EDATE(X28,V28),"")</f>
        <v>46261</v>
      </c>
      <c r="AA28" s="552" t="n">
        <v>46080</v>
      </c>
      <c r="AB28" s="552" t="n">
        <v>46265</v>
      </c>
      <c r="AC28" s="553" t="s">
        <v>521</v>
      </c>
      <c r="AD28" s="554" t="s">
        <v>510</v>
      </c>
      <c r="AE28" s="554" t="s">
        <v>507</v>
      </c>
      <c r="AF28" s="554" t="s">
        <v>519</v>
      </c>
      <c r="AG28" s="555" t="b">
        <f aca="false">FALSE()</f>
        <v>0</v>
      </c>
      <c r="AH28" s="555" t="b">
        <f aca="false">FALSE()</f>
        <v>0</v>
      </c>
    </row>
    <row r="29" customFormat="false" ht="21.75" hidden="false" customHeight="true" outlineLevel="0" collapsed="false">
      <c r="A29" s="495" t="n">
        <v>25</v>
      </c>
      <c r="B29" s="362" t="s">
        <v>210</v>
      </c>
      <c r="C29" s="513" t="s">
        <v>522</v>
      </c>
      <c r="D29" s="556" t="s">
        <v>485</v>
      </c>
      <c r="E29" s="496" t="s">
        <v>419</v>
      </c>
      <c r="F29" s="514" t="b">
        <f aca="false">TRUE()</f>
        <v>1</v>
      </c>
      <c r="G29" s="496" t="b">
        <f aca="false">FALSE()</f>
        <v>0</v>
      </c>
      <c r="H29" s="515" t="n">
        <v>0</v>
      </c>
      <c r="I29" s="496" t="s">
        <v>404</v>
      </c>
      <c r="J29" s="499" t="n">
        <v>26.08</v>
      </c>
      <c r="K29" s="499" t="n">
        <f aca="false">IFERROR(J29,0)</f>
        <v>26.08</v>
      </c>
      <c r="L29" s="499"/>
      <c r="M29" s="500" t="n">
        <f aca="false">IFERROR(IF(D29="FB-Term",IF(A29=UBI_RTL1_SNo,UBI_RTL1_PrincOS,IF(A29=UBI_RTL2_SNo,UBI_RTL2_PrincOS,IF(A29=IB_TL_SNo,IB_TL_PrincOS,IF(A29=RBL_TL_SNo,RBL_TL_PrincOS,IF(A29=YBL_TL_SNo,YBL_TL_PrincOS,IF(A29=IDFC_TL_SNo,IDFC_TL_PrincOS,IF(A29=ICICI_TL_SNo,ICICI_TL_PrincOS,0))))))),IF(L29&lt;&gt;"",L29,IF(UseFullUtil,K29,0))),0)</f>
        <v>26.08</v>
      </c>
      <c r="N29" s="501" t="n">
        <f aca="false">IFERROR(M29/K29,0)</f>
        <v>1</v>
      </c>
      <c r="O29" s="499" t="n">
        <f aca="false">IFERROR(K29-M29,0)</f>
        <v>0</v>
      </c>
      <c r="P29" s="362" t="s">
        <v>503</v>
      </c>
      <c r="Q29" s="502" t="n">
        <v>0</v>
      </c>
      <c r="R29" s="503" t="n">
        <f aca="false">IFERROR(VLOOKUP(P29,'Instructions &amp; Assumptions'!$A$14:$B$27,2,FALSE())+Q29,Q29)</f>
        <v>0.09</v>
      </c>
      <c r="S29" s="496" t="s">
        <v>446</v>
      </c>
      <c r="T29" s="504" t="n">
        <v>0</v>
      </c>
      <c r="U29" s="496" t="s">
        <v>422</v>
      </c>
      <c r="V29" s="504" t="n">
        <v>6</v>
      </c>
      <c r="W29" s="504" t="n">
        <v>0</v>
      </c>
      <c r="X29" s="505" t="n">
        <v>46080</v>
      </c>
      <c r="Y29" s="505" t="n">
        <f aca="false">IFERROR(EDATE(X29,T29),"")</f>
        <v>46080</v>
      </c>
      <c r="Z29" s="505" t="n">
        <f aca="false">IFERROR(EDATE(X29,V29),"")</f>
        <v>46261</v>
      </c>
      <c r="AA29" s="505" t="n">
        <v>46080</v>
      </c>
      <c r="AB29" s="505" t="n">
        <v>46265</v>
      </c>
      <c r="AC29" s="506" t="s">
        <v>523</v>
      </c>
      <c r="AD29" s="507" t="s">
        <v>510</v>
      </c>
      <c r="AE29" s="507" t="s">
        <v>507</v>
      </c>
      <c r="AF29" s="507" t="s">
        <v>519</v>
      </c>
      <c r="AG29" s="508" t="b">
        <f aca="false">FALSE()</f>
        <v>0</v>
      </c>
      <c r="AH29" s="508" t="b">
        <f aca="false">FALSE()</f>
        <v>0</v>
      </c>
    </row>
    <row r="30" customFormat="false" ht="21.75" hidden="false" customHeight="true" outlineLevel="0" collapsed="false">
      <c r="A30" s="557" t="n">
        <v>26</v>
      </c>
      <c r="B30" s="540" t="s">
        <v>210</v>
      </c>
      <c r="C30" s="541" t="s">
        <v>524</v>
      </c>
      <c r="D30" s="542" t="s">
        <v>418</v>
      </c>
      <c r="E30" s="543" t="s">
        <v>419</v>
      </c>
      <c r="F30" s="544" t="b">
        <f aca="false">TRUE()</f>
        <v>1</v>
      </c>
      <c r="G30" s="543" t="b">
        <f aca="false">FALSE()</f>
        <v>0</v>
      </c>
      <c r="H30" s="545" t="n">
        <v>0</v>
      </c>
      <c r="I30" s="543" t="s">
        <v>404</v>
      </c>
      <c r="J30" s="546" t="n">
        <v>26.08</v>
      </c>
      <c r="K30" s="546" t="n">
        <f aca="false">IFERROR(J30,0)</f>
        <v>26.08</v>
      </c>
      <c r="L30" s="546"/>
      <c r="M30" s="547" t="n">
        <f aca="false">IFERROR(IF(D30="FB-Term",IF(A30=UBI_RTL1_SNo,UBI_RTL1_PrincOS,IF(A30=UBI_RTL2_SNo,UBI_RTL2_PrincOS,IF(A30=IB_TL_SNo,IB_TL_PrincOS,IF(A30=RBL_TL_SNo,RBL_TL_PrincOS,IF(A30=YBL_TL_SNo,YBL_TL_PrincOS,IF(A30=IDFC_TL_SNo,IDFC_TL_PrincOS,IF(A30=ICICI_TL_SNo,ICICI_TL_PrincOS,0))))))),IF(L30&lt;&gt;"",L30,IF(UseFullUtil,K30,0))),0)</f>
        <v>26.08</v>
      </c>
      <c r="N30" s="548" t="n">
        <f aca="false">IFERROR(M30/K30,0)</f>
        <v>1</v>
      </c>
      <c r="O30" s="546" t="n">
        <f aca="false">IFERROR(K30-M30,0)</f>
        <v>0</v>
      </c>
      <c r="P30" s="540" t="s">
        <v>503</v>
      </c>
      <c r="Q30" s="549" t="n">
        <v>0</v>
      </c>
      <c r="R30" s="550" t="n">
        <f aca="false">IFERROR(VLOOKUP(P30,'Instructions &amp; Assumptions'!$A$14:$B$27,2,FALSE())+Q30,Q30)</f>
        <v>0.09</v>
      </c>
      <c r="S30" s="543" t="s">
        <v>446</v>
      </c>
      <c r="T30" s="551" t="n">
        <v>0</v>
      </c>
      <c r="U30" s="543" t="s">
        <v>504</v>
      </c>
      <c r="V30" s="551" t="n">
        <v>6</v>
      </c>
      <c r="W30" s="551" t="n">
        <v>0</v>
      </c>
      <c r="X30" s="552" t="n">
        <v>46080</v>
      </c>
      <c r="Y30" s="552" t="n">
        <f aca="false">IFERROR(EDATE(X30,T30),"")</f>
        <v>46080</v>
      </c>
      <c r="Z30" s="552" t="n">
        <f aca="false">IFERROR(EDATE(X30,V30),"")</f>
        <v>46261</v>
      </c>
      <c r="AA30" s="552" t="n">
        <v>46080</v>
      </c>
      <c r="AB30" s="552" t="n">
        <v>46265</v>
      </c>
      <c r="AC30" s="553" t="s">
        <v>525</v>
      </c>
      <c r="AD30" s="554" t="s">
        <v>510</v>
      </c>
      <c r="AE30" s="554" t="s">
        <v>507</v>
      </c>
      <c r="AF30" s="554" t="s">
        <v>526</v>
      </c>
      <c r="AG30" s="555" t="b">
        <f aca="false">FALSE()</f>
        <v>0</v>
      </c>
      <c r="AH30" s="555" t="b">
        <f aca="false">FALSE()</f>
        <v>0</v>
      </c>
    </row>
    <row r="31" customFormat="false" ht="21.75" hidden="false" customHeight="true" outlineLevel="0" collapsed="false">
      <c r="A31" s="495" t="n">
        <v>27</v>
      </c>
      <c r="B31" s="362" t="s">
        <v>210</v>
      </c>
      <c r="C31" s="513" t="s">
        <v>527</v>
      </c>
      <c r="D31" s="556" t="s">
        <v>485</v>
      </c>
      <c r="E31" s="496" t="s">
        <v>419</v>
      </c>
      <c r="F31" s="514" t="b">
        <f aca="false">TRUE()</f>
        <v>1</v>
      </c>
      <c r="G31" s="496" t="b">
        <f aca="false">FALSE()</f>
        <v>0</v>
      </c>
      <c r="H31" s="515" t="n">
        <v>0</v>
      </c>
      <c r="I31" s="496" t="s">
        <v>404</v>
      </c>
      <c r="J31" s="499" t="n">
        <v>26.08</v>
      </c>
      <c r="K31" s="499" t="n">
        <f aca="false">IFERROR(J31,0)</f>
        <v>26.08</v>
      </c>
      <c r="L31" s="499"/>
      <c r="M31" s="500" t="n">
        <f aca="false">IFERROR(IF(D31="FB-Term",IF(A31=UBI_RTL1_SNo,UBI_RTL1_PrincOS,IF(A31=UBI_RTL2_SNo,UBI_RTL2_PrincOS,IF(A31=IB_TL_SNo,IB_TL_PrincOS,IF(A31=RBL_TL_SNo,RBL_TL_PrincOS,IF(A31=YBL_TL_SNo,YBL_TL_PrincOS,IF(A31=IDFC_TL_SNo,IDFC_TL_PrincOS,IF(A31=ICICI_TL_SNo,ICICI_TL_PrincOS,0))))))),IF(L31&lt;&gt;"",L31,IF(UseFullUtil,K31,0))),0)</f>
        <v>26.08</v>
      </c>
      <c r="N31" s="501" t="n">
        <f aca="false">IFERROR(M31/K31,0)</f>
        <v>1</v>
      </c>
      <c r="O31" s="499" t="n">
        <f aca="false">IFERROR(K31-M31,0)</f>
        <v>0</v>
      </c>
      <c r="P31" s="362" t="s">
        <v>503</v>
      </c>
      <c r="Q31" s="502" t="n">
        <v>0</v>
      </c>
      <c r="R31" s="503" t="n">
        <f aca="false">IFERROR(VLOOKUP(P31,'Instructions &amp; Assumptions'!$A$14:$B$27,2,FALSE())+Q31,Q31)</f>
        <v>0.09</v>
      </c>
      <c r="S31" s="496" t="s">
        <v>446</v>
      </c>
      <c r="T31" s="504" t="n">
        <v>0</v>
      </c>
      <c r="U31" s="496" t="s">
        <v>422</v>
      </c>
      <c r="V31" s="504" t="n">
        <v>6</v>
      </c>
      <c r="W31" s="504" t="n">
        <v>0</v>
      </c>
      <c r="X31" s="505" t="n">
        <v>46080</v>
      </c>
      <c r="Y31" s="505" t="n">
        <f aca="false">IFERROR(EDATE(X31,T31),"")</f>
        <v>46080</v>
      </c>
      <c r="Z31" s="505" t="n">
        <f aca="false">IFERROR(EDATE(X31,V31),"")</f>
        <v>46261</v>
      </c>
      <c r="AA31" s="505" t="n">
        <v>46080</v>
      </c>
      <c r="AB31" s="505" t="n">
        <v>46265</v>
      </c>
      <c r="AC31" s="506" t="s">
        <v>528</v>
      </c>
      <c r="AD31" s="507" t="s">
        <v>510</v>
      </c>
      <c r="AE31" s="507" t="s">
        <v>507</v>
      </c>
      <c r="AF31" s="507" t="s">
        <v>529</v>
      </c>
      <c r="AG31" s="508" t="b">
        <f aca="false">FALSE()</f>
        <v>0</v>
      </c>
      <c r="AH31" s="508" t="b">
        <f aca="false">FALSE()</f>
        <v>0</v>
      </c>
    </row>
    <row r="32" customFormat="false" ht="21.75" hidden="false" customHeight="true" outlineLevel="0" collapsed="false">
      <c r="A32" s="557" t="n">
        <v>28</v>
      </c>
      <c r="B32" s="540" t="s">
        <v>210</v>
      </c>
      <c r="C32" s="541" t="s">
        <v>530</v>
      </c>
      <c r="D32" s="542" t="s">
        <v>485</v>
      </c>
      <c r="E32" s="543" t="s">
        <v>419</v>
      </c>
      <c r="F32" s="544" t="b">
        <f aca="false">TRUE()</f>
        <v>1</v>
      </c>
      <c r="G32" s="543" t="b">
        <f aca="false">FALSE()</f>
        <v>0</v>
      </c>
      <c r="H32" s="545" t="n">
        <v>0</v>
      </c>
      <c r="I32" s="543" t="s">
        <v>404</v>
      </c>
      <c r="J32" s="546" t="n">
        <v>26.08</v>
      </c>
      <c r="K32" s="546" t="n">
        <f aca="false">IFERROR(J32,0)</f>
        <v>26.08</v>
      </c>
      <c r="L32" s="546"/>
      <c r="M32" s="547" t="n">
        <f aca="false">IFERROR(IF(D32="FB-Term",IF(A32=UBI_RTL1_SNo,UBI_RTL1_PrincOS,IF(A32=UBI_RTL2_SNo,UBI_RTL2_PrincOS,IF(A32=IB_TL_SNo,IB_TL_PrincOS,IF(A32=RBL_TL_SNo,RBL_TL_PrincOS,IF(A32=YBL_TL_SNo,YBL_TL_PrincOS,IF(A32=IDFC_TL_SNo,IDFC_TL_PrincOS,IF(A32=ICICI_TL_SNo,ICICI_TL_PrincOS,0))))))),IF(L32&lt;&gt;"",L32,IF(UseFullUtil,K32,0))),0)</f>
        <v>26.08</v>
      </c>
      <c r="N32" s="548" t="n">
        <f aca="false">IFERROR(M32/K32,0)</f>
        <v>1</v>
      </c>
      <c r="O32" s="546" t="n">
        <f aca="false">IFERROR(K32-M32,0)</f>
        <v>0</v>
      </c>
      <c r="P32" s="540" t="s">
        <v>503</v>
      </c>
      <c r="Q32" s="549" t="n">
        <v>0</v>
      </c>
      <c r="R32" s="550" t="n">
        <f aca="false">IFERROR(VLOOKUP(P32,'Instructions &amp; Assumptions'!$A$14:$B$27,2,FALSE())+Q32,Q32)</f>
        <v>0.09</v>
      </c>
      <c r="S32" s="543" t="s">
        <v>446</v>
      </c>
      <c r="T32" s="551" t="n">
        <v>0</v>
      </c>
      <c r="U32" s="543" t="s">
        <v>422</v>
      </c>
      <c r="V32" s="551" t="n">
        <v>6</v>
      </c>
      <c r="W32" s="551" t="n">
        <v>0</v>
      </c>
      <c r="X32" s="552" t="n">
        <v>46080</v>
      </c>
      <c r="Y32" s="552" t="n">
        <f aca="false">IFERROR(EDATE(X32,T32),"")</f>
        <v>46080</v>
      </c>
      <c r="Z32" s="552" t="n">
        <f aca="false">IFERROR(EDATE(X32,V32),"")</f>
        <v>46261</v>
      </c>
      <c r="AA32" s="552" t="n">
        <v>46080</v>
      </c>
      <c r="AB32" s="552" t="n">
        <v>46265</v>
      </c>
      <c r="AC32" s="553" t="s">
        <v>531</v>
      </c>
      <c r="AD32" s="554" t="s">
        <v>510</v>
      </c>
      <c r="AE32" s="554" t="s">
        <v>507</v>
      </c>
      <c r="AF32" s="554" t="s">
        <v>529</v>
      </c>
      <c r="AG32" s="555" t="b">
        <f aca="false">FALSE()</f>
        <v>0</v>
      </c>
      <c r="AH32" s="555" t="b">
        <f aca="false">FALSE()</f>
        <v>0</v>
      </c>
    </row>
    <row r="33" customFormat="false" ht="21.75" hidden="false" customHeight="true" outlineLevel="0" collapsed="false">
      <c r="A33" s="495" t="n">
        <v>29</v>
      </c>
      <c r="B33" s="362" t="s">
        <v>210</v>
      </c>
      <c r="C33" s="513" t="s">
        <v>532</v>
      </c>
      <c r="D33" s="556" t="s">
        <v>418</v>
      </c>
      <c r="E33" s="496" t="s">
        <v>419</v>
      </c>
      <c r="F33" s="514" t="b">
        <f aca="false">TRUE()</f>
        <v>1</v>
      </c>
      <c r="G33" s="496" t="b">
        <f aca="false">FALSE()</f>
        <v>0</v>
      </c>
      <c r="H33" s="515" t="n">
        <v>0</v>
      </c>
      <c r="I33" s="496" t="s">
        <v>404</v>
      </c>
      <c r="J33" s="499" t="n">
        <v>154.58</v>
      </c>
      <c r="K33" s="499" t="n">
        <f aca="false">IFERROR(J33,0)</f>
        <v>154.58</v>
      </c>
      <c r="L33" s="499"/>
      <c r="M33" s="500" t="n">
        <f aca="false">IFERROR(IF(D33="FB-Term",IF(A33=UBI_RTL1_SNo,UBI_RTL1_PrincOS,IF(A33=UBI_RTL2_SNo,UBI_RTL2_PrincOS,IF(A33=IB_TL_SNo,IB_TL_PrincOS,IF(A33=RBL_TL_SNo,RBL_TL_PrincOS,IF(A33=YBL_TL_SNo,YBL_TL_PrincOS,IF(A33=IDFC_TL_SNo,IDFC_TL_PrincOS,IF(A33=ICICI_TL_SNo,ICICI_TL_PrincOS,0))))))),IF(L33&lt;&gt;"",L33,IF(UseFullUtil,K33,0))),0)</f>
        <v>154.58</v>
      </c>
      <c r="N33" s="501" t="n">
        <f aca="false">IFERROR(M33/K33,0)</f>
        <v>1</v>
      </c>
      <c r="O33" s="499" t="n">
        <f aca="false">IFERROR(K33-M33,0)</f>
        <v>0</v>
      </c>
      <c r="P33" s="362" t="s">
        <v>503</v>
      </c>
      <c r="Q33" s="502" t="n">
        <v>0</v>
      </c>
      <c r="R33" s="503" t="n">
        <f aca="false">IFERROR(VLOOKUP(P33,'Instructions &amp; Assumptions'!$A$14:$B$27,2,FALSE())+Q33,Q33)</f>
        <v>0.09</v>
      </c>
      <c r="S33" s="496" t="s">
        <v>446</v>
      </c>
      <c r="T33" s="504" t="n">
        <v>0</v>
      </c>
      <c r="U33" s="496" t="s">
        <v>504</v>
      </c>
      <c r="V33" s="504" t="n">
        <v>6</v>
      </c>
      <c r="W33" s="504" t="n">
        <v>0</v>
      </c>
      <c r="X33" s="505" t="n">
        <v>46080</v>
      </c>
      <c r="Y33" s="505" t="n">
        <f aca="false">IFERROR(EDATE(X33,T33),"")</f>
        <v>46080</v>
      </c>
      <c r="Z33" s="505" t="n">
        <f aca="false">IFERROR(EDATE(X33,V33),"")</f>
        <v>46261</v>
      </c>
      <c r="AA33" s="505" t="n">
        <v>46080</v>
      </c>
      <c r="AB33" s="505" t="n">
        <v>46265</v>
      </c>
      <c r="AC33" s="506" t="s">
        <v>533</v>
      </c>
      <c r="AD33" s="507" t="s">
        <v>510</v>
      </c>
      <c r="AE33" s="507" t="s">
        <v>507</v>
      </c>
      <c r="AF33" s="507" t="s">
        <v>534</v>
      </c>
      <c r="AG33" s="508" t="b">
        <f aca="false">FALSE()</f>
        <v>0</v>
      </c>
      <c r="AH33" s="508" t="b">
        <f aca="false">FALSE()</f>
        <v>0</v>
      </c>
    </row>
    <row r="34" customFormat="false" ht="21.75" hidden="false" customHeight="true" outlineLevel="0" collapsed="false">
      <c r="A34" s="557" t="n">
        <v>30</v>
      </c>
      <c r="B34" s="540" t="s">
        <v>210</v>
      </c>
      <c r="C34" s="541" t="s">
        <v>535</v>
      </c>
      <c r="D34" s="542" t="s">
        <v>418</v>
      </c>
      <c r="E34" s="543" t="s">
        <v>419</v>
      </c>
      <c r="F34" s="544" t="b">
        <f aca="false">TRUE()</f>
        <v>1</v>
      </c>
      <c r="G34" s="543" t="b">
        <f aca="false">FALSE()</f>
        <v>0</v>
      </c>
      <c r="H34" s="545" t="n">
        <v>0</v>
      </c>
      <c r="I34" s="543" t="s">
        <v>404</v>
      </c>
      <c r="J34" s="546" t="n">
        <v>154.58</v>
      </c>
      <c r="K34" s="546" t="n">
        <f aca="false">IFERROR(J34,0)</f>
        <v>154.58</v>
      </c>
      <c r="L34" s="546"/>
      <c r="M34" s="547" t="n">
        <f aca="false">IFERROR(IF(D34="FB-Term",IF(A34=UBI_RTL1_SNo,UBI_RTL1_PrincOS,IF(A34=UBI_RTL2_SNo,UBI_RTL2_PrincOS,IF(A34=IB_TL_SNo,IB_TL_PrincOS,IF(A34=RBL_TL_SNo,RBL_TL_PrincOS,IF(A34=YBL_TL_SNo,YBL_TL_PrincOS,IF(A34=IDFC_TL_SNo,IDFC_TL_PrincOS,IF(A34=ICICI_TL_SNo,ICICI_TL_PrincOS,0))))))),IF(L34&lt;&gt;"",L34,IF(UseFullUtil,K34,0))),0)</f>
        <v>154.58</v>
      </c>
      <c r="N34" s="548" t="n">
        <f aca="false">IFERROR(M34/K34,0)</f>
        <v>1</v>
      </c>
      <c r="O34" s="546" t="n">
        <f aca="false">IFERROR(K34-M34,0)</f>
        <v>0</v>
      </c>
      <c r="P34" s="540" t="s">
        <v>420</v>
      </c>
      <c r="Q34" s="549" t="n">
        <v>0</v>
      </c>
      <c r="R34" s="549" t="n">
        <f aca="false">IFERROR(VLOOKUP(P34,'Instructions &amp; Assumptions'!$A$14:$B$27,2,FALSE())+Q34,Q34)</f>
        <v>0</v>
      </c>
      <c r="S34" s="543" t="s">
        <v>446</v>
      </c>
      <c r="T34" s="551" t="n">
        <v>0</v>
      </c>
      <c r="U34" s="543" t="s">
        <v>422</v>
      </c>
      <c r="V34" s="551" t="n">
        <v>6</v>
      </c>
      <c r="W34" s="551" t="n">
        <v>0</v>
      </c>
      <c r="X34" s="552" t="n">
        <v>46080</v>
      </c>
      <c r="Y34" s="552" t="n">
        <f aca="false">IFERROR(EDATE(X34,T34),"")</f>
        <v>46080</v>
      </c>
      <c r="Z34" s="552" t="n">
        <f aca="false">IFERROR(EDATE(X34,V34),"")</f>
        <v>46261</v>
      </c>
      <c r="AA34" s="552" t="n">
        <v>46080</v>
      </c>
      <c r="AB34" s="552" t="n">
        <v>46265</v>
      </c>
      <c r="AC34" s="553" t="s">
        <v>536</v>
      </c>
      <c r="AD34" s="554" t="s">
        <v>510</v>
      </c>
      <c r="AE34" s="554" t="s">
        <v>507</v>
      </c>
      <c r="AF34" s="554" t="s">
        <v>537</v>
      </c>
      <c r="AG34" s="555" t="b">
        <f aca="false">FALSE()</f>
        <v>0</v>
      </c>
      <c r="AH34" s="555" t="b">
        <f aca="false">FALSE()</f>
        <v>0</v>
      </c>
    </row>
    <row r="35" customFormat="false" ht="21.75" hidden="false" customHeight="true" outlineLevel="0" collapsed="false">
      <c r="A35" s="495" t="n">
        <v>31</v>
      </c>
      <c r="B35" s="362" t="s">
        <v>210</v>
      </c>
      <c r="C35" s="513" t="s">
        <v>538</v>
      </c>
      <c r="D35" s="556" t="s">
        <v>418</v>
      </c>
      <c r="E35" s="496" t="s">
        <v>419</v>
      </c>
      <c r="F35" s="514" t="b">
        <f aca="false">TRUE()</f>
        <v>1</v>
      </c>
      <c r="G35" s="496" t="b">
        <f aca="false">FALSE()</f>
        <v>0</v>
      </c>
      <c r="H35" s="515" t="n">
        <v>0</v>
      </c>
      <c r="I35" s="496" t="s">
        <v>404</v>
      </c>
      <c r="J35" s="499" t="n">
        <v>10</v>
      </c>
      <c r="K35" s="499" t="n">
        <f aca="false">IFERROR(J35,0)</f>
        <v>10</v>
      </c>
      <c r="L35" s="499"/>
      <c r="M35" s="500" t="n">
        <f aca="false">IFERROR(IF(D35="FB-Term",IF(A35=UBI_RTL1_SNo,UBI_RTL1_PrincOS,IF(A35=UBI_RTL2_SNo,UBI_RTL2_PrincOS,IF(A35=IB_TL_SNo,IB_TL_PrincOS,IF(A35=RBL_TL_SNo,RBL_TL_PrincOS,IF(A35=YBL_TL_SNo,YBL_TL_PrincOS,IF(A35=IDFC_TL_SNo,IDFC_TL_PrincOS,IF(A35=ICICI_TL_SNo,ICICI_TL_PrincOS,0))))))),IF(L35&lt;&gt;"",L35,IF(UseFullUtil,K35,0))),0)</f>
        <v>10</v>
      </c>
      <c r="N35" s="501" t="n">
        <f aca="false">IFERROR(M35/K35,0)</f>
        <v>1</v>
      </c>
      <c r="O35" s="499" t="n">
        <f aca="false">IFERROR(K35-M35,0)</f>
        <v>0</v>
      </c>
      <c r="P35" s="362" t="s">
        <v>420</v>
      </c>
      <c r="Q35" s="502" t="n">
        <v>0</v>
      </c>
      <c r="R35" s="502" t="n">
        <f aca="false">IFERROR(VLOOKUP(P35,'Instructions &amp; Assumptions'!$A$14:$B$27,2,FALSE())+Q35,Q35)</f>
        <v>0</v>
      </c>
      <c r="S35" s="496" t="s">
        <v>446</v>
      </c>
      <c r="T35" s="504" t="n">
        <v>0</v>
      </c>
      <c r="U35" s="496" t="s">
        <v>422</v>
      </c>
      <c r="V35" s="504" t="n">
        <v>6</v>
      </c>
      <c r="W35" s="504" t="n">
        <v>0</v>
      </c>
      <c r="X35" s="505" t="n">
        <v>46080</v>
      </c>
      <c r="Y35" s="505" t="n">
        <f aca="false">IFERROR(EDATE(X35,T35),"")</f>
        <v>46080</v>
      </c>
      <c r="Z35" s="505" t="n">
        <f aca="false">IFERROR(EDATE(X35,V35),"")</f>
        <v>46261</v>
      </c>
      <c r="AA35" s="505" t="n">
        <v>46080</v>
      </c>
      <c r="AB35" s="505" t="n">
        <v>46265</v>
      </c>
      <c r="AC35" s="506" t="s">
        <v>536</v>
      </c>
      <c r="AD35" s="507" t="s">
        <v>510</v>
      </c>
      <c r="AE35" s="507" t="s">
        <v>507</v>
      </c>
      <c r="AF35" s="507" t="s">
        <v>539</v>
      </c>
      <c r="AG35" s="508" t="b">
        <f aca="false">FALSE()</f>
        <v>0</v>
      </c>
      <c r="AH35" s="508" t="b">
        <f aca="false">FALSE()</f>
        <v>0</v>
      </c>
    </row>
    <row r="36" customFormat="false" ht="21.75" hidden="false" customHeight="true" outlineLevel="0" collapsed="false">
      <c r="A36" s="557" t="n">
        <v>32</v>
      </c>
      <c r="B36" s="540" t="s">
        <v>210</v>
      </c>
      <c r="C36" s="541" t="s">
        <v>540</v>
      </c>
      <c r="D36" s="542" t="s">
        <v>418</v>
      </c>
      <c r="E36" s="543" t="s">
        <v>419</v>
      </c>
      <c r="F36" s="544" t="b">
        <f aca="false">TRUE()</f>
        <v>1</v>
      </c>
      <c r="G36" s="543" t="b">
        <f aca="false">FALSE()</f>
        <v>0</v>
      </c>
      <c r="H36" s="545" t="n">
        <v>0</v>
      </c>
      <c r="I36" s="543" t="s">
        <v>404</v>
      </c>
      <c r="J36" s="546" t="n">
        <v>17.4</v>
      </c>
      <c r="K36" s="546" t="n">
        <f aca="false">IFERROR(J36,0)</f>
        <v>17.4</v>
      </c>
      <c r="L36" s="546"/>
      <c r="M36" s="547" t="n">
        <f aca="false">IFERROR(IF(D36="FB-Term",IF(A36=UBI_RTL1_SNo,UBI_RTL1_PrincOS,IF(A36=UBI_RTL2_SNo,UBI_RTL2_PrincOS,IF(A36=IB_TL_SNo,IB_TL_PrincOS,IF(A36=RBL_TL_SNo,RBL_TL_PrincOS,IF(A36=YBL_TL_SNo,YBL_TL_PrincOS,IF(A36=IDFC_TL_SNo,IDFC_TL_PrincOS,IF(A36=ICICI_TL_SNo,ICICI_TL_PrincOS,0))))))),IF(L36&lt;&gt;"",L36,IF(UseFullUtil,K36,0))),0)</f>
        <v>17.4</v>
      </c>
      <c r="N36" s="548" t="n">
        <f aca="false">IFERROR(M36/K36,0)</f>
        <v>1</v>
      </c>
      <c r="O36" s="546" t="n">
        <f aca="false">IFERROR(K36-M36,0)</f>
        <v>0</v>
      </c>
      <c r="P36" s="540" t="s">
        <v>503</v>
      </c>
      <c r="Q36" s="549" t="n">
        <v>0</v>
      </c>
      <c r="R36" s="550" t="n">
        <f aca="false">IFERROR(VLOOKUP(P36,'Instructions &amp; Assumptions'!$A$14:$B$27,2,FALSE())+Q36,Q36)</f>
        <v>0.09</v>
      </c>
      <c r="S36" s="543" t="s">
        <v>446</v>
      </c>
      <c r="T36" s="551" t="n">
        <v>0</v>
      </c>
      <c r="U36" s="543" t="s">
        <v>422</v>
      </c>
      <c r="V36" s="551" t="n">
        <v>48</v>
      </c>
      <c r="W36" s="551" t="n">
        <v>0</v>
      </c>
      <c r="X36" s="552" t="n">
        <v>46080</v>
      </c>
      <c r="Y36" s="552" t="n">
        <f aca="false">IFERROR(EDATE(X36,T36),"")</f>
        <v>46080</v>
      </c>
      <c r="Z36" s="552" t="n">
        <f aca="false">IFERROR(EDATE(X36,V36),"")</f>
        <v>47541</v>
      </c>
      <c r="AA36" s="552" t="n">
        <v>46080</v>
      </c>
      <c r="AB36" s="552" t="n">
        <v>46265</v>
      </c>
      <c r="AC36" s="553" t="s">
        <v>541</v>
      </c>
      <c r="AD36" s="554" t="s">
        <v>510</v>
      </c>
      <c r="AE36" s="554" t="s">
        <v>507</v>
      </c>
      <c r="AF36" s="554" t="s">
        <v>542</v>
      </c>
      <c r="AG36" s="555" t="b">
        <f aca="false">FALSE()</f>
        <v>0</v>
      </c>
      <c r="AH36" s="555" t="b">
        <f aca="false">FALSE()</f>
        <v>0</v>
      </c>
    </row>
    <row r="37" customFormat="false" ht="21.75" hidden="false" customHeight="true" outlineLevel="0" collapsed="false">
      <c r="A37" s="495" t="n">
        <v>33</v>
      </c>
      <c r="B37" s="362" t="s">
        <v>210</v>
      </c>
      <c r="C37" s="513" t="s">
        <v>543</v>
      </c>
      <c r="D37" s="556" t="s">
        <v>418</v>
      </c>
      <c r="E37" s="496" t="s">
        <v>419</v>
      </c>
      <c r="F37" s="514" t="b">
        <f aca="false">TRUE()</f>
        <v>1</v>
      </c>
      <c r="G37" s="496" t="b">
        <f aca="false">FALSE()</f>
        <v>0</v>
      </c>
      <c r="H37" s="515" t="n">
        <v>0</v>
      </c>
      <c r="I37" s="496" t="s">
        <v>404</v>
      </c>
      <c r="J37" s="499" t="n">
        <v>1.94</v>
      </c>
      <c r="K37" s="499" t="n">
        <f aca="false">IFERROR(J37,0)</f>
        <v>1.94</v>
      </c>
      <c r="L37" s="499"/>
      <c r="M37" s="500" t="n">
        <f aca="false">IFERROR(IF(D37="FB-Term",IF(A37=UBI_RTL1_SNo,UBI_RTL1_PrincOS,IF(A37=UBI_RTL2_SNo,UBI_RTL2_PrincOS,IF(A37=IB_TL_SNo,IB_TL_PrincOS,IF(A37=RBL_TL_SNo,RBL_TL_PrincOS,IF(A37=YBL_TL_SNo,YBL_TL_PrincOS,IF(A37=IDFC_TL_SNo,IDFC_TL_PrincOS,IF(A37=ICICI_TL_SNo,ICICI_TL_PrincOS,0))))))),IF(L37&lt;&gt;"",L37,IF(UseFullUtil,K37,0))),0)</f>
        <v>1.94</v>
      </c>
      <c r="N37" s="501" t="n">
        <f aca="false">IFERROR(M37/K37,0)</f>
        <v>1</v>
      </c>
      <c r="O37" s="499" t="n">
        <f aca="false">IFERROR(K37-M37,0)</f>
        <v>0</v>
      </c>
      <c r="P37" s="362" t="s">
        <v>503</v>
      </c>
      <c r="Q37" s="502" t="n">
        <v>0</v>
      </c>
      <c r="R37" s="503" t="n">
        <f aca="false">IFERROR(VLOOKUP(P37,'Instructions &amp; Assumptions'!$A$14:$B$27,2,FALSE())+Q37,Q37)</f>
        <v>0.09</v>
      </c>
      <c r="S37" s="496" t="s">
        <v>446</v>
      </c>
      <c r="T37" s="504" t="n">
        <v>0</v>
      </c>
      <c r="U37" s="496" t="s">
        <v>422</v>
      </c>
      <c r="V37" s="504" t="n">
        <v>48</v>
      </c>
      <c r="W37" s="504" t="n">
        <v>0</v>
      </c>
      <c r="X37" s="505" t="n">
        <v>46080</v>
      </c>
      <c r="Y37" s="505" t="n">
        <f aca="false">IFERROR(EDATE(X37,T37),"")</f>
        <v>46080</v>
      </c>
      <c r="Z37" s="505" t="n">
        <f aca="false">IFERROR(EDATE(X37,V37),"")</f>
        <v>47541</v>
      </c>
      <c r="AA37" s="505" t="n">
        <v>46080</v>
      </c>
      <c r="AB37" s="505" t="n">
        <v>46265</v>
      </c>
      <c r="AC37" s="506" t="s">
        <v>544</v>
      </c>
      <c r="AD37" s="507" t="s">
        <v>510</v>
      </c>
      <c r="AE37" s="507" t="s">
        <v>507</v>
      </c>
      <c r="AF37" s="507" t="s">
        <v>542</v>
      </c>
      <c r="AG37" s="508" t="b">
        <f aca="false">FALSE()</f>
        <v>0</v>
      </c>
      <c r="AH37" s="508" t="b">
        <f aca="false">FALSE()</f>
        <v>0</v>
      </c>
    </row>
    <row r="38" customFormat="false" ht="21.75" hidden="false" customHeight="true" outlineLevel="0" collapsed="false">
      <c r="A38" s="481" t="n">
        <v>34</v>
      </c>
      <c r="B38" s="482" t="s">
        <v>94</v>
      </c>
      <c r="C38" s="482" t="s">
        <v>545</v>
      </c>
      <c r="D38" s="483" t="s">
        <v>418</v>
      </c>
      <c r="E38" s="483" t="s">
        <v>419</v>
      </c>
      <c r="F38" s="484" t="b">
        <f aca="false">FALSE()</f>
        <v>0</v>
      </c>
      <c r="G38" s="483" t="b">
        <f aca="false">FALSE()</f>
        <v>0</v>
      </c>
      <c r="H38" s="558" t="n">
        <v>2</v>
      </c>
      <c r="I38" s="483" t="s">
        <v>404</v>
      </c>
      <c r="J38" s="485" t="n">
        <v>250</v>
      </c>
      <c r="K38" s="485" t="n">
        <f aca="false">IFERROR(J38,0)</f>
        <v>250</v>
      </c>
      <c r="L38" s="485"/>
      <c r="M38" s="486" t="n">
        <f aca="false">IFERROR(IF(D38="FB-Term",IF(A38=UBI_RTL1_SNo,UBI_RTL1_PrincOS,IF(A38=UBI_RTL2_SNo,UBI_RTL2_PrincOS,IF(A38=IB_TL_SNo,IB_TL_PrincOS,IF(A38=RBL_TL_SNo,RBL_TL_PrincOS,IF(A38=YBL_TL_SNo,YBL_TL_PrincOS,IF(A38=IDFC_TL_SNo,IDFC_TL_PrincOS,IF(A38=ICICI_TL_SNo,ICICI_TL_PrincOS,0))))))),IF(L38&lt;&gt;"",L38,IF(UseFullUtil,K38,0))),0)</f>
        <v>250</v>
      </c>
      <c r="N38" s="487" t="n">
        <f aca="false">IFERROR(M38/K38,0)</f>
        <v>1</v>
      </c>
      <c r="O38" s="485" t="n">
        <f aca="false">IFERROR(K38-M38,0)</f>
        <v>0</v>
      </c>
      <c r="P38" s="482" t="s">
        <v>420</v>
      </c>
      <c r="Q38" s="488" t="n">
        <v>0.005</v>
      </c>
      <c r="R38" s="488" t="n">
        <f aca="false">IFERROR(VLOOKUP(P38,'Instructions &amp; Assumptions'!$A$14:$B$27,2,FALSE())+Q38,Q38)</f>
        <v>0.005</v>
      </c>
      <c r="S38" s="483" t="s">
        <v>421</v>
      </c>
      <c r="T38" s="490" t="n">
        <v>0</v>
      </c>
      <c r="U38" s="483" t="s">
        <v>422</v>
      </c>
      <c r="V38" s="490" t="n">
        <v>12</v>
      </c>
      <c r="W38" s="490" t="n">
        <v>0</v>
      </c>
      <c r="X38" s="491" t="n">
        <v>46107</v>
      </c>
      <c r="Y38" s="491" t="n">
        <f aca="false">IFERROR(EDATE(X38,T38),"")</f>
        <v>46107</v>
      </c>
      <c r="Z38" s="491" t="n">
        <f aca="false">IFERROR(EDATE(X38,V38),"")</f>
        <v>46472</v>
      </c>
      <c r="AA38" s="491" t="n">
        <v>46107</v>
      </c>
      <c r="AB38" s="491" t="n">
        <v>46265</v>
      </c>
      <c r="AC38" s="492" t="s">
        <v>546</v>
      </c>
      <c r="AD38" s="493" t="s">
        <v>547</v>
      </c>
      <c r="AE38" s="493" t="s">
        <v>548</v>
      </c>
      <c r="AF38" s="493" t="s">
        <v>549</v>
      </c>
      <c r="AG38" s="494" t="b">
        <f aca="false">FALSE()</f>
        <v>0</v>
      </c>
      <c r="AH38" s="494" t="b">
        <f aca="false">FALSE()</f>
        <v>0</v>
      </c>
    </row>
    <row r="39" customFormat="false" ht="21.75" hidden="false" customHeight="true" outlineLevel="0" collapsed="false">
      <c r="A39" s="495" t="n">
        <v>35</v>
      </c>
      <c r="B39" s="362" t="s">
        <v>94</v>
      </c>
      <c r="C39" s="513" t="s">
        <v>550</v>
      </c>
      <c r="D39" s="496" t="s">
        <v>485</v>
      </c>
      <c r="E39" s="496" t="s">
        <v>419</v>
      </c>
      <c r="F39" s="514" t="b">
        <f aca="false">TRUE()</f>
        <v>1</v>
      </c>
      <c r="G39" s="496" t="b">
        <f aca="false">FALSE()</f>
        <v>0</v>
      </c>
      <c r="H39" s="515" t="n">
        <v>0</v>
      </c>
      <c r="I39" s="496" t="s">
        <v>404</v>
      </c>
      <c r="J39" s="499" t="n">
        <v>100</v>
      </c>
      <c r="K39" s="499" t="n">
        <f aca="false">IFERROR(J39,0)</f>
        <v>100</v>
      </c>
      <c r="L39" s="499"/>
      <c r="M39" s="500" t="n">
        <f aca="false">IFERROR(IF(D39="FB-Term",IF(A39=UBI_RTL1_SNo,UBI_RTL1_PrincOS,IF(A39=UBI_RTL2_SNo,UBI_RTL2_PrincOS,IF(A39=IB_TL_SNo,IB_TL_PrincOS,IF(A39=RBL_TL_SNo,RBL_TL_PrincOS,IF(A39=YBL_TL_SNo,YBL_TL_PrincOS,IF(A39=IDFC_TL_SNo,IDFC_TL_PrincOS,IF(A39=ICICI_TL_SNo,ICICI_TL_PrincOS,0))))))),IF(L39&lt;&gt;"",L39,IF(UseFullUtil,K39,0))),0)</f>
        <v>100</v>
      </c>
      <c r="N39" s="501" t="n">
        <f aca="false">IFERROR(M39/K39,0)</f>
        <v>1</v>
      </c>
      <c r="O39" s="499" t="n">
        <f aca="false">IFERROR(K39-M39,0)</f>
        <v>0</v>
      </c>
      <c r="P39" s="362" t="s">
        <v>445</v>
      </c>
      <c r="Q39" s="502" t="n">
        <v>0</v>
      </c>
      <c r="R39" s="503" t="n">
        <f aca="false">IFERROR(VLOOKUP(P39,'Instructions &amp; Assumptions'!$A$14:$B$27,2,FALSE())+Q39,Q39)</f>
        <v>0.095</v>
      </c>
      <c r="S39" s="496" t="s">
        <v>446</v>
      </c>
      <c r="T39" s="504" t="n">
        <v>0</v>
      </c>
      <c r="U39" s="496" t="s">
        <v>422</v>
      </c>
      <c r="V39" s="504" t="n">
        <v>6</v>
      </c>
      <c r="W39" s="504" t="n">
        <v>0</v>
      </c>
      <c r="X39" s="505" t="n">
        <v>46107</v>
      </c>
      <c r="Y39" s="505" t="n">
        <f aca="false">IFERROR(EDATE(X39,T39),"")</f>
        <v>46107</v>
      </c>
      <c r="Z39" s="505" t="n">
        <f aca="false">IFERROR(EDATE(X39,V39),"")</f>
        <v>46291</v>
      </c>
      <c r="AA39" s="505" t="n">
        <v>46107</v>
      </c>
      <c r="AB39" s="505" t="n">
        <v>46265</v>
      </c>
      <c r="AC39" s="506" t="s">
        <v>551</v>
      </c>
      <c r="AD39" s="507" t="s">
        <v>552</v>
      </c>
      <c r="AE39" s="507" t="s">
        <v>548</v>
      </c>
      <c r="AF39" s="507" t="s">
        <v>553</v>
      </c>
      <c r="AG39" s="508" t="b">
        <f aca="false">FALSE()</f>
        <v>0</v>
      </c>
      <c r="AH39" s="508" t="b">
        <f aca="false">FALSE()</f>
        <v>0</v>
      </c>
    </row>
    <row r="40" customFormat="false" ht="21.75" hidden="false" customHeight="true" outlineLevel="0" collapsed="false">
      <c r="A40" s="509" t="n">
        <v>36</v>
      </c>
      <c r="B40" s="482" t="s">
        <v>94</v>
      </c>
      <c r="C40" s="510" t="s">
        <v>554</v>
      </c>
      <c r="D40" s="483" t="s">
        <v>485</v>
      </c>
      <c r="E40" s="483" t="s">
        <v>419</v>
      </c>
      <c r="F40" s="511" t="b">
        <f aca="false">TRUE()</f>
        <v>1</v>
      </c>
      <c r="G40" s="483" t="b">
        <f aca="false">FALSE()</f>
        <v>0</v>
      </c>
      <c r="H40" s="512" t="n">
        <v>0</v>
      </c>
      <c r="I40" s="483" t="s">
        <v>404</v>
      </c>
      <c r="J40" s="485" t="n">
        <v>200</v>
      </c>
      <c r="K40" s="485" t="n">
        <f aca="false">IFERROR(J40,0)</f>
        <v>200</v>
      </c>
      <c r="L40" s="485"/>
      <c r="M40" s="486" t="n">
        <f aca="false">IFERROR(IF(D40="FB-Term",IF(A40=UBI_RTL1_SNo,UBI_RTL1_PrincOS,IF(A40=UBI_RTL2_SNo,UBI_RTL2_PrincOS,IF(A40=IB_TL_SNo,IB_TL_PrincOS,IF(A40=RBL_TL_SNo,RBL_TL_PrincOS,IF(A40=YBL_TL_SNo,YBL_TL_PrincOS,IF(A40=IDFC_TL_SNo,IDFC_TL_PrincOS,IF(A40=ICICI_TL_SNo,ICICI_TL_PrincOS,0))))))),IF(L40&lt;&gt;"",L40,IF(UseFullUtil,K40,0))),0)</f>
        <v>200</v>
      </c>
      <c r="N40" s="487" t="n">
        <f aca="false">IFERROR(M40/K40,0)</f>
        <v>1</v>
      </c>
      <c r="O40" s="485" t="n">
        <f aca="false">IFERROR(K40-M40,0)</f>
        <v>0</v>
      </c>
      <c r="P40" s="482" t="s">
        <v>445</v>
      </c>
      <c r="Q40" s="488" t="n">
        <v>0</v>
      </c>
      <c r="R40" s="489" t="n">
        <f aca="false">IFERROR(VLOOKUP(P40,'Instructions &amp; Assumptions'!$A$14:$B$27,2,FALSE())+Q40,Q40)</f>
        <v>0.095</v>
      </c>
      <c r="S40" s="483" t="s">
        <v>446</v>
      </c>
      <c r="T40" s="490" t="n">
        <v>0</v>
      </c>
      <c r="U40" s="483" t="s">
        <v>422</v>
      </c>
      <c r="V40" s="490" t="n">
        <v>6</v>
      </c>
      <c r="W40" s="490" t="n">
        <v>0</v>
      </c>
      <c r="X40" s="491" t="n">
        <v>46107</v>
      </c>
      <c r="Y40" s="491" t="n">
        <f aca="false">IFERROR(EDATE(X40,T40),"")</f>
        <v>46107</v>
      </c>
      <c r="Z40" s="491" t="n">
        <f aca="false">IFERROR(EDATE(X40,V40),"")</f>
        <v>46291</v>
      </c>
      <c r="AA40" s="491" t="n">
        <v>46107</v>
      </c>
      <c r="AB40" s="491" t="n">
        <v>46265</v>
      </c>
      <c r="AC40" s="492" t="s">
        <v>521</v>
      </c>
      <c r="AD40" s="493" t="s">
        <v>552</v>
      </c>
      <c r="AE40" s="493" t="s">
        <v>548</v>
      </c>
      <c r="AF40" s="493" t="s">
        <v>553</v>
      </c>
      <c r="AG40" s="494" t="b">
        <f aca="false">FALSE()</f>
        <v>0</v>
      </c>
      <c r="AH40" s="494" t="b">
        <f aca="false">FALSE()</f>
        <v>0</v>
      </c>
    </row>
    <row r="41" customFormat="false" ht="21.75" hidden="false" customHeight="true" outlineLevel="0" collapsed="false">
      <c r="A41" s="495" t="n">
        <v>37</v>
      </c>
      <c r="B41" s="362" t="s">
        <v>94</v>
      </c>
      <c r="C41" s="513" t="s">
        <v>555</v>
      </c>
      <c r="D41" s="496" t="s">
        <v>418</v>
      </c>
      <c r="E41" s="496" t="s">
        <v>419</v>
      </c>
      <c r="F41" s="514" t="b">
        <f aca="false">TRUE()</f>
        <v>1</v>
      </c>
      <c r="G41" s="496" t="b">
        <f aca="false">FALSE()</f>
        <v>0</v>
      </c>
      <c r="H41" s="515" t="n">
        <v>0</v>
      </c>
      <c r="I41" s="496" t="s">
        <v>404</v>
      </c>
      <c r="J41" s="499" t="n">
        <v>250</v>
      </c>
      <c r="K41" s="499" t="n">
        <f aca="false">IFERROR(J41,0)</f>
        <v>250</v>
      </c>
      <c r="L41" s="499"/>
      <c r="M41" s="500" t="n">
        <f aca="false">IFERROR(IF(D41="FB-Term",IF(A41=UBI_RTL1_SNo,UBI_RTL1_PrincOS,IF(A41=UBI_RTL2_SNo,UBI_RTL2_PrincOS,IF(A41=IB_TL_SNo,IB_TL_PrincOS,IF(A41=RBL_TL_SNo,RBL_TL_PrincOS,IF(A41=YBL_TL_SNo,YBL_TL_PrincOS,IF(A41=IDFC_TL_SNo,IDFC_TL_PrincOS,IF(A41=ICICI_TL_SNo,ICICI_TL_PrincOS,0))))))),IF(L41&lt;&gt;"",L41,IF(UseFullUtil,K41,0))),0)</f>
        <v>250</v>
      </c>
      <c r="N41" s="501" t="n">
        <f aca="false">IFERROR(M41/K41,0)</f>
        <v>1</v>
      </c>
      <c r="O41" s="499" t="n">
        <f aca="false">IFERROR(K41-M41,0)</f>
        <v>0</v>
      </c>
      <c r="P41" s="362" t="s">
        <v>445</v>
      </c>
      <c r="Q41" s="502" t="n">
        <v>0</v>
      </c>
      <c r="R41" s="503" t="n">
        <f aca="false">IFERROR(VLOOKUP(P41,'Instructions &amp; Assumptions'!$A$14:$B$27,2,FALSE())+Q41,Q41)</f>
        <v>0.095</v>
      </c>
      <c r="S41" s="496" t="s">
        <v>446</v>
      </c>
      <c r="T41" s="504" t="n">
        <v>0</v>
      </c>
      <c r="U41" s="496" t="s">
        <v>422</v>
      </c>
      <c r="V41" s="504" t="n">
        <v>12</v>
      </c>
      <c r="W41" s="504" t="n">
        <v>0</v>
      </c>
      <c r="X41" s="505" t="n">
        <v>46107</v>
      </c>
      <c r="Y41" s="505" t="n">
        <f aca="false">IFERROR(EDATE(X41,T41),"")</f>
        <v>46107</v>
      </c>
      <c r="Z41" s="505" t="n">
        <f aca="false">IFERROR(EDATE(X41,V41),"")</f>
        <v>46472</v>
      </c>
      <c r="AA41" s="505" t="n">
        <v>46107</v>
      </c>
      <c r="AB41" s="505" t="n">
        <v>46265</v>
      </c>
      <c r="AC41" s="506" t="s">
        <v>556</v>
      </c>
      <c r="AD41" s="507" t="s">
        <v>552</v>
      </c>
      <c r="AE41" s="507" t="s">
        <v>548</v>
      </c>
      <c r="AF41" s="507" t="s">
        <v>557</v>
      </c>
      <c r="AG41" s="508" t="b">
        <f aca="false">FALSE()</f>
        <v>0</v>
      </c>
      <c r="AH41" s="508" t="b">
        <f aca="false">FALSE()</f>
        <v>0</v>
      </c>
    </row>
    <row r="42" customFormat="false" ht="21.75" hidden="false" customHeight="true" outlineLevel="0" collapsed="false">
      <c r="A42" s="509" t="n">
        <v>38</v>
      </c>
      <c r="B42" s="482" t="s">
        <v>94</v>
      </c>
      <c r="C42" s="510" t="s">
        <v>558</v>
      </c>
      <c r="D42" s="483" t="s">
        <v>485</v>
      </c>
      <c r="E42" s="483" t="s">
        <v>419</v>
      </c>
      <c r="F42" s="511" t="b">
        <f aca="false">TRUE()</f>
        <v>1</v>
      </c>
      <c r="G42" s="483" t="b">
        <f aca="false">FALSE()</f>
        <v>0</v>
      </c>
      <c r="H42" s="512" t="n">
        <v>0</v>
      </c>
      <c r="I42" s="483" t="s">
        <v>404</v>
      </c>
      <c r="J42" s="485" t="n">
        <v>50</v>
      </c>
      <c r="K42" s="485" t="n">
        <f aca="false">IFERROR(J42,0)</f>
        <v>50</v>
      </c>
      <c r="L42" s="485"/>
      <c r="M42" s="486" t="n">
        <f aca="false">IFERROR(IF(D42="FB-Term",IF(A42=UBI_RTL1_SNo,UBI_RTL1_PrincOS,IF(A42=UBI_RTL2_SNo,UBI_RTL2_PrincOS,IF(A42=IB_TL_SNo,IB_TL_PrincOS,IF(A42=RBL_TL_SNo,RBL_TL_PrincOS,IF(A42=YBL_TL_SNo,YBL_TL_PrincOS,IF(A42=IDFC_TL_SNo,IDFC_TL_PrincOS,IF(A42=ICICI_TL_SNo,ICICI_TL_PrincOS,0))))))),IF(L42&lt;&gt;"",L42,IF(UseFullUtil,K42,0))),0)</f>
        <v>50</v>
      </c>
      <c r="N42" s="487" t="n">
        <f aca="false">IFERROR(M42/K42,0)</f>
        <v>1</v>
      </c>
      <c r="O42" s="485" t="n">
        <f aca="false">IFERROR(K42-M42,0)</f>
        <v>0</v>
      </c>
      <c r="P42" s="482" t="s">
        <v>559</v>
      </c>
      <c r="Q42" s="488" t="n">
        <v>0</v>
      </c>
      <c r="R42" s="488" t="n">
        <f aca="false">IFERROR(VLOOKUP(P42,'Instructions &amp; Assumptions'!$A$14:$B$27,2,FALSE())+Q42,Q42)</f>
        <v>0.0815</v>
      </c>
      <c r="S42" s="483" t="s">
        <v>406</v>
      </c>
      <c r="T42" s="490" t="n">
        <v>0</v>
      </c>
      <c r="U42" s="483" t="s">
        <v>458</v>
      </c>
      <c r="V42" s="490" t="n">
        <v>12</v>
      </c>
      <c r="W42" s="490" t="n">
        <v>0</v>
      </c>
      <c r="X42" s="491" t="n">
        <v>46107</v>
      </c>
      <c r="Y42" s="491" t="n">
        <f aca="false">IFERROR(EDATE(X42,T42),"")</f>
        <v>46107</v>
      </c>
      <c r="Z42" s="491" t="n">
        <f aca="false">IFERROR(EDATE(X42,V42),"")</f>
        <v>46472</v>
      </c>
      <c r="AA42" s="491" t="n">
        <v>46107</v>
      </c>
      <c r="AB42" s="491" t="n">
        <v>46265</v>
      </c>
      <c r="AC42" s="492" t="s">
        <v>493</v>
      </c>
      <c r="AD42" s="493" t="s">
        <v>552</v>
      </c>
      <c r="AE42" s="493" t="s">
        <v>548</v>
      </c>
      <c r="AF42" s="493" t="s">
        <v>560</v>
      </c>
      <c r="AG42" s="494" t="b">
        <f aca="false">FALSE()</f>
        <v>0</v>
      </c>
      <c r="AH42" s="494" t="b">
        <f aca="false">FALSE()</f>
        <v>0</v>
      </c>
    </row>
    <row r="43" customFormat="false" ht="21.75" hidden="false" customHeight="true" outlineLevel="0" collapsed="false">
      <c r="A43" s="495" t="n">
        <v>39</v>
      </c>
      <c r="B43" s="362" t="s">
        <v>94</v>
      </c>
      <c r="C43" s="513" t="s">
        <v>561</v>
      </c>
      <c r="D43" s="496" t="s">
        <v>485</v>
      </c>
      <c r="E43" s="496" t="s">
        <v>419</v>
      </c>
      <c r="F43" s="514" t="b">
        <f aca="false">TRUE()</f>
        <v>1</v>
      </c>
      <c r="G43" s="496" t="b">
        <f aca="false">FALSE()</f>
        <v>0</v>
      </c>
      <c r="H43" s="515" t="n">
        <v>0</v>
      </c>
      <c r="I43" s="496" t="s">
        <v>404</v>
      </c>
      <c r="J43" s="499" t="n">
        <v>50</v>
      </c>
      <c r="K43" s="499" t="n">
        <f aca="false">IFERROR(J43,0)</f>
        <v>50</v>
      </c>
      <c r="L43" s="499"/>
      <c r="M43" s="500" t="n">
        <f aca="false">IFERROR(IF(D43="FB-Term",IF(A43=UBI_RTL1_SNo,UBI_RTL1_PrincOS,IF(A43=UBI_RTL2_SNo,UBI_RTL2_PrincOS,IF(A43=IB_TL_SNo,IB_TL_PrincOS,IF(A43=RBL_TL_SNo,RBL_TL_PrincOS,IF(A43=YBL_TL_SNo,YBL_TL_PrincOS,IF(A43=IDFC_TL_SNo,IDFC_TL_PrincOS,IF(A43=ICICI_TL_SNo,ICICI_TL_PrincOS,0))))))),IF(L43&lt;&gt;"",L43,IF(UseFullUtil,K43,0))),0)</f>
        <v>50</v>
      </c>
      <c r="N43" s="501" t="n">
        <f aca="false">IFERROR(M43/K43,0)</f>
        <v>1</v>
      </c>
      <c r="O43" s="499" t="n">
        <f aca="false">IFERROR(K43-M43,0)</f>
        <v>0</v>
      </c>
      <c r="P43" s="362" t="s">
        <v>445</v>
      </c>
      <c r="Q43" s="502" t="n">
        <v>0</v>
      </c>
      <c r="R43" s="503" t="n">
        <f aca="false">IFERROR(VLOOKUP(P43,'Instructions &amp; Assumptions'!$A$14:$B$27,2,FALSE())+Q43,Q43)</f>
        <v>0.095</v>
      </c>
      <c r="S43" s="496" t="s">
        <v>446</v>
      </c>
      <c r="T43" s="504" t="n">
        <v>0</v>
      </c>
      <c r="U43" s="496" t="s">
        <v>422</v>
      </c>
      <c r="V43" s="504" t="n">
        <v>3</v>
      </c>
      <c r="W43" s="504" t="n">
        <v>0</v>
      </c>
      <c r="X43" s="505" t="n">
        <v>46107</v>
      </c>
      <c r="Y43" s="505" t="n">
        <f aca="false">IFERROR(EDATE(X43,T43),"")</f>
        <v>46107</v>
      </c>
      <c r="Z43" s="505" t="n">
        <f aca="false">IFERROR(EDATE(X43,V43),"")</f>
        <v>46199</v>
      </c>
      <c r="AA43" s="505" t="n">
        <v>46107</v>
      </c>
      <c r="AB43" s="505" t="n">
        <v>46265</v>
      </c>
      <c r="AC43" s="506" t="s">
        <v>493</v>
      </c>
      <c r="AD43" s="507" t="s">
        <v>552</v>
      </c>
      <c r="AE43" s="507" t="s">
        <v>548</v>
      </c>
      <c r="AF43" s="507" t="s">
        <v>562</v>
      </c>
      <c r="AG43" s="508" t="b">
        <f aca="false">FALSE()</f>
        <v>0</v>
      </c>
      <c r="AH43" s="508" t="b">
        <f aca="false">FALSE()</f>
        <v>0</v>
      </c>
    </row>
    <row r="44" customFormat="false" ht="21.75" hidden="false" customHeight="true" outlineLevel="0" collapsed="false">
      <c r="A44" s="509" t="n">
        <v>40</v>
      </c>
      <c r="B44" s="482" t="s">
        <v>94</v>
      </c>
      <c r="C44" s="482" t="s">
        <v>563</v>
      </c>
      <c r="D44" s="483" t="s">
        <v>457</v>
      </c>
      <c r="E44" s="483" t="s">
        <v>419</v>
      </c>
      <c r="F44" s="484" t="b">
        <f aca="false">FALSE()</f>
        <v>0</v>
      </c>
      <c r="G44" s="559" t="b">
        <f aca="false">TRUE()</f>
        <v>1</v>
      </c>
      <c r="H44" s="559" t="n">
        <v>3</v>
      </c>
      <c r="I44" s="483" t="s">
        <v>404</v>
      </c>
      <c r="J44" s="485" t="n">
        <v>50</v>
      </c>
      <c r="K44" s="485" t="n">
        <f aca="false">IFERROR(J44,0)</f>
        <v>50</v>
      </c>
      <c r="L44" s="485"/>
      <c r="M44" s="486" t="n">
        <f aca="false">IFERROR(IF(D44="FB-Term",IF(A44=UBI_RTL1_SNo,UBI_RTL1_PrincOS,IF(A44=UBI_RTL2_SNo,UBI_RTL2_PrincOS,IF(A44=IB_TL_SNo,IB_TL_PrincOS,IF(A44=RBL_TL_SNo,RBL_TL_PrincOS,IF(A44=YBL_TL_SNo,YBL_TL_PrincOS,IF(A44=IDFC_TL_SNo,IDFC_TL_PrincOS,IF(A44=ICICI_TL_SNo,ICICI_TL_PrincOS,0))))))),IF(L44&lt;&gt;"",L44,IF(UseFullUtil,K44,0))),0)</f>
        <v>50</v>
      </c>
      <c r="N44" s="487" t="n">
        <f aca="false">IFERROR(M44/K44,0)</f>
        <v>1</v>
      </c>
      <c r="O44" s="485" t="n">
        <f aca="false">IFERROR(K44-M44,0)</f>
        <v>0</v>
      </c>
      <c r="P44" s="482" t="s">
        <v>564</v>
      </c>
      <c r="Q44" s="488" t="n">
        <v>0.01</v>
      </c>
      <c r="R44" s="488" t="n">
        <f aca="false">IFERROR(VLOOKUP(P44,'Instructions &amp; Assumptions'!$A$14:$B$27,2,FALSE())+Q44,Q44)</f>
        <v>0.08</v>
      </c>
      <c r="S44" s="483" t="s">
        <v>406</v>
      </c>
      <c r="T44" s="490" t="n">
        <v>0</v>
      </c>
      <c r="U44" s="483" t="s">
        <v>458</v>
      </c>
      <c r="V44" s="490" t="n">
        <v>12</v>
      </c>
      <c r="W44" s="490" t="n">
        <v>0</v>
      </c>
      <c r="X44" s="491" t="n">
        <v>46107</v>
      </c>
      <c r="Y44" s="491" t="n">
        <f aca="false">IFERROR(EDATE(X44,T44),"")</f>
        <v>46107</v>
      </c>
      <c r="Z44" s="491" t="n">
        <f aca="false">IFERROR(EDATE(X44,V44),"")</f>
        <v>46472</v>
      </c>
      <c r="AA44" s="491" t="n">
        <v>46107</v>
      </c>
      <c r="AB44" s="491" t="n">
        <v>46265</v>
      </c>
      <c r="AC44" s="492" t="s">
        <v>565</v>
      </c>
      <c r="AD44" s="493" t="s">
        <v>566</v>
      </c>
      <c r="AE44" s="493" t="s">
        <v>548</v>
      </c>
      <c r="AF44" s="493" t="s">
        <v>567</v>
      </c>
      <c r="AG44" s="494" t="b">
        <f aca="false">FALSE()</f>
        <v>0</v>
      </c>
      <c r="AH44" s="494" t="b">
        <f aca="false">FALSE()</f>
        <v>0</v>
      </c>
    </row>
    <row r="45" customFormat="false" ht="21.75" hidden="false" customHeight="true" outlineLevel="0" collapsed="false">
      <c r="A45" s="495" t="n">
        <v>41</v>
      </c>
      <c r="B45" s="362" t="s">
        <v>94</v>
      </c>
      <c r="C45" s="513" t="s">
        <v>568</v>
      </c>
      <c r="D45" s="496" t="s">
        <v>418</v>
      </c>
      <c r="E45" s="496" t="s">
        <v>419</v>
      </c>
      <c r="F45" s="514" t="b">
        <f aca="false">TRUE()</f>
        <v>1</v>
      </c>
      <c r="G45" s="496" t="b">
        <f aca="false">FALSE()</f>
        <v>0</v>
      </c>
      <c r="H45" s="515" t="n">
        <v>0</v>
      </c>
      <c r="I45" s="496" t="s">
        <v>404</v>
      </c>
      <c r="J45" s="499" t="n">
        <v>50</v>
      </c>
      <c r="K45" s="499" t="n">
        <f aca="false">IFERROR(J45,0)</f>
        <v>50</v>
      </c>
      <c r="L45" s="499"/>
      <c r="M45" s="500" t="n">
        <f aca="false">IFERROR(IF(D45="FB-Term",IF(A45=UBI_RTL1_SNo,UBI_RTL1_PrincOS,IF(A45=UBI_RTL2_SNo,UBI_RTL2_PrincOS,IF(A45=IB_TL_SNo,IB_TL_PrincOS,IF(A45=RBL_TL_SNo,RBL_TL_PrincOS,IF(A45=YBL_TL_SNo,YBL_TL_PrincOS,IF(A45=IDFC_TL_SNo,IDFC_TL_PrincOS,IF(A45=ICICI_TL_SNo,ICICI_TL_PrincOS,0))))))),IF(L45&lt;&gt;"",L45,IF(UseFullUtil,K45,0))),0)</f>
        <v>50</v>
      </c>
      <c r="N45" s="501" t="n">
        <f aca="false">IFERROR(M45/K45,0)</f>
        <v>1</v>
      </c>
      <c r="O45" s="499" t="n">
        <f aca="false">IFERROR(K45-M45,0)</f>
        <v>0</v>
      </c>
      <c r="P45" s="362" t="s">
        <v>420</v>
      </c>
      <c r="Q45" s="502" t="n">
        <v>0</v>
      </c>
      <c r="R45" s="502" t="n">
        <f aca="false">IFERROR(VLOOKUP(P45,'Instructions &amp; Assumptions'!$A$14:$B$27,2,FALSE())+Q45,Q45)</f>
        <v>0</v>
      </c>
      <c r="S45" s="496" t="s">
        <v>446</v>
      </c>
      <c r="T45" s="504" t="n">
        <v>0</v>
      </c>
      <c r="U45" s="496" t="s">
        <v>422</v>
      </c>
      <c r="V45" s="504" t="n">
        <v>36</v>
      </c>
      <c r="W45" s="504" t="n">
        <v>0</v>
      </c>
      <c r="X45" s="505" t="n">
        <v>46107</v>
      </c>
      <c r="Y45" s="505" t="n">
        <f aca="false">IFERROR(EDATE(X45,T45),"")</f>
        <v>46107</v>
      </c>
      <c r="Z45" s="505" t="n">
        <f aca="false">IFERROR(EDATE(X45,V45),"")</f>
        <v>47203</v>
      </c>
      <c r="AA45" s="505" t="n">
        <v>46107</v>
      </c>
      <c r="AB45" s="505" t="n">
        <v>46265</v>
      </c>
      <c r="AC45" s="506" t="s">
        <v>569</v>
      </c>
      <c r="AD45" s="507" t="s">
        <v>570</v>
      </c>
      <c r="AE45" s="507" t="s">
        <v>548</v>
      </c>
      <c r="AF45" s="507" t="s">
        <v>571</v>
      </c>
      <c r="AG45" s="508" t="b">
        <f aca="false">FALSE()</f>
        <v>0</v>
      </c>
      <c r="AH45" s="508" t="b">
        <f aca="false">FALSE()</f>
        <v>0</v>
      </c>
    </row>
    <row r="46" customFormat="false" ht="21.75" hidden="false" customHeight="true" outlineLevel="0" collapsed="false">
      <c r="A46" s="560" t="n">
        <v>42</v>
      </c>
      <c r="B46" s="561" t="s">
        <v>95</v>
      </c>
      <c r="C46" s="561" t="s">
        <v>572</v>
      </c>
      <c r="D46" s="562" t="s">
        <v>402</v>
      </c>
      <c r="E46" s="562" t="s">
        <v>403</v>
      </c>
      <c r="F46" s="563" t="b">
        <f aca="false">FALSE()</f>
        <v>0</v>
      </c>
      <c r="G46" s="562" t="b">
        <f aca="false">FALSE()</f>
        <v>0</v>
      </c>
      <c r="H46" s="564" t="n">
        <v>1</v>
      </c>
      <c r="I46" s="562" t="s">
        <v>404</v>
      </c>
      <c r="J46" s="565" t="n">
        <v>840</v>
      </c>
      <c r="K46" s="565" t="n">
        <f aca="false">IFERROR(J46,0)</f>
        <v>840</v>
      </c>
      <c r="L46" s="565"/>
      <c r="M46" s="566" t="n">
        <f aca="false">IFERROR(IF(D46="FB-Term",IF(A46=UBI_RTL1_SNo,UBI_RTL1_PrincOS,IF(A46=UBI_RTL2_SNo,UBI_RTL2_PrincOS,IF(A46=IB_TL_SNo,IB_TL_PrincOS,IF(A46=RBL_TL_SNo,RBL_TL_PrincOS,IF(A46=YBL_TL_SNo,YBL_TL_PrincOS,IF(A46=IDFC_TL_SNo,IDFC_TL_PrincOS,IF(A46=ICICI_TL_SNo,ICICI_TL_PrincOS,0))))))),IF(L46&lt;&gt;"",L46,IF(UseFullUtil,K46,0))),0)</f>
        <v>840</v>
      </c>
      <c r="N46" s="567" t="n">
        <f aca="false">IFERROR(M46/K46,0)</f>
        <v>1</v>
      </c>
      <c r="O46" s="565" t="n">
        <f aca="false">IFERROR(K46-M46,0)</f>
        <v>0</v>
      </c>
      <c r="P46" s="561" t="s">
        <v>573</v>
      </c>
      <c r="Q46" s="568" t="n">
        <v>0.006</v>
      </c>
      <c r="R46" s="569" t="n">
        <f aca="false">IFERROR(VLOOKUP(P46,'Instructions &amp; Assumptions'!$A$14:$B$27,2,FALSE())+Q46,Q46)</f>
        <v>0.087</v>
      </c>
      <c r="S46" s="562" t="s">
        <v>406</v>
      </c>
      <c r="T46" s="570" t="n">
        <v>12</v>
      </c>
      <c r="U46" s="562" t="s">
        <v>407</v>
      </c>
      <c r="V46" s="570" t="n">
        <v>156</v>
      </c>
      <c r="W46" s="570" t="n">
        <v>48</v>
      </c>
      <c r="X46" s="571" t="n">
        <v>46108</v>
      </c>
      <c r="Y46" s="571" t="n">
        <v>46568</v>
      </c>
      <c r="Z46" s="571" t="n">
        <v>50860</v>
      </c>
      <c r="AA46" s="571" t="n">
        <v>46108</v>
      </c>
      <c r="AB46" s="571" t="n">
        <f aca="false">Z46</f>
        <v>50860</v>
      </c>
      <c r="AC46" s="572" t="s">
        <v>574</v>
      </c>
      <c r="AD46" s="573" t="s">
        <v>575</v>
      </c>
      <c r="AE46" s="573" t="s">
        <v>576</v>
      </c>
      <c r="AF46" s="573" t="s">
        <v>577</v>
      </c>
      <c r="AG46" s="574" t="b">
        <f aca="false">FALSE()</f>
        <v>0</v>
      </c>
      <c r="AH46" s="575" t="b">
        <f aca="false">TRUE()</f>
        <v>1</v>
      </c>
    </row>
    <row r="47" customFormat="false" ht="21.75" hidden="false" customHeight="true" outlineLevel="0" collapsed="false">
      <c r="A47" s="495" t="n">
        <v>43</v>
      </c>
      <c r="B47" s="362" t="s">
        <v>95</v>
      </c>
      <c r="C47" s="513" t="s">
        <v>578</v>
      </c>
      <c r="D47" s="496" t="s">
        <v>418</v>
      </c>
      <c r="E47" s="496" t="s">
        <v>419</v>
      </c>
      <c r="F47" s="514" t="b">
        <f aca="false">TRUE()</f>
        <v>1</v>
      </c>
      <c r="G47" s="496" t="b">
        <f aca="false">FALSE()</f>
        <v>0</v>
      </c>
      <c r="H47" s="515" t="n">
        <v>0</v>
      </c>
      <c r="I47" s="496" t="s">
        <v>404</v>
      </c>
      <c r="J47" s="499" t="n">
        <v>20</v>
      </c>
      <c r="K47" s="499" t="n">
        <f aca="false">IFERROR(J47,0)</f>
        <v>20</v>
      </c>
      <c r="L47" s="499"/>
      <c r="M47" s="500" t="n">
        <f aca="false">IFERROR(IF(D47="FB-Term",IF(A47=UBI_RTL1_SNo,UBI_RTL1_PrincOS,IF(A47=UBI_RTL2_SNo,UBI_RTL2_PrincOS,IF(A47=IB_TL_SNo,IB_TL_PrincOS,IF(A47=RBL_TL_SNo,RBL_TL_PrincOS,IF(A47=YBL_TL_SNo,YBL_TL_PrincOS,IF(A47=IDFC_TL_SNo,IDFC_TL_PrincOS,IF(A47=ICICI_TL_SNo,ICICI_TL_PrincOS,0))))))),IF(L47&lt;&gt;"",L47,IF(UseFullUtil,K47,0))),0)</f>
        <v>20</v>
      </c>
      <c r="N47" s="501" t="n">
        <f aca="false">IFERROR(M47/K47,0)</f>
        <v>1</v>
      </c>
      <c r="O47" s="499" t="n">
        <f aca="false">IFERROR(K47-M47,0)</f>
        <v>0</v>
      </c>
      <c r="P47" s="362" t="s">
        <v>420</v>
      </c>
      <c r="Q47" s="502" t="n">
        <v>0.0075</v>
      </c>
      <c r="R47" s="502" t="n">
        <f aca="false">IFERROR(VLOOKUP(P47,'Instructions &amp; Assumptions'!$A$14:$B$27,2,FALSE())+Q47,Q47)</f>
        <v>0.0075</v>
      </c>
      <c r="S47" s="496" t="s">
        <v>421</v>
      </c>
      <c r="T47" s="504" t="n">
        <v>0</v>
      </c>
      <c r="U47" s="496" t="s">
        <v>422</v>
      </c>
      <c r="V47" s="504" t="n">
        <v>36</v>
      </c>
      <c r="W47" s="504" t="n">
        <v>0</v>
      </c>
      <c r="X47" s="505" t="n">
        <v>46108</v>
      </c>
      <c r="Y47" s="505" t="n">
        <f aca="false">IFERROR(EDATE(X47,T47),"")</f>
        <v>46108</v>
      </c>
      <c r="Z47" s="505" t="n">
        <f aca="false">IFERROR(EDATE(X47,V47),"")</f>
        <v>47204</v>
      </c>
      <c r="AA47" s="505" t="n">
        <v>46108</v>
      </c>
      <c r="AB47" s="505" t="n">
        <f aca="false">EDATE(X47,V47)</f>
        <v>47204</v>
      </c>
      <c r="AC47" s="506" t="s">
        <v>544</v>
      </c>
      <c r="AD47" s="507" t="s">
        <v>579</v>
      </c>
      <c r="AE47" s="507" t="s">
        <v>576</v>
      </c>
      <c r="AF47" s="507" t="s">
        <v>580</v>
      </c>
      <c r="AG47" s="508" t="b">
        <f aca="false">TRUE()</f>
        <v>1</v>
      </c>
      <c r="AH47" s="508" t="b">
        <f aca="false">FALSE()</f>
        <v>0</v>
      </c>
    </row>
    <row r="48" customFormat="false" ht="21.75" hidden="false" customHeight="true" outlineLevel="0" collapsed="false">
      <c r="A48" s="576" t="n">
        <v>44</v>
      </c>
      <c r="B48" s="561" t="s">
        <v>95</v>
      </c>
      <c r="C48" s="577" t="s">
        <v>581</v>
      </c>
      <c r="D48" s="562" t="s">
        <v>418</v>
      </c>
      <c r="E48" s="562" t="s">
        <v>419</v>
      </c>
      <c r="F48" s="578" t="b">
        <f aca="false">TRUE()</f>
        <v>1</v>
      </c>
      <c r="G48" s="562" t="b">
        <f aca="false">FALSE()</f>
        <v>0</v>
      </c>
      <c r="H48" s="579" t="n">
        <v>0</v>
      </c>
      <c r="I48" s="562" t="s">
        <v>404</v>
      </c>
      <c r="J48" s="565" t="n">
        <v>20</v>
      </c>
      <c r="K48" s="565" t="n">
        <f aca="false">IFERROR(J48,0)</f>
        <v>20</v>
      </c>
      <c r="L48" s="565"/>
      <c r="M48" s="566" t="n">
        <f aca="false">IFERROR(IF(D48="FB-Term",IF(A48=UBI_RTL1_SNo,UBI_RTL1_PrincOS,IF(A48=UBI_RTL2_SNo,UBI_RTL2_PrincOS,IF(A48=IB_TL_SNo,IB_TL_PrincOS,IF(A48=RBL_TL_SNo,RBL_TL_PrincOS,IF(A48=YBL_TL_SNo,YBL_TL_PrincOS,IF(A48=IDFC_TL_SNo,IDFC_TL_PrincOS,IF(A48=ICICI_TL_SNo,ICICI_TL_PrincOS,0))))))),IF(L48&lt;&gt;"",L48,IF(UseFullUtil,K48,0))),0)</f>
        <v>20</v>
      </c>
      <c r="N48" s="567" t="n">
        <f aca="false">IFERROR(M48/K48,0)</f>
        <v>1</v>
      </c>
      <c r="O48" s="565" t="n">
        <f aca="false">IFERROR(K48-M48,0)</f>
        <v>0</v>
      </c>
      <c r="P48" s="561" t="s">
        <v>420</v>
      </c>
      <c r="Q48" s="568" t="n">
        <v>0.0075</v>
      </c>
      <c r="R48" s="568" t="n">
        <f aca="false">IFERROR(VLOOKUP(P48,'Instructions &amp; Assumptions'!$A$14:$B$27,2,FALSE())+Q48,Q48)</f>
        <v>0.0075</v>
      </c>
      <c r="S48" s="562" t="s">
        <v>421</v>
      </c>
      <c r="T48" s="570" t="n">
        <v>0</v>
      </c>
      <c r="U48" s="562" t="s">
        <v>422</v>
      </c>
      <c r="V48" s="570" t="n">
        <v>36</v>
      </c>
      <c r="W48" s="570" t="n">
        <v>0</v>
      </c>
      <c r="X48" s="571" t="n">
        <v>46108</v>
      </c>
      <c r="Y48" s="571" t="n">
        <f aca="false">IFERROR(EDATE(X48,T48),"")</f>
        <v>46108</v>
      </c>
      <c r="Z48" s="571" t="n">
        <f aca="false">IFERROR(EDATE(X48,V48),"")</f>
        <v>47204</v>
      </c>
      <c r="AA48" s="571" t="n">
        <v>46108</v>
      </c>
      <c r="AB48" s="571" t="n">
        <f aca="false">EDATE(X48,V48)</f>
        <v>47204</v>
      </c>
      <c r="AC48" s="572" t="s">
        <v>556</v>
      </c>
      <c r="AD48" s="573" t="s">
        <v>579</v>
      </c>
      <c r="AE48" s="573" t="s">
        <v>576</v>
      </c>
      <c r="AF48" s="573" t="s">
        <v>582</v>
      </c>
      <c r="AG48" s="574" t="b">
        <f aca="false">TRUE()</f>
        <v>1</v>
      </c>
      <c r="AH48" s="574" t="b">
        <f aca="false">FALSE()</f>
        <v>0</v>
      </c>
    </row>
    <row r="49" customFormat="false" ht="7.5" hidden="false" customHeight="true" outlineLevel="0" collapsed="false">
      <c r="A49" s="436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  <c r="AB49" s="436"/>
      <c r="AC49" s="436"/>
      <c r="AD49" s="436"/>
      <c r="AE49" s="436"/>
      <c r="AF49" s="436"/>
      <c r="AG49" s="436"/>
      <c r="AH49" s="436"/>
    </row>
    <row r="50" customFormat="false" ht="18" hidden="false" customHeight="true" outlineLevel="0" collapsed="false">
      <c r="A50" s="435" t="s">
        <v>583</v>
      </c>
      <c r="B50" s="435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</row>
    <row r="51" customFormat="false" ht="15" hidden="true" customHeight="true" outlineLevel="0" collapsed="false"/>
    <row r="52" customFormat="false" ht="15" hidden="true" customHeight="true" outlineLevel="0" collapsed="false"/>
    <row r="53" customFormat="false" ht="15" hidden="true" customHeight="true" outlineLevel="0" collapsed="false"/>
    <row r="54" customFormat="false" ht="15" hidden="true" customHeight="true" outlineLevel="0" collapsed="false"/>
    <row r="55" customFormat="false" ht="15" hidden="true" customHeight="true" outlineLevel="0" collapsed="false"/>
    <row r="56" customFormat="false" ht="15" hidden="true" customHeight="true" outlineLevel="0" collapsed="false"/>
    <row r="57" customFormat="false" ht="15" hidden="true" customHeight="true" outlineLevel="0" collapsed="false"/>
    <row r="58" customFormat="false" ht="15" hidden="true" customHeight="true" outlineLevel="0" collapsed="false"/>
    <row r="59" customFormat="false" ht="15" hidden="true" customHeight="true" outlineLevel="0" collapsed="false"/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10">
    <mergeCell ref="A1:AH1"/>
    <mergeCell ref="A2:AH2"/>
    <mergeCell ref="A3:F3"/>
    <mergeCell ref="G3:H3"/>
    <mergeCell ref="I3:O3"/>
    <mergeCell ref="P3:S3"/>
    <mergeCell ref="T3:W3"/>
    <mergeCell ref="X3:AB3"/>
    <mergeCell ref="AC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1" width="120.33"/>
    <col collapsed="false" customWidth="true" hidden="false" outlineLevel="0" max="8" min="3" style="1" width="16.67"/>
    <col collapsed="false" customWidth="true" hidden="false" outlineLevel="0" max="9" min="9" style="1" width="17.56"/>
  </cols>
  <sheetData>
    <row r="1" customFormat="false" ht="27.75" hidden="false" customHeight="true" outlineLevel="0" collapsed="false">
      <c r="A1" s="433" t="s">
        <v>584</v>
      </c>
      <c r="B1" s="433"/>
      <c r="C1" s="433"/>
      <c r="D1" s="433"/>
      <c r="E1" s="433"/>
      <c r="F1" s="433"/>
      <c r="G1" s="433"/>
      <c r="H1" s="433"/>
      <c r="I1" s="433"/>
    </row>
    <row r="2" customFormat="false" ht="15.75" hidden="false" customHeight="true" outlineLevel="0" collapsed="false">
      <c r="A2" s="435" t="s">
        <v>585</v>
      </c>
      <c r="B2" s="435"/>
      <c r="C2" s="435"/>
      <c r="D2" s="435"/>
      <c r="E2" s="435"/>
      <c r="F2" s="435"/>
      <c r="G2" s="435"/>
      <c r="H2" s="435"/>
      <c r="I2" s="435"/>
    </row>
    <row r="3" customFormat="false" ht="21.75" hidden="false" customHeight="true" outlineLevel="0" collapsed="false">
      <c r="A3" s="457" t="s">
        <v>586</v>
      </c>
      <c r="B3" s="413" t="s">
        <v>587</v>
      </c>
      <c r="C3" s="413" t="s">
        <v>588</v>
      </c>
      <c r="D3" s="413" t="s">
        <v>88</v>
      </c>
      <c r="E3" s="413" t="s">
        <v>589</v>
      </c>
      <c r="F3" s="413" t="s">
        <v>90</v>
      </c>
      <c r="G3" s="413" t="s">
        <v>590</v>
      </c>
      <c r="H3" s="413" t="s">
        <v>591</v>
      </c>
      <c r="I3" s="413" t="s">
        <v>592</v>
      </c>
    </row>
    <row r="4" customFormat="false" ht="21.75" hidden="false" customHeight="true" outlineLevel="0" collapsed="false">
      <c r="A4" s="580" t="s">
        <v>83</v>
      </c>
      <c r="B4" s="581" t="n">
        <v>1125</v>
      </c>
      <c r="C4" s="581" t="n">
        <v>236</v>
      </c>
      <c r="D4" s="581" t="n">
        <v>235</v>
      </c>
      <c r="E4" s="582" t="n">
        <v>200</v>
      </c>
      <c r="F4" s="581" t="n">
        <v>650</v>
      </c>
      <c r="G4" s="581" t="n">
        <v>530</v>
      </c>
      <c r="H4" s="583" t="n">
        <v>840</v>
      </c>
      <c r="I4" s="584" t="n">
        <f aca="false">B4+C4+D4+E4+F4+G4+H4</f>
        <v>3816</v>
      </c>
    </row>
    <row r="5" customFormat="false" ht="21.75" hidden="false" customHeight="true" outlineLevel="0" collapsed="false">
      <c r="A5" s="580" t="s">
        <v>593</v>
      </c>
      <c r="B5" s="581" t="n">
        <v>1125</v>
      </c>
      <c r="C5" s="581" t="n">
        <v>236</v>
      </c>
      <c r="D5" s="581" t="n">
        <v>235</v>
      </c>
      <c r="E5" s="582" t="n">
        <v>200</v>
      </c>
      <c r="F5" s="581" t="n">
        <v>650</v>
      </c>
      <c r="G5" s="581" t="n">
        <v>530</v>
      </c>
      <c r="H5" s="583" t="n">
        <v>840</v>
      </c>
      <c r="I5" s="584" t="n">
        <f aca="false">B5+C5+D5+E5+F5+G5+H5</f>
        <v>3816</v>
      </c>
    </row>
    <row r="6" customFormat="false" ht="21.75" hidden="false" customHeight="true" outlineLevel="0" collapsed="false">
      <c r="A6" s="580" t="s">
        <v>390</v>
      </c>
      <c r="B6" s="585" t="n">
        <v>45104</v>
      </c>
      <c r="C6" s="585" t="n">
        <v>45920</v>
      </c>
      <c r="D6" s="585" t="n">
        <v>44927</v>
      </c>
      <c r="E6" s="586" t="n">
        <v>45974</v>
      </c>
      <c r="F6" s="585" t="n">
        <v>46020</v>
      </c>
      <c r="G6" s="585" t="n">
        <v>46031</v>
      </c>
      <c r="H6" s="587" t="n">
        <v>46108</v>
      </c>
      <c r="I6" s="588"/>
    </row>
    <row r="7" customFormat="false" ht="21.75" hidden="false" customHeight="true" outlineLevel="0" collapsed="false">
      <c r="A7" s="580" t="s">
        <v>391</v>
      </c>
      <c r="B7" s="585" t="n">
        <v>46568</v>
      </c>
      <c r="C7" s="585" t="n">
        <v>46568</v>
      </c>
      <c r="D7" s="585" t="n">
        <v>46477</v>
      </c>
      <c r="E7" s="586" t="n">
        <v>46339</v>
      </c>
      <c r="F7" s="585" t="n">
        <v>46568</v>
      </c>
      <c r="G7" s="585" t="n">
        <v>46568</v>
      </c>
      <c r="H7" s="587" t="n">
        <v>46568</v>
      </c>
      <c r="I7" s="588"/>
    </row>
    <row r="8" customFormat="false" ht="21.75" hidden="false" customHeight="true" outlineLevel="0" collapsed="false">
      <c r="A8" s="580" t="s">
        <v>392</v>
      </c>
      <c r="B8" s="585" t="n">
        <v>50860</v>
      </c>
      <c r="C8" s="585" t="n">
        <v>50860</v>
      </c>
      <c r="D8" s="585" t="n">
        <f aca="false">INDEX('Facility Master'!Z:Z, MATCH(IB_TL_SNo,'Facility Master'!A:A,0))</f>
        <v>50770</v>
      </c>
      <c r="E8" s="586" t="n">
        <v>46339</v>
      </c>
      <c r="F8" s="585" t="n">
        <v>50860</v>
      </c>
      <c r="G8" s="585" t="n">
        <v>50860</v>
      </c>
      <c r="H8" s="587" t="n">
        <v>50860</v>
      </c>
      <c r="I8" s="588"/>
    </row>
    <row r="9" customFormat="false" ht="21.75" hidden="false" customHeight="true" outlineLevel="0" collapsed="false">
      <c r="A9" s="580" t="s">
        <v>594</v>
      </c>
      <c r="B9" s="589" t="n">
        <v>48</v>
      </c>
      <c r="C9" s="590" t="n">
        <f aca="false">INDEX('Facility Master'!T:T, MATCH(UBI_RTL2_SNo,'Facility Master'!A:A,0))</f>
        <v>21</v>
      </c>
      <c r="D9" s="590" t="n">
        <f aca="false">INDEX('Facility Master'!T:T, MATCH(IB_TL_SNo,'Facility Master'!A:A,0))</f>
        <v>50</v>
      </c>
      <c r="E9" s="591" t="n">
        <v>0</v>
      </c>
      <c r="F9" s="589" t="n">
        <v>12</v>
      </c>
      <c r="G9" s="589" t="n">
        <v>12</v>
      </c>
      <c r="H9" s="592" t="n">
        <v>12</v>
      </c>
      <c r="I9" s="300"/>
    </row>
    <row r="10" customFormat="false" ht="21.75" hidden="false" customHeight="true" outlineLevel="0" collapsed="false">
      <c r="A10" s="580" t="s">
        <v>595</v>
      </c>
      <c r="B10" s="589" t="s">
        <v>407</v>
      </c>
      <c r="C10" s="589" t="s">
        <v>407</v>
      </c>
      <c r="D10" s="589" t="s">
        <v>407</v>
      </c>
      <c r="E10" s="591" t="s">
        <v>596</v>
      </c>
      <c r="F10" s="589" t="s">
        <v>407</v>
      </c>
      <c r="G10" s="589" t="s">
        <v>407</v>
      </c>
      <c r="H10" s="592" t="s">
        <v>407</v>
      </c>
      <c r="I10" s="300"/>
    </row>
    <row r="11" customFormat="false" ht="21.75" hidden="false" customHeight="true" outlineLevel="0" collapsed="false">
      <c r="A11" s="580" t="s">
        <v>597</v>
      </c>
      <c r="B11" s="589" t="n">
        <v>192</v>
      </c>
      <c r="C11" s="589" t="n">
        <v>162</v>
      </c>
      <c r="D11" s="590" t="n">
        <f aca="false">INDEX('Facility Master'!V:V, MATCH(IB_TL_SNo,'Facility Master'!A:A,0))</f>
        <v>192</v>
      </c>
      <c r="E11" s="591" t="n">
        <v>12</v>
      </c>
      <c r="F11" s="589" t="n">
        <v>160</v>
      </c>
      <c r="G11" s="590" t="n">
        <f aca="false">INDEX('Facility Master'!V:V, MATCH(IDFC_TL_SNo,'Facility Master'!A:A,0))</f>
        <v>156</v>
      </c>
      <c r="H11" s="592" t="n">
        <v>156</v>
      </c>
      <c r="I11" s="300"/>
    </row>
    <row r="12" customFormat="false" ht="21.75" hidden="false" customHeight="true" outlineLevel="0" collapsed="false">
      <c r="A12" s="580" t="s">
        <v>598</v>
      </c>
      <c r="B12" s="589" t="n">
        <v>48</v>
      </c>
      <c r="C12" s="589" t="n">
        <v>48</v>
      </c>
      <c r="D12" s="589" t="n">
        <v>48</v>
      </c>
      <c r="E12" s="591" t="n">
        <v>1</v>
      </c>
      <c r="F12" s="589" t="n">
        <v>48</v>
      </c>
      <c r="G12" s="589" t="n">
        <v>48</v>
      </c>
      <c r="H12" s="592" t="n">
        <v>48</v>
      </c>
      <c r="I12" s="300"/>
    </row>
    <row r="13" customFormat="false" ht="21.75" hidden="false" customHeight="true" outlineLevel="0" collapsed="false">
      <c r="A13" s="580" t="s">
        <v>599</v>
      </c>
      <c r="B13" s="593" t="s">
        <v>600</v>
      </c>
      <c r="C13" s="593" t="s">
        <v>600</v>
      </c>
      <c r="D13" s="593" t="str">
        <f aca="false">INDEX('Facility Master'!P:P, MATCH(IB_TL_SNo,'Facility Master'!A:A,0))</f>
        <v>1Y MCLR (Indian Bank)</v>
      </c>
      <c r="E13" s="594" t="s">
        <v>601</v>
      </c>
      <c r="F13" s="593" t="s">
        <v>602</v>
      </c>
      <c r="G13" s="593" t="s">
        <v>602</v>
      </c>
      <c r="H13" s="595" t="s">
        <v>603</v>
      </c>
      <c r="I13" s="300"/>
    </row>
    <row r="14" customFormat="false" ht="21.75" hidden="false" customHeight="true" outlineLevel="0" collapsed="false">
      <c r="A14" s="580" t="s">
        <v>604</v>
      </c>
      <c r="B14" s="596" t="n">
        <v>0.005</v>
      </c>
      <c r="C14" s="596" t="n">
        <v>0.005</v>
      </c>
      <c r="D14" s="596" t="n">
        <v>0.005</v>
      </c>
      <c r="E14" s="597" t="n">
        <v>0</v>
      </c>
      <c r="F14" s="596" t="n">
        <v>0.0345</v>
      </c>
      <c r="G14" s="596" t="n">
        <v>0.0105</v>
      </c>
      <c r="H14" s="598" t="n">
        <v>0.006</v>
      </c>
      <c r="I14" s="300"/>
    </row>
    <row r="15" customFormat="false" ht="21.75" hidden="false" customHeight="true" outlineLevel="0" collapsed="false">
      <c r="A15" s="580" t="s">
        <v>605</v>
      </c>
      <c r="B15" s="599" t="n">
        <f aca="false">IFERROR(INDEX('Facility Master'!R:R,MATCH(UBI_RTL1_SNo,'Facility Master'!A:A,0)),0)</f>
        <v>0.094</v>
      </c>
      <c r="C15" s="599" t="n">
        <f aca="false">IFERROR(INDEX('Facility Master'!R:R,MATCH(UBI_RTL2_SNo,'Facility Master'!A:A,0)),0)</f>
        <v>0.091</v>
      </c>
      <c r="D15" s="599" t="n">
        <f aca="false">IFERROR(INDEX('Facility Master'!R:R,MATCH(IB_TL_SNo,'Facility Master'!A:A,0)),0)</f>
        <v>0.094</v>
      </c>
      <c r="E15" s="600" t="n">
        <f aca="false">IFERROR(INDEX('Facility Master'!R:R,MATCH(RBL_TL_SNo,'Facility Master'!A:A,0)),0)</f>
        <v>0.095</v>
      </c>
      <c r="F15" s="599" t="n">
        <f aca="false">IFERROR(INDEX('Facility Master'!R:R,MATCH(YBL_TL_SNo,'Facility Master'!A:A,0)),0)</f>
        <v>0.0955</v>
      </c>
      <c r="G15" s="599" t="n">
        <f aca="false">IFERROR(INDEX('Facility Master'!R:R,MATCH(IDFC_TL_SNo,'Facility Master'!A:A,0)),0)</f>
        <v>0.088</v>
      </c>
      <c r="H15" s="601" t="n">
        <f aca="false">IFERROR(INDEX('Facility Master'!R:R,MATCH(ICICI_TL_SNo,'Facility Master'!A:A,0)),0)</f>
        <v>0.087</v>
      </c>
      <c r="I15" s="602" t="n">
        <f aca="false">SUMPRODUCT(B4:H4,B15:H15)/I4</f>
        <v>0.0917481656184486</v>
      </c>
    </row>
    <row r="16" customFormat="false" ht="21.75" hidden="false" customHeight="true" outlineLevel="0" collapsed="false">
      <c r="A16" s="580" t="s">
        <v>385</v>
      </c>
      <c r="B16" s="589" t="s">
        <v>406</v>
      </c>
      <c r="C16" s="589" t="s">
        <v>406</v>
      </c>
      <c r="D16" s="589" t="s">
        <v>406</v>
      </c>
      <c r="E16" s="591" t="s">
        <v>601</v>
      </c>
      <c r="F16" s="589" t="s">
        <v>406</v>
      </c>
      <c r="G16" s="589" t="s">
        <v>406</v>
      </c>
      <c r="H16" s="592" t="s">
        <v>406</v>
      </c>
      <c r="I16" s="300"/>
    </row>
    <row r="17" customFormat="false" ht="21.75" hidden="false" customHeight="true" outlineLevel="0" collapsed="false">
      <c r="A17" s="580" t="s">
        <v>397</v>
      </c>
      <c r="B17" s="593" t="s">
        <v>606</v>
      </c>
      <c r="C17" s="593" t="s">
        <v>606</v>
      </c>
      <c r="D17" s="593" t="s">
        <v>607</v>
      </c>
      <c r="E17" s="594" t="s">
        <v>608</v>
      </c>
      <c r="F17" s="593" t="s">
        <v>609</v>
      </c>
      <c r="G17" s="593" t="s">
        <v>610</v>
      </c>
      <c r="H17" s="595" t="s">
        <v>611</v>
      </c>
      <c r="I17" s="300"/>
    </row>
    <row r="18" customFormat="false" ht="24" hidden="false" customHeight="true" outlineLevel="0" collapsed="false">
      <c r="A18" s="603" t="s">
        <v>612</v>
      </c>
      <c r="B18" s="584" t="n">
        <f aca="false">SUM(B4:H4)</f>
        <v>3816</v>
      </c>
      <c r="C18" s="300" t="s">
        <v>314</v>
      </c>
      <c r="D18" s="300" t="s">
        <v>613</v>
      </c>
      <c r="E18" s="300" t="s">
        <v>614</v>
      </c>
      <c r="F18" s="300" t="s">
        <v>615</v>
      </c>
      <c r="G18" s="602" t="n">
        <f aca="false">SUMPRODUCT(B4:H4,B15:H15)/SUM(B4:H4)</f>
        <v>0.0917481656184486</v>
      </c>
      <c r="H18" s="300"/>
      <c r="I18" s="300"/>
    </row>
    <row r="19" customFormat="false" ht="9.75" hidden="false" customHeight="true" outlineLevel="0" collapsed="false">
      <c r="A19" s="437"/>
      <c r="B19" s="437"/>
      <c r="C19" s="437"/>
      <c r="D19" s="437"/>
      <c r="E19" s="437"/>
      <c r="F19" s="437"/>
      <c r="G19" s="437"/>
      <c r="H19" s="437"/>
      <c r="I19" s="437"/>
    </row>
    <row r="20" customFormat="false" ht="21.75" hidden="false" customHeight="true" outlineLevel="0" collapsed="false">
      <c r="A20" s="604" t="s">
        <v>616</v>
      </c>
      <c r="B20" s="604"/>
      <c r="C20" s="604"/>
      <c r="D20" s="604"/>
      <c r="E20" s="604"/>
      <c r="F20" s="604"/>
      <c r="G20" s="604"/>
      <c r="H20" s="604"/>
      <c r="I20" s="604"/>
    </row>
    <row r="21" customFormat="false" ht="19.5" hidden="false" customHeight="true" outlineLevel="0" collapsed="false">
      <c r="A21" s="605" t="s">
        <v>587</v>
      </c>
      <c r="B21" s="606" t="s">
        <v>617</v>
      </c>
      <c r="C21" s="607" t="s">
        <v>167</v>
      </c>
      <c r="D21" s="607" t="s">
        <v>167</v>
      </c>
      <c r="E21" s="607" t="s">
        <v>167</v>
      </c>
      <c r="F21" s="607" t="s">
        <v>167</v>
      </c>
      <c r="G21" s="607" t="s">
        <v>167</v>
      </c>
      <c r="H21" s="607" t="s">
        <v>167</v>
      </c>
      <c r="I21" s="607" t="s">
        <v>167</v>
      </c>
    </row>
    <row r="22" customFormat="false" ht="19.5" hidden="false" customHeight="true" outlineLevel="0" collapsed="false">
      <c r="A22" s="608" t="s">
        <v>588</v>
      </c>
      <c r="B22" s="606" t="s">
        <v>618</v>
      </c>
      <c r="C22" s="607" t="s">
        <v>167</v>
      </c>
      <c r="D22" s="607" t="s">
        <v>167</v>
      </c>
      <c r="E22" s="607" t="s">
        <v>167</v>
      </c>
      <c r="F22" s="607" t="s">
        <v>167</v>
      </c>
      <c r="G22" s="607" t="s">
        <v>167</v>
      </c>
      <c r="H22" s="607" t="s">
        <v>167</v>
      </c>
      <c r="I22" s="607" t="s">
        <v>167</v>
      </c>
    </row>
    <row r="23" customFormat="false" ht="19.5" hidden="false" customHeight="true" outlineLevel="0" collapsed="false">
      <c r="A23" s="609" t="s">
        <v>619</v>
      </c>
      <c r="B23" s="610" t="s">
        <v>620</v>
      </c>
      <c r="C23" s="611" t="s">
        <v>167</v>
      </c>
      <c r="D23" s="611" t="s">
        <v>167</v>
      </c>
      <c r="E23" s="611" t="s">
        <v>167</v>
      </c>
      <c r="F23" s="611" t="s">
        <v>167</v>
      </c>
      <c r="G23" s="611" t="s">
        <v>167</v>
      </c>
      <c r="H23" s="611" t="s">
        <v>167</v>
      </c>
      <c r="I23" s="611" t="s">
        <v>167</v>
      </c>
    </row>
    <row r="24" customFormat="false" ht="19.5" hidden="false" customHeight="true" outlineLevel="0" collapsed="false">
      <c r="A24" s="609" t="s">
        <v>621</v>
      </c>
      <c r="B24" s="610" t="s">
        <v>622</v>
      </c>
      <c r="C24" s="611" t="s">
        <v>167</v>
      </c>
      <c r="D24" s="611" t="s">
        <v>167</v>
      </c>
      <c r="E24" s="611" t="s">
        <v>167</v>
      </c>
      <c r="F24" s="611" t="s">
        <v>167</v>
      </c>
      <c r="G24" s="611" t="s">
        <v>167</v>
      </c>
      <c r="H24" s="611" t="s">
        <v>167</v>
      </c>
      <c r="I24" s="611" t="s">
        <v>167</v>
      </c>
    </row>
    <row r="25" customFormat="false" ht="19.5" hidden="false" customHeight="true" outlineLevel="0" collapsed="false">
      <c r="A25" s="609" t="s">
        <v>623</v>
      </c>
      <c r="B25" s="610" t="s">
        <v>624</v>
      </c>
      <c r="C25" s="611" t="s">
        <v>167</v>
      </c>
      <c r="D25" s="611" t="s">
        <v>167</v>
      </c>
      <c r="E25" s="611" t="s">
        <v>167</v>
      </c>
      <c r="F25" s="611" t="s">
        <v>167</v>
      </c>
      <c r="G25" s="611" t="s">
        <v>167</v>
      </c>
      <c r="H25" s="611" t="s">
        <v>167</v>
      </c>
      <c r="I25" s="611" t="s">
        <v>167</v>
      </c>
    </row>
    <row r="26" customFormat="false" ht="19.5" hidden="false" customHeight="true" outlineLevel="0" collapsed="false">
      <c r="A26" s="609" t="s">
        <v>625</v>
      </c>
      <c r="B26" s="610" t="s">
        <v>626</v>
      </c>
      <c r="C26" s="611" t="s">
        <v>167</v>
      </c>
      <c r="D26" s="611" t="s">
        <v>167</v>
      </c>
      <c r="E26" s="611" t="s">
        <v>167</v>
      </c>
      <c r="F26" s="611" t="s">
        <v>167</v>
      </c>
      <c r="G26" s="611" t="s">
        <v>167</v>
      </c>
      <c r="H26" s="611" t="s">
        <v>167</v>
      </c>
      <c r="I26" s="611" t="s">
        <v>167</v>
      </c>
    </row>
    <row r="27" customFormat="false" ht="19.5" hidden="false" customHeight="true" outlineLevel="0" collapsed="false">
      <c r="A27" s="609" t="s">
        <v>627</v>
      </c>
      <c r="B27" s="610" t="s">
        <v>628</v>
      </c>
      <c r="C27" s="611" t="s">
        <v>167</v>
      </c>
      <c r="D27" s="611" t="s">
        <v>167</v>
      </c>
      <c r="E27" s="611" t="s">
        <v>167</v>
      </c>
      <c r="F27" s="611" t="s">
        <v>167</v>
      </c>
      <c r="G27" s="611" t="s">
        <v>167</v>
      </c>
      <c r="H27" s="611" t="s">
        <v>167</v>
      </c>
      <c r="I27" s="611" t="s">
        <v>167</v>
      </c>
    </row>
    <row r="28" customFormat="false" ht="14.25" hidden="true" customHeight="true" outlineLevel="0" collapsed="false"/>
    <row r="29" customFormat="false" ht="14.25" hidden="true" customHeight="true" outlineLevel="0" collapsed="false"/>
    <row r="30" customFormat="false" ht="14.25" hidden="true" customHeight="true" outlineLevel="0" collapsed="false"/>
    <row r="31" customFormat="false" ht="14.25" hidden="true" customHeight="true" outlineLevel="0" collapsed="false"/>
    <row r="32" customFormat="false" ht="14.25" hidden="true" customHeight="true" outlineLevel="0" collapsed="false"/>
    <row r="33" customFormat="false" ht="14.25" hidden="true" customHeight="true" outlineLevel="0" collapsed="false"/>
    <row r="34" customFormat="false" ht="14.25" hidden="true" customHeight="true" outlineLevel="0" collapsed="false"/>
    <row r="35" customFormat="false" ht="14.25" hidden="true" customHeight="true" outlineLevel="0" collapsed="false"/>
    <row r="36" customFormat="false" ht="14.25" hidden="true" customHeight="true" outlineLevel="0" collapsed="false"/>
    <row r="37" customFormat="false" ht="14.25" hidden="true" customHeight="true" outlineLevel="0" collapsed="false"/>
    <row r="38" customFormat="false" ht="14.25" hidden="true" customHeight="true" outlineLevel="0" collapsed="false"/>
    <row r="39" customFormat="false" ht="14.25" hidden="true" customHeight="true" outlineLevel="0" collapsed="false"/>
    <row r="40" customFormat="false" ht="14.25" hidden="true" customHeight="true" outlineLevel="0" collapsed="false"/>
    <row r="41" customFormat="false" ht="14.25" hidden="true" customHeight="true" outlineLevel="0" collapsed="false"/>
    <row r="42" customFormat="false" ht="14.25" hidden="true" customHeight="true" outlineLevel="0" collapsed="false"/>
    <row r="43" customFormat="false" ht="14.25" hidden="true" customHeight="true" outlineLevel="0" collapsed="false"/>
    <row r="44" customFormat="false" ht="14.25" hidden="true" customHeight="true" outlineLevel="0" collapsed="false"/>
    <row r="45" customFormat="false" ht="14.25" hidden="true" customHeight="true" outlineLevel="0" collapsed="false"/>
    <row r="46" customFormat="false" ht="14.25" hidden="true" customHeight="true" outlineLevel="0" collapsed="false"/>
    <row r="47" customFormat="false" ht="14.25" hidden="true" customHeight="true" outlineLevel="0" collapsed="false"/>
    <row r="48" customFormat="false" ht="14.25" hidden="true" customHeight="true" outlineLevel="0" collapsed="false"/>
    <row r="49" customFormat="false" ht="14.25" hidden="true" customHeight="true" outlineLevel="0" collapsed="false"/>
    <row r="50" customFormat="false" ht="14.25" hidden="true" customHeight="true" outlineLevel="0" collapsed="false"/>
    <row r="51" customFormat="false" ht="14.25" hidden="true" customHeight="true" outlineLevel="0" collapsed="false"/>
    <row r="52" customFormat="false" ht="14.25" hidden="true" customHeight="true" outlineLevel="0" collapsed="false"/>
    <row r="53" customFormat="false" ht="14.25" hidden="true" customHeight="true" outlineLevel="0" collapsed="false"/>
    <row r="54" customFormat="false" ht="14.25" hidden="true" customHeight="true" outlineLevel="0" collapsed="false"/>
    <row r="55" customFormat="false" ht="14.25" hidden="true" customHeight="true" outlineLevel="0" collapsed="false"/>
    <row r="56" customFormat="false" ht="14.25" hidden="true" customHeight="true" outlineLevel="0" collapsed="false"/>
    <row r="57" customFormat="false" ht="14.25" hidden="true" customHeight="true" outlineLevel="0" collapsed="false"/>
    <row r="58" customFormat="false" ht="14.25" hidden="true" customHeight="true" outlineLevel="0" collapsed="false"/>
    <row r="59" customFormat="false" ht="14.25" hidden="true" customHeight="true" outlineLevel="0" collapsed="false"/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9" activeCellId="0" sqref="A1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16.67"/>
    <col collapsed="false" customWidth="true" hidden="false" outlineLevel="0" max="3" min="3" style="1" width="37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7.44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9.21"/>
    <col collapsed="false" customWidth="true" hidden="false" outlineLevel="0" max="10" min="10" style="1" width="12"/>
    <col collapsed="false" customWidth="true" hidden="false" outlineLevel="0" max="11" min="11" style="1" width="20.33"/>
    <col collapsed="false" customWidth="true" hidden="false" outlineLevel="0" max="12" min="12" style="1" width="10.2"/>
    <col collapsed="false" customWidth="true" hidden="false" outlineLevel="0" max="14" min="13" style="1" width="13.88"/>
  </cols>
  <sheetData>
    <row r="1" customFormat="false" ht="27.75" hidden="false" customHeight="true" outlineLevel="0" collapsed="false">
      <c r="A1" s="340" t="s">
        <v>629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</row>
    <row r="2" customFormat="false" ht="15.75" hidden="false" customHeight="true" outlineLevel="0" collapsed="false">
      <c r="A2" s="612" t="s">
        <v>630</v>
      </c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</row>
    <row r="3" customFormat="false" ht="24" hidden="false" customHeight="true" outlineLevel="0" collapsed="false">
      <c r="A3" s="441" t="s">
        <v>370</v>
      </c>
      <c r="B3" s="440" t="s">
        <v>82</v>
      </c>
      <c r="C3" s="440" t="s">
        <v>371</v>
      </c>
      <c r="D3" s="441" t="s">
        <v>119</v>
      </c>
      <c r="E3" s="441" t="s">
        <v>631</v>
      </c>
      <c r="F3" s="441" t="s">
        <v>632</v>
      </c>
      <c r="G3" s="441" t="s">
        <v>633</v>
      </c>
      <c r="H3" s="441" t="s">
        <v>380</v>
      </c>
      <c r="I3" s="441" t="s">
        <v>381</v>
      </c>
      <c r="J3" s="441" t="s">
        <v>159</v>
      </c>
      <c r="K3" s="441" t="s">
        <v>382</v>
      </c>
      <c r="L3" s="441" t="s">
        <v>383</v>
      </c>
      <c r="M3" s="441" t="s">
        <v>384</v>
      </c>
      <c r="N3" s="441" t="s">
        <v>634</v>
      </c>
    </row>
    <row r="4" customFormat="false" ht="19.5" hidden="false" customHeight="true" outlineLevel="0" collapsed="false">
      <c r="A4" s="613" t="n">
        <f aca="false">IFERROR('Facility Master'!A13,"")</f>
        <v>9</v>
      </c>
      <c r="B4" s="614" t="str">
        <f aca="false">IFERROR('Facility Master'!B13,"")</f>
        <v>RBL Bank</v>
      </c>
      <c r="C4" s="615" t="str">
        <f aca="false">IFERROR('Facility Master'!C13,"")</f>
        <v>FDOD (Overdraft against FD)</v>
      </c>
      <c r="D4" s="616" t="str">
        <f aca="false">IFERROR('Facility Master'!D13,"")</f>
        <v>FB-FDbacked</v>
      </c>
      <c r="E4" s="616" t="str">
        <f aca="false">IFERROR(IF('Facility Master'!F13,"Sub-limit","Standalone"),"")</f>
        <v>Standalone</v>
      </c>
      <c r="F4" s="613" t="str">
        <f aca="false">IFERROR('Facility Master'!I13,"")</f>
        <v>INR</v>
      </c>
      <c r="G4" s="617" t="n">
        <f aca="false">IFERROR('Facility Master'!K13,0)</f>
        <v>100</v>
      </c>
      <c r="H4" s="617" t="n">
        <f aca="false">IFERROR('Facility Master'!M13,0)</f>
        <v>100</v>
      </c>
      <c r="I4" s="618" t="n">
        <f aca="false">IFERROR('Facility Master'!N13,0)</f>
        <v>1</v>
      </c>
      <c r="J4" s="619" t="n">
        <f aca="false">IFERROR('Facility Master'!O13,0)</f>
        <v>0</v>
      </c>
      <c r="K4" s="615" t="str">
        <f aca="false">IFERROR('Facility Master'!P13,"")</f>
        <v>To be decided</v>
      </c>
      <c r="L4" s="620" t="n">
        <f aca="false">IFERROR('Facility Master'!Q13,0)</f>
        <v>0</v>
      </c>
      <c r="M4" s="621" t="n">
        <f aca="false">IFERROR('Facility Master'!R13,0)</f>
        <v>0.095</v>
      </c>
      <c r="N4" s="622" t="n">
        <f aca="false">IFERROR('Facility Master'!AB13,"")</f>
        <v>46265</v>
      </c>
    </row>
    <row r="5" customFormat="false" ht="19.5" hidden="false" customHeight="true" outlineLevel="0" collapsed="false">
      <c r="A5" s="623" t="n">
        <f aca="false">IFERROR('Facility Master'!A19,"")</f>
        <v>15</v>
      </c>
      <c r="B5" s="624" t="str">
        <f aca="false">IFERROR('Facility Master'!B19,"")</f>
        <v>ICICI Bank</v>
      </c>
      <c r="C5" s="625" t="str">
        <f aca="false">IFERROR('Facility Master'!C19,"")</f>
        <v>Cash Credit (WC)</v>
      </c>
      <c r="D5" s="626" t="str">
        <f aca="false">IFERROR('Facility Master'!D19,"")</f>
        <v>FB</v>
      </c>
      <c r="E5" s="626" t="str">
        <f aca="false">IFERROR(IF('Facility Master'!F19,"Sub-limit","Standalone"),"")</f>
        <v>Standalone</v>
      </c>
      <c r="F5" s="623" t="str">
        <f aca="false">IFERROR('Facility Master'!I19,"")</f>
        <v>INR</v>
      </c>
      <c r="G5" s="627" t="n">
        <f aca="false">IFERROR('Facility Master'!K19,0)</f>
        <v>100</v>
      </c>
      <c r="H5" s="627" t="n">
        <f aca="false">IFERROR('Facility Master'!M19,0)</f>
        <v>100</v>
      </c>
      <c r="I5" s="628" t="n">
        <f aca="false">IFERROR('Facility Master'!N19,0)</f>
        <v>1</v>
      </c>
      <c r="J5" s="629" t="n">
        <f aca="false">IFERROR('Facility Master'!O19,0)</f>
        <v>0</v>
      </c>
      <c r="K5" s="625" t="str">
        <f aca="false">IFERROR('Facility Master'!P19,"")</f>
        <v>6M I-MCLR (ICICI)</v>
      </c>
      <c r="L5" s="630" t="n">
        <f aca="false">IFERROR('Facility Master'!Q19,0)</f>
        <v>0.002</v>
      </c>
      <c r="M5" s="631" t="n">
        <f aca="false">IFERROR('Facility Master'!R19,0)</f>
        <v>0.085</v>
      </c>
      <c r="N5" s="632" t="n">
        <f aca="false">IFERROR('Facility Master'!AB19,"")</f>
        <v>46421</v>
      </c>
    </row>
    <row r="6" customFormat="false" ht="19.5" hidden="false" customHeight="true" outlineLevel="0" collapsed="false">
      <c r="A6" s="633" t="n">
        <f aca="false">IFERROR('Facility Master'!A20,"")</f>
        <v>16</v>
      </c>
      <c r="B6" s="357" t="str">
        <f aca="false">IFERROR('Facility Master'!B20,"")</f>
        <v>ICICI Bank</v>
      </c>
      <c r="C6" s="357" t="str">
        <f aca="false">IFERROR('Facility Master'!C20,"")</f>
        <v>WCDL (sub-limit of CC)</v>
      </c>
      <c r="D6" s="634" t="str">
        <f aca="false">IFERROR('Facility Master'!D20,"")</f>
        <v>FB</v>
      </c>
      <c r="E6" s="634" t="str">
        <f aca="false">IFERROR(IF('Facility Master'!F20,"Sub-limit","Standalone"),"")</f>
        <v>Sub-limit</v>
      </c>
      <c r="F6" s="633" t="str">
        <f aca="false">IFERROR('Facility Master'!I20,"")</f>
        <v>INR</v>
      </c>
      <c r="G6" s="635" t="n">
        <f aca="false">IFERROR('Facility Master'!K20,0)</f>
        <v>100</v>
      </c>
      <c r="H6" s="635" t="n">
        <f aca="false">IFERROR('Facility Master'!M20,0)</f>
        <v>100</v>
      </c>
      <c r="I6" s="636" t="n">
        <f aca="false">IFERROR('Facility Master'!N20,0)</f>
        <v>1</v>
      </c>
      <c r="J6" s="637" t="n">
        <f aca="false">IFERROR('Facility Master'!O20,0)</f>
        <v>0</v>
      </c>
      <c r="K6" s="357" t="str">
        <f aca="false">IFERROR('Facility Master'!P20,"")</f>
        <v>Repo Rate</v>
      </c>
      <c r="L6" s="386" t="n">
        <f aca="false">IFERROR('Facility Master'!Q20,0)</f>
        <v>0</v>
      </c>
      <c r="M6" s="638" t="n">
        <f aca="false">IFERROR('Facility Master'!R20,0)</f>
        <v>0.0525</v>
      </c>
      <c r="N6" s="639" t="n">
        <f aca="false">IFERROR('Facility Master'!AB20,"")</f>
        <v>46421</v>
      </c>
    </row>
    <row r="7" customFormat="false" ht="19.5" hidden="false" customHeight="true" outlineLevel="0" collapsed="false">
      <c r="A7" s="640" t="n">
        <f aca="false">IFERROR('Facility Master'!A24,"")</f>
        <v>20</v>
      </c>
      <c r="B7" s="641" t="str">
        <f aca="false">IFERROR('Facility Master'!B24,"")</f>
        <v>HSBC</v>
      </c>
      <c r="C7" s="642" t="str">
        <f aca="false">IFERROR('Facility Master'!C24,"")</f>
        <v>Working Capital Loan (Uncommitted, sub of #1)</v>
      </c>
      <c r="D7" s="643" t="str">
        <f aca="false">IFERROR('Facility Master'!D24,"")</f>
        <v>FB</v>
      </c>
      <c r="E7" s="643" t="str">
        <f aca="false">IFERROR(IF('Facility Master'!F24,"Sub-limit","Standalone"),"")</f>
        <v>Sub-limit</v>
      </c>
      <c r="F7" s="640" t="str">
        <f aca="false">IFERROR('Facility Master'!I24,"")</f>
        <v>INR</v>
      </c>
      <c r="G7" s="644" t="n">
        <f aca="false">IFERROR('Facility Master'!K24,0)</f>
        <v>26.08</v>
      </c>
      <c r="H7" s="644" t="n">
        <f aca="false">IFERROR('Facility Master'!M24,0)</f>
        <v>26.08</v>
      </c>
      <c r="I7" s="645" t="n">
        <f aca="false">IFERROR('Facility Master'!N24,0)</f>
        <v>1</v>
      </c>
      <c r="J7" s="646" t="n">
        <f aca="false">IFERROR('Facility Master'!O24,0)</f>
        <v>0</v>
      </c>
      <c r="K7" s="642" t="str">
        <f aca="false">IFERROR('Facility Master'!P24,"")</f>
        <v>Mutually agreed</v>
      </c>
      <c r="L7" s="647" t="n">
        <f aca="false">IFERROR('Facility Master'!Q24,0)</f>
        <v>0</v>
      </c>
      <c r="M7" s="648" t="n">
        <f aca="false">IFERROR('Facility Master'!R24,0)</f>
        <v>0.09</v>
      </c>
      <c r="N7" s="649" t="n">
        <f aca="false">IFERROR('Facility Master'!AB24,"")</f>
        <v>46265</v>
      </c>
    </row>
    <row r="8" customFormat="false" ht="19.5" hidden="false" customHeight="true" outlineLevel="0" collapsed="false">
      <c r="A8" s="633" t="n">
        <f aca="false">IFERROR('Facility Master'!A25,"")</f>
        <v>21</v>
      </c>
      <c r="B8" s="357" t="str">
        <f aca="false">IFERROR('Facility Master'!B25,"")</f>
        <v>HSBC</v>
      </c>
      <c r="C8" s="357" t="str">
        <f aca="false">IFERROR('Facility Master'!C25,"")</f>
        <v>Overdraft (Uncommitted, sub of WCL)</v>
      </c>
      <c r="D8" s="634" t="str">
        <f aca="false">IFERROR('Facility Master'!D25,"")</f>
        <v>FB</v>
      </c>
      <c r="E8" s="634" t="str">
        <f aca="false">IFERROR(IF('Facility Master'!F25,"Sub-limit","Standalone"),"")</f>
        <v>Sub-limit</v>
      </c>
      <c r="F8" s="633" t="str">
        <f aca="false">IFERROR('Facility Master'!I25,"")</f>
        <v>INR</v>
      </c>
      <c r="G8" s="635" t="n">
        <f aca="false">IFERROR('Facility Master'!K25,0)</f>
        <v>10.432</v>
      </c>
      <c r="H8" s="635" t="n">
        <f aca="false">IFERROR('Facility Master'!M25,0)</f>
        <v>10.432</v>
      </c>
      <c r="I8" s="636" t="n">
        <f aca="false">IFERROR('Facility Master'!N25,0)</f>
        <v>1</v>
      </c>
      <c r="J8" s="637" t="n">
        <f aca="false">IFERROR('Facility Master'!O25,0)</f>
        <v>0</v>
      </c>
      <c r="K8" s="357" t="str">
        <f aca="false">IFERROR('Facility Master'!P25,"")</f>
        <v>Mutually agreed</v>
      </c>
      <c r="L8" s="386" t="n">
        <f aca="false">IFERROR('Facility Master'!Q25,0)</f>
        <v>0</v>
      </c>
      <c r="M8" s="638" t="n">
        <f aca="false">IFERROR('Facility Master'!R25,0)</f>
        <v>0.09</v>
      </c>
      <c r="N8" s="639" t="n">
        <f aca="false">IFERROR('Facility Master'!AB25,"")</f>
        <v>46265</v>
      </c>
    </row>
    <row r="9" customFormat="false" ht="19.5" hidden="false" customHeight="true" outlineLevel="0" collapsed="false">
      <c r="A9" s="640" t="n">
        <f aca="false">IFERROR('Facility Master'!A28,"")</f>
        <v>24</v>
      </c>
      <c r="B9" s="642" t="str">
        <f aca="false">IFERROR('Facility Master'!B28,"")</f>
        <v>HSBC</v>
      </c>
      <c r="C9" s="642" t="str">
        <f aca="false">IFERROR('Facility Master'!C28,"")</f>
        <v>Pre-shipment Buyer Loan (Uncommitted)</v>
      </c>
      <c r="D9" s="643" t="str">
        <f aca="false">IFERROR('Facility Master'!D28,"")</f>
        <v>FB</v>
      </c>
      <c r="E9" s="643" t="str">
        <f aca="false">IFERROR(IF('Facility Master'!F28,"Sub-limit","Standalone"),"")</f>
        <v>Sub-limit</v>
      </c>
      <c r="F9" s="640" t="str">
        <f aca="false">IFERROR('Facility Master'!I28,"")</f>
        <v>INR</v>
      </c>
      <c r="G9" s="644" t="n">
        <f aca="false">IFERROR('Facility Master'!K28,0)</f>
        <v>26.08</v>
      </c>
      <c r="H9" s="644" t="n">
        <f aca="false">IFERROR('Facility Master'!M28,0)</f>
        <v>26.08</v>
      </c>
      <c r="I9" s="645" t="n">
        <f aca="false">IFERROR('Facility Master'!N28,0)</f>
        <v>1</v>
      </c>
      <c r="J9" s="646" t="n">
        <f aca="false">IFERROR('Facility Master'!O28,0)</f>
        <v>0</v>
      </c>
      <c r="K9" s="642" t="str">
        <f aca="false">IFERROR('Facility Master'!P28,"")</f>
        <v>Mutually agreed</v>
      </c>
      <c r="L9" s="647" t="n">
        <f aca="false">IFERROR('Facility Master'!Q28,0)</f>
        <v>0</v>
      </c>
      <c r="M9" s="648" t="n">
        <f aca="false">IFERROR('Facility Master'!R28,0)</f>
        <v>0.09</v>
      </c>
      <c r="N9" s="649" t="n">
        <f aca="false">IFERROR('Facility Master'!AB28,"")</f>
        <v>46265</v>
      </c>
    </row>
    <row r="10" customFormat="false" ht="19.5" hidden="false" customHeight="true" outlineLevel="0" collapsed="false">
      <c r="A10" s="633" t="n">
        <f aca="false">IFERROR('Facility Master'!A29,"")</f>
        <v>25</v>
      </c>
      <c r="B10" s="357" t="str">
        <f aca="false">IFERROR('Facility Master'!B29,"")</f>
        <v>HSBC</v>
      </c>
      <c r="C10" s="357" t="str">
        <f aca="false">IFERROR('Facility Master'!C29,"")</f>
        <v>Post-Shipment Buyer Loan / DPF / LAI (Uncommitted)</v>
      </c>
      <c r="D10" s="634" t="str">
        <f aca="false">IFERROR('Facility Master'!D29,"")</f>
        <v>FB</v>
      </c>
      <c r="E10" s="634" t="str">
        <f aca="false">IFERROR(IF('Facility Master'!F29,"Sub-limit","Standalone"),"")</f>
        <v>Sub-limit</v>
      </c>
      <c r="F10" s="633" t="str">
        <f aca="false">IFERROR('Facility Master'!I29,"")</f>
        <v>INR</v>
      </c>
      <c r="G10" s="635" t="n">
        <f aca="false">IFERROR('Facility Master'!K29,0)</f>
        <v>26.08</v>
      </c>
      <c r="H10" s="635" t="n">
        <f aca="false">IFERROR('Facility Master'!M29,0)</f>
        <v>26.08</v>
      </c>
      <c r="I10" s="636" t="n">
        <f aca="false">IFERROR('Facility Master'!N29,0)</f>
        <v>1</v>
      </c>
      <c r="J10" s="637" t="n">
        <f aca="false">IFERROR('Facility Master'!O29,0)</f>
        <v>0</v>
      </c>
      <c r="K10" s="357" t="str">
        <f aca="false">IFERROR('Facility Master'!P29,"")</f>
        <v>Mutually agreed</v>
      </c>
      <c r="L10" s="386" t="n">
        <f aca="false">IFERROR('Facility Master'!Q29,0)</f>
        <v>0</v>
      </c>
      <c r="M10" s="638" t="n">
        <f aca="false">IFERROR('Facility Master'!R29,0)</f>
        <v>0.09</v>
      </c>
      <c r="N10" s="639" t="n">
        <f aca="false">IFERROR('Facility Master'!AB29,"")</f>
        <v>46265</v>
      </c>
    </row>
    <row r="11" customFormat="false" ht="19.5" hidden="false" customHeight="true" outlineLevel="0" collapsed="false">
      <c r="A11" s="640" t="n">
        <f aca="false">IFERROR('Facility Master'!A31,"")</f>
        <v>27</v>
      </c>
      <c r="B11" s="642" t="str">
        <f aca="false">IFERROR('Facility Master'!B31,"")</f>
        <v>HSBC</v>
      </c>
      <c r="C11" s="642" t="str">
        <f aca="false">IFERROR('Facility Master'!C31,"")</f>
        <v>Pre-shipment Seller Loan (Uncommitted)</v>
      </c>
      <c r="D11" s="643" t="str">
        <f aca="false">IFERROR('Facility Master'!D31,"")</f>
        <v>FB</v>
      </c>
      <c r="E11" s="643" t="str">
        <f aca="false">IFERROR(IF('Facility Master'!F31,"Sub-limit","Standalone"),"")</f>
        <v>Sub-limit</v>
      </c>
      <c r="F11" s="640" t="str">
        <f aca="false">IFERROR('Facility Master'!I31,"")</f>
        <v>INR</v>
      </c>
      <c r="G11" s="644" t="n">
        <f aca="false">IFERROR('Facility Master'!K31,0)</f>
        <v>26.08</v>
      </c>
      <c r="H11" s="644" t="n">
        <f aca="false">IFERROR('Facility Master'!M31,0)</f>
        <v>26.08</v>
      </c>
      <c r="I11" s="645" t="n">
        <f aca="false">IFERROR('Facility Master'!N31,0)</f>
        <v>1</v>
      </c>
      <c r="J11" s="646" t="n">
        <f aca="false">IFERROR('Facility Master'!O31,0)</f>
        <v>0</v>
      </c>
      <c r="K11" s="642" t="str">
        <f aca="false">IFERROR('Facility Master'!P31,"")</f>
        <v>Mutually agreed</v>
      </c>
      <c r="L11" s="647" t="n">
        <f aca="false">IFERROR('Facility Master'!Q31,0)</f>
        <v>0</v>
      </c>
      <c r="M11" s="648" t="n">
        <f aca="false">IFERROR('Facility Master'!R31,0)</f>
        <v>0.09</v>
      </c>
      <c r="N11" s="649" t="n">
        <f aca="false">IFERROR('Facility Master'!AB31,"")</f>
        <v>46265</v>
      </c>
    </row>
    <row r="12" customFormat="false" ht="19.5" hidden="false" customHeight="true" outlineLevel="0" collapsed="false">
      <c r="A12" s="633" t="n">
        <f aca="false">IFERROR('Facility Master'!A32,"")</f>
        <v>28</v>
      </c>
      <c r="B12" s="357" t="str">
        <f aca="false">IFERROR('Facility Master'!B32,"")</f>
        <v>HSBC</v>
      </c>
      <c r="C12" s="357" t="str">
        <f aca="false">IFERROR('Facility Master'!C32,"")</f>
        <v>Post-Shipment Seller Loan, Open Account (Uncommitted)</v>
      </c>
      <c r="D12" s="634" t="str">
        <f aca="false">IFERROR('Facility Master'!D32,"")</f>
        <v>FB</v>
      </c>
      <c r="E12" s="634" t="str">
        <f aca="false">IFERROR(IF('Facility Master'!F32,"Sub-limit","Standalone"),"")</f>
        <v>Sub-limit</v>
      </c>
      <c r="F12" s="633" t="str">
        <f aca="false">IFERROR('Facility Master'!I32,"")</f>
        <v>INR</v>
      </c>
      <c r="G12" s="635" t="n">
        <f aca="false">IFERROR('Facility Master'!K32,0)</f>
        <v>26.08</v>
      </c>
      <c r="H12" s="635" t="n">
        <f aca="false">IFERROR('Facility Master'!M32,0)</f>
        <v>26.08</v>
      </c>
      <c r="I12" s="636" t="n">
        <f aca="false">IFERROR('Facility Master'!N32,0)</f>
        <v>1</v>
      </c>
      <c r="J12" s="637" t="n">
        <f aca="false">IFERROR('Facility Master'!O32,0)</f>
        <v>0</v>
      </c>
      <c r="K12" s="357" t="str">
        <f aca="false">IFERROR('Facility Master'!P32,"")</f>
        <v>Mutually agreed</v>
      </c>
      <c r="L12" s="386" t="n">
        <f aca="false">IFERROR('Facility Master'!Q32,0)</f>
        <v>0</v>
      </c>
      <c r="M12" s="638" t="n">
        <f aca="false">IFERROR('Facility Master'!R32,0)</f>
        <v>0.09</v>
      </c>
      <c r="N12" s="639" t="n">
        <f aca="false">IFERROR('Facility Master'!AB32,"")</f>
        <v>46265</v>
      </c>
    </row>
    <row r="13" customFormat="false" ht="19.5" hidden="false" customHeight="true" outlineLevel="0" collapsed="false">
      <c r="A13" s="623" t="n">
        <f aca="false">IFERROR('Facility Master'!A39,"")</f>
        <v>35</v>
      </c>
      <c r="B13" s="624" t="str">
        <f aca="false">IFERROR('Facility Master'!B39,"")</f>
        <v>HDFC Bank</v>
      </c>
      <c r="C13" s="625" t="str">
        <f aca="false">IFERROR('Facility Master'!C39,"")</f>
        <v>Post Shipment Finance (sub of LC)</v>
      </c>
      <c r="D13" s="626" t="str">
        <f aca="false">IFERROR('Facility Master'!D39,"")</f>
        <v>FB</v>
      </c>
      <c r="E13" s="626" t="str">
        <f aca="false">IFERROR(IF('Facility Master'!F39,"Sub-limit","Standalone"),"")</f>
        <v>Sub-limit</v>
      </c>
      <c r="F13" s="623" t="str">
        <f aca="false">IFERROR('Facility Master'!I39,"")</f>
        <v>INR</v>
      </c>
      <c r="G13" s="627" t="n">
        <f aca="false">IFERROR('Facility Master'!K39,0)</f>
        <v>100</v>
      </c>
      <c r="H13" s="627" t="n">
        <f aca="false">IFERROR('Facility Master'!M39,0)</f>
        <v>100</v>
      </c>
      <c r="I13" s="628" t="n">
        <f aca="false">IFERROR('Facility Master'!N39,0)</f>
        <v>1</v>
      </c>
      <c r="J13" s="629" t="n">
        <f aca="false">IFERROR('Facility Master'!O39,0)</f>
        <v>0</v>
      </c>
      <c r="K13" s="625" t="str">
        <f aca="false">IFERROR('Facility Master'!P39,"")</f>
        <v>To be decided</v>
      </c>
      <c r="L13" s="630" t="n">
        <f aca="false">IFERROR('Facility Master'!Q39,0)</f>
        <v>0</v>
      </c>
      <c r="M13" s="631" t="n">
        <f aca="false">IFERROR('Facility Master'!R39,0)</f>
        <v>0.095</v>
      </c>
      <c r="N13" s="632" t="n">
        <f aca="false">IFERROR('Facility Master'!AB39,"")</f>
        <v>46265</v>
      </c>
    </row>
    <row r="14" customFormat="false" ht="19.5" hidden="false" customHeight="true" outlineLevel="0" collapsed="false">
      <c r="A14" s="633" t="n">
        <f aca="false">IFERROR('Facility Master'!A40,"")</f>
        <v>36</v>
      </c>
      <c r="B14" s="357" t="str">
        <f aca="false">IFERROR('Facility Master'!B40,"")</f>
        <v>HDFC Bank</v>
      </c>
      <c r="C14" s="357" t="str">
        <f aca="false">IFERROR('Facility Master'!C40,"")</f>
        <v>Pre-shipment Finance (sub of LC)</v>
      </c>
      <c r="D14" s="634" t="str">
        <f aca="false">IFERROR('Facility Master'!D40,"")</f>
        <v>FB</v>
      </c>
      <c r="E14" s="634" t="str">
        <f aca="false">IFERROR(IF('Facility Master'!F40,"Sub-limit","Standalone"),"")</f>
        <v>Sub-limit</v>
      </c>
      <c r="F14" s="633" t="str">
        <f aca="false">IFERROR('Facility Master'!I40,"")</f>
        <v>INR</v>
      </c>
      <c r="G14" s="635" t="n">
        <f aca="false">IFERROR('Facility Master'!K40,0)</f>
        <v>200</v>
      </c>
      <c r="H14" s="635" t="n">
        <f aca="false">IFERROR('Facility Master'!M40,0)</f>
        <v>200</v>
      </c>
      <c r="I14" s="636" t="n">
        <f aca="false">IFERROR('Facility Master'!N40,0)</f>
        <v>1</v>
      </c>
      <c r="J14" s="637" t="n">
        <f aca="false">IFERROR('Facility Master'!O40,0)</f>
        <v>0</v>
      </c>
      <c r="K14" s="357" t="str">
        <f aca="false">IFERROR('Facility Master'!P40,"")</f>
        <v>To be decided</v>
      </c>
      <c r="L14" s="386" t="n">
        <f aca="false">IFERROR('Facility Master'!Q40,0)</f>
        <v>0</v>
      </c>
      <c r="M14" s="638" t="n">
        <f aca="false">IFERROR('Facility Master'!R40,0)</f>
        <v>0.095</v>
      </c>
      <c r="N14" s="639" t="n">
        <f aca="false">IFERROR('Facility Master'!AB40,"")</f>
        <v>46265</v>
      </c>
    </row>
    <row r="15" customFormat="false" ht="19.5" hidden="false" customHeight="true" outlineLevel="0" collapsed="false">
      <c r="A15" s="623" t="n">
        <f aca="false">IFERROR('Facility Master'!A42,"")</f>
        <v>38</v>
      </c>
      <c r="B15" s="625" t="str">
        <f aca="false">IFERROR('Facility Master'!B42,"")</f>
        <v>HDFC Bank</v>
      </c>
      <c r="C15" s="625" t="str">
        <f aca="false">IFERROR('Facility Master'!C42,"")</f>
        <v>Cash Credit (sub of LC)</v>
      </c>
      <c r="D15" s="626" t="str">
        <f aca="false">IFERROR('Facility Master'!D42,"")</f>
        <v>FB</v>
      </c>
      <c r="E15" s="626" t="str">
        <f aca="false">IFERROR(IF('Facility Master'!F42,"Sub-limit","Standalone"),"")</f>
        <v>Sub-limit</v>
      </c>
      <c r="F15" s="623" t="str">
        <f aca="false">IFERROR('Facility Master'!I42,"")</f>
        <v>INR</v>
      </c>
      <c r="G15" s="627" t="n">
        <f aca="false">IFERROR('Facility Master'!K42,0)</f>
        <v>50</v>
      </c>
      <c r="H15" s="627" t="n">
        <f aca="false">IFERROR('Facility Master'!M42,0)</f>
        <v>50</v>
      </c>
      <c r="I15" s="628" t="n">
        <f aca="false">IFERROR('Facility Master'!N42,0)</f>
        <v>1</v>
      </c>
      <c r="J15" s="629" t="n">
        <f aca="false">IFERROR('Facility Master'!O42,0)</f>
        <v>0</v>
      </c>
      <c r="K15" s="625" t="str">
        <f aca="false">IFERROR('Facility Master'!P42,"")</f>
        <v>14-day Repo (HDFC)</v>
      </c>
      <c r="L15" s="630" t="n">
        <f aca="false">IFERROR('Facility Master'!Q42,0)</f>
        <v>0</v>
      </c>
      <c r="M15" s="631" t="n">
        <f aca="false">IFERROR('Facility Master'!R42,0)</f>
        <v>0.0815</v>
      </c>
      <c r="N15" s="632" t="n">
        <f aca="false">IFERROR('Facility Master'!AB42,"")</f>
        <v>46265</v>
      </c>
    </row>
    <row r="16" customFormat="false" ht="19.5" hidden="false" customHeight="true" outlineLevel="0" collapsed="false">
      <c r="A16" s="633" t="n">
        <f aca="false">IFERROR('Facility Master'!A43,"")</f>
        <v>39</v>
      </c>
      <c r="B16" s="357" t="str">
        <f aca="false">IFERROR('Facility Master'!B43,"")</f>
        <v>HDFC Bank</v>
      </c>
      <c r="C16" s="357" t="str">
        <f aca="false">IFERROR('Facility Master'!C43,"")</f>
        <v>WCDL (sub of LC)</v>
      </c>
      <c r="D16" s="634" t="str">
        <f aca="false">IFERROR('Facility Master'!D43,"")</f>
        <v>FB</v>
      </c>
      <c r="E16" s="634" t="str">
        <f aca="false">IFERROR(IF('Facility Master'!F43,"Sub-limit","Standalone"),"")</f>
        <v>Sub-limit</v>
      </c>
      <c r="F16" s="633" t="str">
        <f aca="false">IFERROR('Facility Master'!I43,"")</f>
        <v>INR</v>
      </c>
      <c r="G16" s="635" t="n">
        <f aca="false">IFERROR('Facility Master'!K43,0)</f>
        <v>50</v>
      </c>
      <c r="H16" s="635" t="n">
        <f aca="false">IFERROR('Facility Master'!M43,0)</f>
        <v>50</v>
      </c>
      <c r="I16" s="636" t="n">
        <f aca="false">IFERROR('Facility Master'!N43,0)</f>
        <v>1</v>
      </c>
      <c r="J16" s="637" t="n">
        <f aca="false">IFERROR('Facility Master'!O43,0)</f>
        <v>0</v>
      </c>
      <c r="K16" s="357" t="str">
        <f aca="false">IFERROR('Facility Master'!P43,"")</f>
        <v>To be decided</v>
      </c>
      <c r="L16" s="386" t="n">
        <f aca="false">IFERROR('Facility Master'!Q43,0)</f>
        <v>0</v>
      </c>
      <c r="M16" s="638" t="n">
        <f aca="false">IFERROR('Facility Master'!R43,0)</f>
        <v>0.095</v>
      </c>
      <c r="N16" s="639" t="n">
        <f aca="false">IFERROR('Facility Master'!AB43,"")</f>
        <v>46265</v>
      </c>
    </row>
    <row r="17" customFormat="false" ht="19.5" hidden="false" customHeight="true" outlineLevel="0" collapsed="false">
      <c r="A17" s="623" t="n">
        <f aca="false">IFERROR('Facility Master'!A44,"")</f>
        <v>40</v>
      </c>
      <c r="B17" s="625" t="str">
        <f aca="false">IFERROR('Facility Master'!B44,"")</f>
        <v>HDFC Bank</v>
      </c>
      <c r="C17" s="625" t="str">
        <f aca="false">IFERROR('Facility Master'!C44,"")</f>
        <v>FD-OD (FD-Backed)</v>
      </c>
      <c r="D17" s="626" t="str">
        <f aca="false">IFERROR('Facility Master'!D44,"")</f>
        <v>FB-FDbacked</v>
      </c>
      <c r="E17" s="626" t="str">
        <f aca="false">IFERROR(IF('Facility Master'!F44,"Sub-limit","Standalone"),"")</f>
        <v>Standalone</v>
      </c>
      <c r="F17" s="623" t="str">
        <f aca="false">IFERROR('Facility Master'!I44,"")</f>
        <v>INR</v>
      </c>
      <c r="G17" s="627" t="n">
        <f aca="false">IFERROR('Facility Master'!K44,0)</f>
        <v>50</v>
      </c>
      <c r="H17" s="627" t="n">
        <f aca="false">IFERROR('Facility Master'!M44,0)</f>
        <v>50</v>
      </c>
      <c r="I17" s="628" t="n">
        <f aca="false">IFERROR('Facility Master'!N44,0)</f>
        <v>1</v>
      </c>
      <c r="J17" s="629" t="n">
        <f aca="false">IFERROR('Facility Master'!O44,0)</f>
        <v>0</v>
      </c>
      <c r="K17" s="625" t="str">
        <f aca="false">IFERROR('Facility Master'!P44,"")</f>
        <v>FD Rate (HDFC)</v>
      </c>
      <c r="L17" s="630" t="n">
        <f aca="false">IFERROR('Facility Master'!Q44,0)</f>
        <v>0.01</v>
      </c>
      <c r="M17" s="631" t="n">
        <f aca="false">IFERROR('Facility Master'!R44,0)</f>
        <v>0.08</v>
      </c>
      <c r="N17" s="632" t="n">
        <f aca="false">IFERROR('Facility Master'!AB44,"")</f>
        <v>46265</v>
      </c>
    </row>
    <row r="18" customFormat="false" ht="21.75" hidden="false" customHeight="true" outlineLevel="0" collapsed="false">
      <c r="A18" s="300" t="s">
        <v>635</v>
      </c>
      <c r="B18" s="455"/>
      <c r="C18" s="455"/>
      <c r="D18" s="455"/>
      <c r="E18" s="455"/>
      <c r="F18" s="455"/>
      <c r="G18" s="650" t="n">
        <f aca="false">SUM(G4:G17)</f>
        <v>890.832</v>
      </c>
      <c r="H18" s="650" t="n">
        <f aca="false">SUM(H4:H17)</f>
        <v>890.832</v>
      </c>
      <c r="I18" s="455"/>
      <c r="J18" s="455"/>
      <c r="K18" s="455"/>
      <c r="L18" s="455"/>
      <c r="M18" s="455"/>
      <c r="N18" s="455"/>
    </row>
    <row r="19" customFormat="false" ht="31.5" hidden="false" customHeight="true" outlineLevel="0" collapsed="false">
      <c r="A19" s="651" t="s">
        <v>636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</row>
    <row r="20" customFormat="false" ht="14.25" hidden="true" customHeight="true" outlineLevel="0" collapsed="false"/>
    <row r="21" customFormat="false" ht="14.25" hidden="true" customHeight="true" outlineLevel="0" collapsed="false"/>
    <row r="22" customFormat="false" ht="14.25" hidden="true" customHeight="true" outlineLevel="0" collapsed="false"/>
    <row r="23" customFormat="false" ht="14.25" hidden="true" customHeight="true" outlineLevel="0" collapsed="false"/>
    <row r="24" customFormat="false" ht="14.25" hidden="true" customHeight="true" outlineLevel="0" collapsed="false"/>
    <row r="25" customFormat="false" ht="14.25" hidden="true" customHeight="true" outlineLevel="0" collapsed="false"/>
    <row r="26" customFormat="false" ht="14.25" hidden="true" customHeight="true" outlineLevel="0" collapsed="false"/>
    <row r="27" customFormat="false" ht="14.25" hidden="true" customHeight="true" outlineLevel="0" collapsed="false"/>
    <row r="28" customFormat="false" ht="14.25" hidden="true" customHeight="true" outlineLevel="0" collapsed="false"/>
    <row r="29" customFormat="false" ht="14.25" hidden="true" customHeight="true" outlineLevel="0" collapsed="false"/>
    <row r="30" customFormat="false" ht="14.25" hidden="true" customHeight="true" outlineLevel="0" collapsed="false"/>
    <row r="31" customFormat="false" ht="14.25" hidden="true" customHeight="true" outlineLevel="0" collapsed="false"/>
    <row r="32" customFormat="false" ht="14.25" hidden="true" customHeight="true" outlineLevel="0" collapsed="false"/>
    <row r="33" customFormat="false" ht="14.25" hidden="true" customHeight="true" outlineLevel="0" collapsed="false"/>
    <row r="34" customFormat="false" ht="14.25" hidden="true" customHeight="true" outlineLevel="0" collapsed="false"/>
    <row r="35" customFormat="false" ht="14.25" hidden="true" customHeight="true" outlineLevel="0" collapsed="false"/>
    <row r="36" customFormat="false" ht="14.25" hidden="true" customHeight="true" outlineLevel="0" collapsed="false"/>
    <row r="37" customFormat="false" ht="14.25" hidden="true" customHeight="true" outlineLevel="0" collapsed="false"/>
    <row r="38" customFormat="false" ht="14.25" hidden="true" customHeight="true" outlineLevel="0" collapsed="false"/>
    <row r="39" customFormat="false" ht="14.25" hidden="true" customHeight="true" outlineLevel="0" collapsed="false"/>
    <row r="40" customFormat="false" ht="14.25" hidden="true" customHeight="true" outlineLevel="0" collapsed="false"/>
    <row r="41" customFormat="false" ht="14.25" hidden="true" customHeight="true" outlineLevel="0" collapsed="false"/>
    <row r="42" customFormat="false" ht="14.25" hidden="true" customHeight="true" outlineLevel="0" collapsed="false"/>
    <row r="43" customFormat="false" ht="14.25" hidden="true" customHeight="true" outlineLevel="0" collapsed="false"/>
    <row r="44" customFormat="false" ht="14.25" hidden="true" customHeight="true" outlineLevel="0" collapsed="false"/>
    <row r="45" customFormat="false" ht="14.25" hidden="true" customHeight="true" outlineLevel="0" collapsed="false"/>
    <row r="46" customFormat="false" ht="14.25" hidden="true" customHeight="true" outlineLevel="0" collapsed="false"/>
    <row r="47" customFormat="false" ht="14.25" hidden="true" customHeight="true" outlineLevel="0" collapsed="false"/>
    <row r="48" customFormat="false" ht="14.25" hidden="true" customHeight="true" outlineLevel="0" collapsed="false"/>
    <row r="49" customFormat="false" ht="14.25" hidden="true" customHeight="true" outlineLevel="0" collapsed="false"/>
    <row r="50" customFormat="false" ht="14.25" hidden="true" customHeight="true" outlineLevel="0" collapsed="false"/>
    <row r="51" customFormat="false" ht="14.25" hidden="true" customHeight="true" outlineLevel="0" collapsed="false"/>
    <row r="52" customFormat="false" ht="14.25" hidden="true" customHeight="true" outlineLevel="0" collapsed="false"/>
    <row r="53" customFormat="false" ht="14.25" hidden="true" customHeight="true" outlineLevel="0" collapsed="false"/>
    <row r="54" customFormat="false" ht="14.25" hidden="true" customHeight="true" outlineLevel="0" collapsed="false"/>
    <row r="55" customFormat="false" ht="14.25" hidden="true" customHeight="true" outlineLevel="0" collapsed="false"/>
    <row r="56" customFormat="false" ht="14.25" hidden="true" customHeight="true" outlineLevel="0" collapsed="false"/>
    <row r="57" customFormat="false" ht="14.25" hidden="true" customHeight="true" outlineLevel="0" collapsed="false"/>
    <row r="58" customFormat="false" ht="14.25" hidden="true" customHeight="true" outlineLevel="0" collapsed="false"/>
    <row r="59" customFormat="false" ht="14.25" hidden="true" customHeight="true" outlineLevel="0" collapsed="false"/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K24" activeCellId="0" sqref="K2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16.67"/>
    <col collapsed="false" customWidth="true" hidden="false" outlineLevel="0" max="3" min="3" style="1" width="38.88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9.21"/>
    <col collapsed="false" customWidth="true" hidden="false" outlineLevel="0" max="9" min="9" style="1" width="13.88"/>
    <col collapsed="false" customWidth="true" hidden="false" outlineLevel="0" max="10" min="10" style="1" width="16.67"/>
    <col collapsed="false" customWidth="true" hidden="false" outlineLevel="0" max="11" min="11" style="1" width="13.88"/>
    <col collapsed="false" customWidth="true" hidden="false" outlineLevel="0" max="12" min="12" style="1" width="8.34"/>
  </cols>
  <sheetData>
    <row r="1" customFormat="false" ht="27.75" hidden="false" customHeight="true" outlineLevel="0" collapsed="false">
      <c r="A1" s="340" t="s">
        <v>637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433"/>
      <c r="N1" s="433"/>
    </row>
    <row r="2" customFormat="false" ht="15.75" hidden="false" customHeight="true" outlineLevel="0" collapsed="false">
      <c r="A2" s="434" t="s">
        <v>638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5"/>
      <c r="N2" s="435"/>
    </row>
    <row r="3" customFormat="false" ht="24" hidden="false" customHeight="true" outlineLevel="0" collapsed="false">
      <c r="A3" s="441" t="s">
        <v>370</v>
      </c>
      <c r="B3" s="440" t="s">
        <v>82</v>
      </c>
      <c r="C3" s="440" t="s">
        <v>371</v>
      </c>
      <c r="D3" s="441" t="s">
        <v>119</v>
      </c>
      <c r="E3" s="441" t="s">
        <v>631</v>
      </c>
      <c r="F3" s="441" t="s">
        <v>633</v>
      </c>
      <c r="G3" s="441" t="s">
        <v>380</v>
      </c>
      <c r="H3" s="441" t="s">
        <v>381</v>
      </c>
      <c r="I3" s="441" t="s">
        <v>639</v>
      </c>
      <c r="J3" s="441" t="s">
        <v>640</v>
      </c>
      <c r="K3" s="441" t="s">
        <v>634</v>
      </c>
      <c r="L3" s="441" t="s">
        <v>375</v>
      </c>
      <c r="M3" s="413"/>
      <c r="N3" s="413"/>
    </row>
    <row r="4" customFormat="false" ht="19.5" hidden="false" customHeight="true" outlineLevel="0" collapsed="false">
      <c r="A4" s="623" t="n">
        <f aca="false">IFERROR('Facility Master'!A7,"")</f>
        <v>3</v>
      </c>
      <c r="B4" s="624" t="str">
        <f aca="false">IFERROR('Facility Master'!B7,"")</f>
        <v>UBI</v>
      </c>
      <c r="C4" s="653" t="str">
        <f aca="false">IFERROR('Facility Master'!C7,"")</f>
        <v>Letter of Credit (Capex LC/UPAS/SBLC)</v>
      </c>
      <c r="D4" s="626" t="str">
        <f aca="false">IFERROR('Facility Master'!D7,"")</f>
        <v>NFB</v>
      </c>
      <c r="E4" s="626" t="str">
        <f aca="false">IFERROR(IF('Facility Master'!F7,"Sub-limit","Standalone"),"")</f>
        <v>Sub-limit</v>
      </c>
      <c r="F4" s="627" t="n">
        <f aca="false">IFERROR('Facility Master'!K7,0)</f>
        <v>750</v>
      </c>
      <c r="G4" s="627" t="n">
        <f aca="false">IFERROR('Facility Master'!M7,0)</f>
        <v>750</v>
      </c>
      <c r="H4" s="628" t="n">
        <f aca="false">IFERROR('Facility Master'!N7,0)</f>
        <v>1</v>
      </c>
      <c r="I4" s="654" t="n">
        <f aca="false">IFERROR('Facility Master'!Q7,0)</f>
        <v>0.006</v>
      </c>
      <c r="J4" s="655" t="n">
        <f aca="false">IFERROR(F4*I4,0)</f>
        <v>4.5</v>
      </c>
      <c r="K4" s="632" t="n">
        <f aca="false">IFERROR('Facility Master'!AB7,"")</f>
        <v>46284</v>
      </c>
      <c r="L4" s="623" t="n">
        <f aca="false">IFERROR('Facility Master'!H7,0)</f>
        <v>0</v>
      </c>
      <c r="M4" s="656"/>
      <c r="N4" s="656"/>
    </row>
    <row r="5" customFormat="false" ht="19.5" hidden="false" customHeight="true" outlineLevel="0" collapsed="false">
      <c r="A5" s="633" t="n">
        <f aca="false">IFERROR('Facility Master'!A8,"")</f>
        <v>4</v>
      </c>
      <c r="B5" s="356" t="str">
        <f aca="false">IFERROR('Facility Master'!B8,"")</f>
        <v>UBI</v>
      </c>
      <c r="C5" s="657" t="str">
        <f aca="false">IFERROR('Facility Master'!C8,"")</f>
        <v>Bank Guarantee</v>
      </c>
      <c r="D5" s="634" t="str">
        <f aca="false">IFERROR('Facility Master'!D8,"")</f>
        <v>NFB</v>
      </c>
      <c r="E5" s="634" t="str">
        <f aca="false">IFERROR(IF('Facility Master'!F8,"Sub-limit","Standalone"),"")</f>
        <v>Sub-limit</v>
      </c>
      <c r="F5" s="635" t="n">
        <f aca="false">IFERROR('Facility Master'!K8,0)</f>
        <v>12.5</v>
      </c>
      <c r="G5" s="635" t="n">
        <f aca="false">IFERROR('Facility Master'!M8,0)</f>
        <v>12.5</v>
      </c>
      <c r="H5" s="636" t="n">
        <f aca="false">IFERROR('Facility Master'!N8,0)</f>
        <v>1</v>
      </c>
      <c r="I5" s="658" t="n">
        <f aca="false">IFERROR('Facility Master'!Q8,0)</f>
        <v>0.006</v>
      </c>
      <c r="J5" s="659" t="n">
        <f aca="false">IFERROR(F5*I5,0)</f>
        <v>0.075</v>
      </c>
      <c r="K5" s="639" t="n">
        <f aca="false">IFERROR('Facility Master'!AB8,"")</f>
        <v>46284</v>
      </c>
      <c r="L5" s="633" t="n">
        <f aca="false">IFERROR('Facility Master'!H8,0)</f>
        <v>0</v>
      </c>
      <c r="M5" s="446"/>
      <c r="N5" s="446"/>
    </row>
    <row r="6" customFormat="false" ht="19.5" hidden="false" customHeight="true" outlineLevel="0" collapsed="false">
      <c r="A6" s="613" t="n">
        <f aca="false">IFERROR('Facility Master'!A12,"")</f>
        <v>8</v>
      </c>
      <c r="B6" s="614" t="str">
        <f aca="false">IFERROR('Facility Master'!B12,"")</f>
        <v>RBL Bank</v>
      </c>
      <c r="C6" s="660" t="str">
        <f aca="false">IFERROR('Facility Master'!C12,"")</f>
        <v>Letter of Credit (sub-limit of TL)</v>
      </c>
      <c r="D6" s="616" t="str">
        <f aca="false">IFERROR('Facility Master'!D12,"")</f>
        <v>NFB</v>
      </c>
      <c r="E6" s="616" t="str">
        <f aca="false">IFERROR(IF('Facility Master'!F12,"Sub-limit","Standalone"),"")</f>
        <v>Sub-limit</v>
      </c>
      <c r="F6" s="617" t="n">
        <f aca="false">IFERROR('Facility Master'!K12,0)</f>
        <v>200</v>
      </c>
      <c r="G6" s="617" t="n">
        <f aca="false">IFERROR('Facility Master'!M12,0)</f>
        <v>200</v>
      </c>
      <c r="H6" s="618" t="n">
        <f aca="false">IFERROR('Facility Master'!N12,0)</f>
        <v>1</v>
      </c>
      <c r="I6" s="661" t="n">
        <f aca="false">IFERROR('Facility Master'!Q12,0)</f>
        <v>0.005</v>
      </c>
      <c r="J6" s="662" t="n">
        <f aca="false">IFERROR(F6*I6,0)</f>
        <v>1</v>
      </c>
      <c r="K6" s="622" t="n">
        <f aca="false">IFERROR('Facility Master'!AB12,"")</f>
        <v>46265</v>
      </c>
      <c r="L6" s="613" t="n">
        <f aca="false">IFERROR('Facility Master'!H12,0)</f>
        <v>0</v>
      </c>
      <c r="M6" s="477"/>
      <c r="N6" s="477"/>
    </row>
    <row r="7" customFormat="false" ht="19.5" hidden="false" customHeight="true" outlineLevel="0" collapsed="false">
      <c r="A7" s="623" t="n">
        <f aca="false">IFERROR('Facility Master'!A15,"")</f>
        <v>11</v>
      </c>
      <c r="B7" s="624" t="str">
        <f aca="false">IFERROR('Facility Master'!B15,"")</f>
        <v>YES Bank</v>
      </c>
      <c r="C7" s="653" t="str">
        <f aca="false">IFERROR('Facility Master'!C15,"")</f>
        <v>Capex LC (sub-limit of TL)</v>
      </c>
      <c r="D7" s="626" t="str">
        <f aca="false">IFERROR('Facility Master'!D15,"")</f>
        <v>NFB</v>
      </c>
      <c r="E7" s="626" t="str">
        <f aca="false">IFERROR(IF('Facility Master'!F15,"Sub-limit","Standalone"),"")</f>
        <v>Sub-limit</v>
      </c>
      <c r="F7" s="627" t="n">
        <f aca="false">IFERROR('Facility Master'!K15,0)</f>
        <v>100</v>
      </c>
      <c r="G7" s="627" t="n">
        <f aca="false">IFERROR('Facility Master'!M15,0)</f>
        <v>100</v>
      </c>
      <c r="H7" s="628" t="n">
        <f aca="false">IFERROR('Facility Master'!N15,0)</f>
        <v>1</v>
      </c>
      <c r="I7" s="654" t="n">
        <f aca="false">IFERROR('Facility Master'!Q15,0)</f>
        <v>0.005</v>
      </c>
      <c r="J7" s="655" t="n">
        <f aca="false">IFERROR(F7*I7,0)</f>
        <v>0.5</v>
      </c>
      <c r="K7" s="632" t="n">
        <f aca="false">IFERROR('Facility Master'!AB15,"")</f>
        <v>47116</v>
      </c>
      <c r="L7" s="623" t="n">
        <f aca="false">IFERROR('Facility Master'!H15,0)</f>
        <v>0</v>
      </c>
      <c r="M7" s="656"/>
      <c r="N7" s="656"/>
    </row>
    <row r="8" customFormat="false" ht="19.5" hidden="false" customHeight="true" outlineLevel="0" collapsed="false">
      <c r="A8" s="613" t="n">
        <f aca="false">IFERROR('Facility Master'!A17,"")</f>
        <v>13</v>
      </c>
      <c r="B8" s="614" t="str">
        <f aca="false">IFERROR('Facility Master'!B17,"")</f>
        <v>IDFC First Bank</v>
      </c>
      <c r="C8" s="660" t="str">
        <f aca="false">IFERROR('Facility Master'!C17,"")</f>
        <v>NFB — Capex LC/SBLC (A)</v>
      </c>
      <c r="D8" s="616" t="str">
        <f aca="false">IFERROR('Facility Master'!D17,"")</f>
        <v>NFB</v>
      </c>
      <c r="E8" s="616" t="str">
        <f aca="false">IFERROR(IF('Facility Master'!F17,"Sub-limit","Standalone"),"")</f>
        <v>Sub-limit</v>
      </c>
      <c r="F8" s="617" t="n">
        <f aca="false">IFERROR('Facility Master'!K17,0)</f>
        <v>400</v>
      </c>
      <c r="G8" s="617" t="n">
        <f aca="false">IFERROR('Facility Master'!M17,0)</f>
        <v>400</v>
      </c>
      <c r="H8" s="618" t="n">
        <f aca="false">IFERROR('Facility Master'!N17,0)</f>
        <v>1</v>
      </c>
      <c r="I8" s="661" t="n">
        <f aca="false">IFERROR('Facility Master'!Q17,0)</f>
        <v>0.0035</v>
      </c>
      <c r="J8" s="662" t="n">
        <f aca="false">IFERROR(F8*I8,0)</f>
        <v>1.4</v>
      </c>
      <c r="K8" s="622" t="n">
        <f aca="false">IFERROR('Facility Master'!AB17,"")</f>
        <v>46295</v>
      </c>
      <c r="L8" s="613" t="n">
        <f aca="false">IFERROR('Facility Master'!H17,0)</f>
        <v>0</v>
      </c>
      <c r="M8" s="477"/>
      <c r="N8" s="477"/>
    </row>
    <row r="9" customFormat="false" ht="19.5" hidden="false" customHeight="true" outlineLevel="0" collapsed="false">
      <c r="A9" s="633" t="n">
        <f aca="false">IFERROR('Facility Master'!A18,"")</f>
        <v>14</v>
      </c>
      <c r="B9" s="356" t="str">
        <f aca="false">IFERROR('Facility Master'!B18,"")</f>
        <v>IDFC First Bank</v>
      </c>
      <c r="C9" s="657" t="str">
        <f aca="false">IFERROR('Facility Master'!C18,"")</f>
        <v>NFB — BG / SBLC (B, sub-limit within ₹400 cap)</v>
      </c>
      <c r="D9" s="634" t="str">
        <f aca="false">IFERROR('Facility Master'!D18,"")</f>
        <v>NFB</v>
      </c>
      <c r="E9" s="634" t="str">
        <f aca="false">IFERROR(IF('Facility Master'!F18,"Sub-limit","Standalone"),"")</f>
        <v>Sub-limit</v>
      </c>
      <c r="F9" s="635" t="n">
        <f aca="false">IFERROR('Facility Master'!K18,0)</f>
        <v>200</v>
      </c>
      <c r="G9" s="635" t="n">
        <f aca="false">IFERROR('Facility Master'!M18,0)</f>
        <v>200</v>
      </c>
      <c r="H9" s="636" t="n">
        <f aca="false">IFERROR('Facility Master'!N18,0)</f>
        <v>1</v>
      </c>
      <c r="I9" s="658" t="n">
        <f aca="false">IFERROR('Facility Master'!Q18,0)</f>
        <v>0.0035</v>
      </c>
      <c r="J9" s="659" t="n">
        <f aca="false">IFERROR(F9*I9,0)</f>
        <v>0.7</v>
      </c>
      <c r="K9" s="639" t="n">
        <f aca="false">IFERROR('Facility Master'!AB18,"")</f>
        <v>46295</v>
      </c>
      <c r="L9" s="633" t="n">
        <f aca="false">IFERROR('Facility Master'!H18,0)</f>
        <v>0</v>
      </c>
      <c r="M9" s="446"/>
      <c r="N9" s="446"/>
    </row>
    <row r="10" customFormat="false" ht="19.5" hidden="false" customHeight="true" outlineLevel="0" collapsed="false">
      <c r="A10" s="623" t="n">
        <f aca="false">IFERROR('Facility Master'!A21,"")</f>
        <v>17</v>
      </c>
      <c r="B10" s="624" t="str">
        <f aca="false">IFERROR('Facility Master'!B21,"")</f>
        <v>ICICI Bank</v>
      </c>
      <c r="C10" s="625" t="str">
        <f aca="false">IFERROR('Facility Master'!C21,"")</f>
        <v>Letter of Credit (WC)</v>
      </c>
      <c r="D10" s="626" t="str">
        <f aca="false">IFERROR('Facility Master'!D21,"")</f>
        <v>NFB</v>
      </c>
      <c r="E10" s="626" t="str">
        <f aca="false">IFERROR(IF('Facility Master'!F21,"Sub-limit","Standalone"),"")</f>
        <v>Standalone</v>
      </c>
      <c r="F10" s="627" t="n">
        <f aca="false">IFERROR('Facility Master'!K21,0)</f>
        <v>300</v>
      </c>
      <c r="G10" s="627" t="n">
        <f aca="false">IFERROR('Facility Master'!M21,0)</f>
        <v>300</v>
      </c>
      <c r="H10" s="628" t="n">
        <f aca="false">IFERROR('Facility Master'!N21,0)</f>
        <v>1</v>
      </c>
      <c r="I10" s="654" t="n">
        <f aca="false">IFERROR('Facility Master'!Q21,0)</f>
        <v>0.006</v>
      </c>
      <c r="J10" s="655" t="n">
        <f aca="false">IFERROR(F10*I10,0)</f>
        <v>1.8</v>
      </c>
      <c r="K10" s="632" t="n">
        <f aca="false">IFERROR('Facility Master'!AB21,"")</f>
        <v>46421</v>
      </c>
      <c r="L10" s="623" t="n">
        <f aca="false">IFERROR('Facility Master'!H21,0)</f>
        <v>2</v>
      </c>
      <c r="M10" s="656"/>
      <c r="N10" s="656"/>
    </row>
    <row r="11" customFormat="false" ht="19.5" hidden="false" customHeight="true" outlineLevel="0" collapsed="false">
      <c r="A11" s="633" t="n">
        <f aca="false">IFERROR('Facility Master'!A22,"")</f>
        <v>18</v>
      </c>
      <c r="B11" s="356" t="str">
        <f aca="false">IFERROR('Facility Master'!B22,"")</f>
        <v>ICICI Bank</v>
      </c>
      <c r="C11" s="657" t="str">
        <f aca="false">IFERROR('Facility Master'!C22,"")</f>
        <v>BG (F+P, sub-limit of LC)</v>
      </c>
      <c r="D11" s="634" t="str">
        <f aca="false">IFERROR('Facility Master'!D22,"")</f>
        <v>NFB</v>
      </c>
      <c r="E11" s="634" t="str">
        <f aca="false">IFERROR(IF('Facility Master'!F22,"Sub-limit","Standalone"),"")</f>
        <v>Sub-limit</v>
      </c>
      <c r="F11" s="635" t="n">
        <f aca="false">IFERROR('Facility Master'!K22,0)</f>
        <v>300</v>
      </c>
      <c r="G11" s="635" t="n">
        <f aca="false">IFERROR('Facility Master'!M22,0)</f>
        <v>300</v>
      </c>
      <c r="H11" s="636" t="n">
        <f aca="false">IFERROR('Facility Master'!N22,0)</f>
        <v>1</v>
      </c>
      <c r="I11" s="658" t="n">
        <f aca="false">IFERROR('Facility Master'!Q22,0)</f>
        <v>0.006</v>
      </c>
      <c r="J11" s="659" t="n">
        <f aca="false">IFERROR(F11*I11,0)</f>
        <v>1.8</v>
      </c>
      <c r="K11" s="639" t="n">
        <f aca="false">IFERROR('Facility Master'!AB22,"")</f>
        <v>46421</v>
      </c>
      <c r="L11" s="633" t="n">
        <f aca="false">IFERROR('Facility Master'!H22,0)</f>
        <v>0</v>
      </c>
      <c r="M11" s="446"/>
      <c r="N11" s="446"/>
    </row>
    <row r="12" customFormat="false" ht="19.5" hidden="false" customHeight="true" outlineLevel="0" collapsed="false">
      <c r="A12" s="640" t="n">
        <f aca="false">IFERROR('Facility Master'!A23,"")</f>
        <v>19</v>
      </c>
      <c r="B12" s="641" t="str">
        <f aca="false">IFERROR('Facility Master'!B23,"")</f>
        <v>HSBC</v>
      </c>
      <c r="C12" s="663" t="str">
        <f aca="false">IFERROR('Facility Master'!C23,"")</f>
        <v>Combined Limit (Uncommitted)</v>
      </c>
      <c r="D12" s="643" t="str">
        <f aca="false">IFERROR('Facility Master'!D23,"")</f>
        <v>NFB</v>
      </c>
      <c r="E12" s="643" t="str">
        <f aca="false">IFERROR(IF('Facility Master'!F23,"Sub-limit","Standalone"),"")</f>
        <v>Standalone</v>
      </c>
      <c r="F12" s="644" t="n">
        <f aca="false">IFERROR('Facility Master'!K23,0)</f>
        <v>200</v>
      </c>
      <c r="G12" s="644" t="n">
        <f aca="false">IFERROR('Facility Master'!M23,0)</f>
        <v>200</v>
      </c>
      <c r="H12" s="645" t="n">
        <f aca="false">IFERROR('Facility Master'!N23,0)</f>
        <v>1</v>
      </c>
      <c r="I12" s="664" t="n">
        <f aca="false">IFERROR('Facility Master'!Q23,0)</f>
        <v>0</v>
      </c>
      <c r="J12" s="665" t="n">
        <f aca="false">IFERROR(F12*I12,0)</f>
        <v>0</v>
      </c>
      <c r="K12" s="649" t="n">
        <f aca="false">IFERROR('Facility Master'!AB23,"")</f>
        <v>46265</v>
      </c>
      <c r="L12" s="640" t="n">
        <f aca="false">IFERROR('Facility Master'!H23,0)</f>
        <v>1</v>
      </c>
      <c r="M12" s="666"/>
      <c r="N12" s="666"/>
    </row>
    <row r="13" customFormat="false" ht="19.5" hidden="false" customHeight="true" outlineLevel="0" collapsed="false">
      <c r="A13" s="633" t="n">
        <f aca="false">IFERROR('Facility Master'!A26,"")</f>
        <v>22</v>
      </c>
      <c r="B13" s="356" t="str">
        <f aca="false">IFERROR('Facility Master'!B26,"")</f>
        <v>HSBC</v>
      </c>
      <c r="C13" s="667" t="str">
        <f aca="false">IFERROR('Facility Master'!C26,"")</f>
        <v>Import Controlling line - 1 (Uncommitted)</v>
      </c>
      <c r="D13" s="634" t="str">
        <f aca="false">IFERROR('Facility Master'!D26,"")</f>
        <v>NFB</v>
      </c>
      <c r="E13" s="634" t="str">
        <f aca="false">IFERROR(IF('Facility Master'!F26,"Sub-limit","Standalone"),"")</f>
        <v>Sub-limit</v>
      </c>
      <c r="F13" s="635" t="n">
        <f aca="false">IFERROR('Facility Master'!K26,0)</f>
        <v>26.08</v>
      </c>
      <c r="G13" s="635" t="n">
        <f aca="false">IFERROR('Facility Master'!M26,0)</f>
        <v>26.08</v>
      </c>
      <c r="H13" s="636" t="n">
        <f aca="false">IFERROR('Facility Master'!N26,0)</f>
        <v>1</v>
      </c>
      <c r="I13" s="658" t="n">
        <f aca="false">IFERROR('Facility Master'!Q26,0)</f>
        <v>0</v>
      </c>
      <c r="J13" s="659" t="n">
        <f aca="false">IFERROR(F13*I13,0)</f>
        <v>0</v>
      </c>
      <c r="K13" s="639" t="n">
        <f aca="false">IFERROR('Facility Master'!AB26,"")</f>
        <v>46265</v>
      </c>
      <c r="L13" s="633" t="n">
        <f aca="false">IFERROR('Facility Master'!H26,0)</f>
        <v>0</v>
      </c>
      <c r="M13" s="446"/>
      <c r="N13" s="446"/>
    </row>
    <row r="14" customFormat="false" ht="19.5" hidden="false" customHeight="true" outlineLevel="0" collapsed="false">
      <c r="A14" s="640" t="n">
        <f aca="false">IFERROR('Facility Master'!A27,"")</f>
        <v>23</v>
      </c>
      <c r="B14" s="668" t="str">
        <f aca="false">IFERROR('Facility Master'!B27,"")</f>
        <v>HSBC</v>
      </c>
      <c r="C14" s="663" t="str">
        <f aca="false">IFERROR('Facility Master'!C27,"")</f>
        <v>TradePay Domestic/Import (Uncommitted)</v>
      </c>
      <c r="D14" s="643" t="str">
        <f aca="false">IFERROR('Facility Master'!D27,"")</f>
        <v>NFB</v>
      </c>
      <c r="E14" s="643" t="str">
        <f aca="false">IFERROR(IF('Facility Master'!F27,"Sub-limit","Standalone"),"")</f>
        <v>Sub-limit</v>
      </c>
      <c r="F14" s="644" t="n">
        <f aca="false">IFERROR('Facility Master'!K27,0)</f>
        <v>26.08</v>
      </c>
      <c r="G14" s="644" t="n">
        <f aca="false">IFERROR('Facility Master'!M27,0)</f>
        <v>26.08</v>
      </c>
      <c r="H14" s="645" t="n">
        <f aca="false">IFERROR('Facility Master'!N27,0)</f>
        <v>1</v>
      </c>
      <c r="I14" s="664" t="n">
        <f aca="false">IFERROR('Facility Master'!Q27,0)</f>
        <v>0</v>
      </c>
      <c r="J14" s="665" t="n">
        <f aca="false">IFERROR(F14*I14,0)</f>
        <v>0</v>
      </c>
      <c r="K14" s="649" t="n">
        <f aca="false">IFERROR('Facility Master'!AB27,"")</f>
        <v>46265</v>
      </c>
      <c r="L14" s="640" t="n">
        <f aca="false">IFERROR('Facility Master'!H27,0)</f>
        <v>0</v>
      </c>
      <c r="M14" s="666"/>
      <c r="N14" s="666"/>
    </row>
    <row r="15" customFormat="false" ht="19.5" hidden="false" customHeight="true" outlineLevel="0" collapsed="false">
      <c r="A15" s="633" t="n">
        <f aca="false">IFERROR('Facility Master'!A30,"")</f>
        <v>26</v>
      </c>
      <c r="B15" s="356" t="str">
        <f aca="false">IFERROR('Facility Master'!B30,"")</f>
        <v>HSBC</v>
      </c>
      <c r="C15" s="667" t="str">
        <f aca="false">IFERROR('Facility Master'!C30,"")</f>
        <v>Export Controlling line (Uncommitted)</v>
      </c>
      <c r="D15" s="634" t="str">
        <f aca="false">IFERROR('Facility Master'!D30,"")</f>
        <v>NFB</v>
      </c>
      <c r="E15" s="634" t="str">
        <f aca="false">IFERROR(IF('Facility Master'!F30,"Sub-limit","Standalone"),"")</f>
        <v>Sub-limit</v>
      </c>
      <c r="F15" s="635" t="n">
        <f aca="false">IFERROR('Facility Master'!K30,0)</f>
        <v>26.08</v>
      </c>
      <c r="G15" s="635" t="n">
        <f aca="false">IFERROR('Facility Master'!M30,0)</f>
        <v>26.08</v>
      </c>
      <c r="H15" s="636" t="n">
        <f aca="false">IFERROR('Facility Master'!N30,0)</f>
        <v>1</v>
      </c>
      <c r="I15" s="658" t="n">
        <f aca="false">IFERROR('Facility Master'!Q30,0)</f>
        <v>0</v>
      </c>
      <c r="J15" s="659" t="n">
        <f aca="false">IFERROR(F15*I15,0)</f>
        <v>0</v>
      </c>
      <c r="K15" s="639" t="n">
        <f aca="false">IFERROR('Facility Master'!AB30,"")</f>
        <v>46265</v>
      </c>
      <c r="L15" s="633" t="n">
        <f aca="false">IFERROR('Facility Master'!H30,0)</f>
        <v>0</v>
      </c>
      <c r="M15" s="446"/>
      <c r="N15" s="446"/>
    </row>
    <row r="16" customFormat="false" ht="19.5" hidden="false" customHeight="true" outlineLevel="0" collapsed="false">
      <c r="A16" s="640" t="n">
        <f aca="false">IFERROR('Facility Master'!A33,"")</f>
        <v>29</v>
      </c>
      <c r="B16" s="668" t="str">
        <f aca="false">IFERROR('Facility Master'!B33,"")</f>
        <v>HSBC</v>
      </c>
      <c r="C16" s="663" t="str">
        <f aca="false">IFERROR('Facility Master'!C33,"")</f>
        <v>Import Controlling line - 2 (Uncommitted)</v>
      </c>
      <c r="D16" s="643" t="str">
        <f aca="false">IFERROR('Facility Master'!D33,"")</f>
        <v>NFB</v>
      </c>
      <c r="E16" s="643" t="str">
        <f aca="false">IFERROR(IF('Facility Master'!F33,"Sub-limit","Standalone"),"")</f>
        <v>Sub-limit</v>
      </c>
      <c r="F16" s="644" t="n">
        <f aca="false">IFERROR('Facility Master'!K33,0)</f>
        <v>154.58</v>
      </c>
      <c r="G16" s="644" t="n">
        <f aca="false">IFERROR('Facility Master'!M33,0)</f>
        <v>154.58</v>
      </c>
      <c r="H16" s="645" t="n">
        <f aca="false">IFERROR('Facility Master'!N33,0)</f>
        <v>1</v>
      </c>
      <c r="I16" s="664" t="n">
        <f aca="false">IFERROR('Facility Master'!Q33,0)</f>
        <v>0</v>
      </c>
      <c r="J16" s="665" t="n">
        <f aca="false">IFERROR(F16*I16,0)</f>
        <v>0</v>
      </c>
      <c r="K16" s="649" t="n">
        <f aca="false">IFERROR('Facility Master'!AB33,"")</f>
        <v>46265</v>
      </c>
      <c r="L16" s="640" t="n">
        <f aca="false">IFERROR('Facility Master'!H33,0)</f>
        <v>0</v>
      </c>
      <c r="M16" s="666"/>
      <c r="N16" s="666"/>
    </row>
    <row r="17" customFormat="false" ht="19.5" hidden="false" customHeight="true" outlineLevel="0" collapsed="false">
      <c r="A17" s="633" t="n">
        <f aca="false">IFERROR('Facility Master'!A34,"")</f>
        <v>30</v>
      </c>
      <c r="B17" s="356" t="str">
        <f aca="false">IFERROR('Facility Master'!B34,"")</f>
        <v>HSBC</v>
      </c>
      <c r="C17" s="667" t="str">
        <f aca="false">IFERROR('Facility Master'!C34,"")</f>
        <v>Import Documentary Credit - 12 (Uncommitted)</v>
      </c>
      <c r="D17" s="634" t="str">
        <f aca="false">IFERROR('Facility Master'!D34,"")</f>
        <v>NFB</v>
      </c>
      <c r="E17" s="634" t="str">
        <f aca="false">IFERROR(IF('Facility Master'!F34,"Sub-limit","Standalone"),"")</f>
        <v>Sub-limit</v>
      </c>
      <c r="F17" s="635" t="n">
        <f aca="false">IFERROR('Facility Master'!K34,0)</f>
        <v>154.58</v>
      </c>
      <c r="G17" s="635" t="n">
        <f aca="false">IFERROR('Facility Master'!M34,0)</f>
        <v>154.58</v>
      </c>
      <c r="H17" s="636" t="n">
        <f aca="false">IFERROR('Facility Master'!N34,0)</f>
        <v>1</v>
      </c>
      <c r="I17" s="658" t="n">
        <f aca="false">IFERROR('Facility Master'!Q34,0)</f>
        <v>0</v>
      </c>
      <c r="J17" s="659" t="n">
        <f aca="false">IFERROR(F17*I17,0)</f>
        <v>0</v>
      </c>
      <c r="K17" s="639" t="n">
        <f aca="false">IFERROR('Facility Master'!AB34,"")</f>
        <v>46265</v>
      </c>
      <c r="L17" s="633" t="n">
        <f aca="false">IFERROR('Facility Master'!H34,0)</f>
        <v>0</v>
      </c>
      <c r="M17" s="446"/>
      <c r="N17" s="446"/>
    </row>
    <row r="18" customFormat="false" ht="19.5" hidden="false" customHeight="true" outlineLevel="0" collapsed="false">
      <c r="A18" s="640" t="n">
        <f aca="false">IFERROR('Facility Master'!A35,"")</f>
        <v>31</v>
      </c>
      <c r="B18" s="668" t="str">
        <f aca="false">IFERROR('Facility Master'!B35,"")</f>
        <v>HSBC</v>
      </c>
      <c r="C18" s="663" t="str">
        <f aca="false">IFERROR('Facility Master'!C35,"")</f>
        <v>Import Documentary Credit - 13 (Uncommitted)</v>
      </c>
      <c r="D18" s="643" t="str">
        <f aca="false">IFERROR('Facility Master'!D35,"")</f>
        <v>NFB</v>
      </c>
      <c r="E18" s="643" t="str">
        <f aca="false">IFERROR(IF('Facility Master'!F35,"Sub-limit","Standalone"),"")</f>
        <v>Sub-limit</v>
      </c>
      <c r="F18" s="644" t="n">
        <f aca="false">IFERROR('Facility Master'!K35,0)</f>
        <v>10</v>
      </c>
      <c r="G18" s="644" t="n">
        <f aca="false">IFERROR('Facility Master'!M35,0)</f>
        <v>10</v>
      </c>
      <c r="H18" s="645" t="n">
        <f aca="false">IFERROR('Facility Master'!N35,0)</f>
        <v>1</v>
      </c>
      <c r="I18" s="664" t="n">
        <f aca="false">IFERROR('Facility Master'!Q35,0)</f>
        <v>0</v>
      </c>
      <c r="J18" s="665" t="n">
        <f aca="false">IFERROR(F18*I18,0)</f>
        <v>0</v>
      </c>
      <c r="K18" s="649" t="n">
        <f aca="false">IFERROR('Facility Master'!AB35,"")</f>
        <v>46265</v>
      </c>
      <c r="L18" s="640" t="n">
        <f aca="false">IFERROR('Facility Master'!H35,0)</f>
        <v>0</v>
      </c>
      <c r="M18" s="666"/>
      <c r="N18" s="666"/>
    </row>
    <row r="19" customFormat="false" ht="19.5" hidden="false" customHeight="true" outlineLevel="0" collapsed="false">
      <c r="A19" s="633" t="n">
        <f aca="false">IFERROR('Facility Master'!A36,"")</f>
        <v>32</v>
      </c>
      <c r="B19" s="356" t="str">
        <f aca="false">IFERROR('Facility Master'!B36,"")</f>
        <v>HSBC</v>
      </c>
      <c r="C19" s="667" t="str">
        <f aca="false">IFERROR('Facility Master'!C36,"")</f>
        <v>Guarantees/Bonds Non-Financial (Uncommitted)</v>
      </c>
      <c r="D19" s="634" t="str">
        <f aca="false">IFERROR('Facility Master'!D36,"")</f>
        <v>NFB</v>
      </c>
      <c r="E19" s="634" t="str">
        <f aca="false">IFERROR(IF('Facility Master'!F36,"Sub-limit","Standalone"),"")</f>
        <v>Sub-limit</v>
      </c>
      <c r="F19" s="635" t="n">
        <f aca="false">IFERROR('Facility Master'!K36,0)</f>
        <v>17.4</v>
      </c>
      <c r="G19" s="635" t="n">
        <f aca="false">IFERROR('Facility Master'!M36,0)</f>
        <v>17.4</v>
      </c>
      <c r="H19" s="636" t="n">
        <f aca="false">IFERROR('Facility Master'!N36,0)</f>
        <v>1</v>
      </c>
      <c r="I19" s="658" t="n">
        <f aca="false">IFERROR('Facility Master'!Q36,0)</f>
        <v>0</v>
      </c>
      <c r="J19" s="659" t="n">
        <f aca="false">IFERROR(F19*I19,0)</f>
        <v>0</v>
      </c>
      <c r="K19" s="639" t="n">
        <f aca="false">IFERROR('Facility Master'!AB36,"")</f>
        <v>46265</v>
      </c>
      <c r="L19" s="633" t="n">
        <f aca="false">IFERROR('Facility Master'!H36,0)</f>
        <v>0</v>
      </c>
      <c r="M19" s="446"/>
      <c r="N19" s="446"/>
    </row>
    <row r="20" customFormat="false" ht="19.5" hidden="false" customHeight="true" outlineLevel="0" collapsed="false">
      <c r="A20" s="623" t="n">
        <f aca="false">IFERROR('Facility Master'!A37,"")</f>
        <v>33</v>
      </c>
      <c r="B20" s="624" t="str">
        <f aca="false">IFERROR('Facility Master'!B37,"")</f>
        <v>HSBC</v>
      </c>
      <c r="C20" s="653" t="str">
        <f aca="false">IFERROR('Facility Master'!C37,"")</f>
        <v>Guarantees/Bonds Financial (Uncommitted)</v>
      </c>
      <c r="D20" s="626" t="str">
        <f aca="false">IFERROR('Facility Master'!D37,"")</f>
        <v>NFB</v>
      </c>
      <c r="E20" s="626" t="str">
        <f aca="false">IFERROR(IF('Facility Master'!F37,"Sub-limit","Standalone"),"")</f>
        <v>Sub-limit</v>
      </c>
      <c r="F20" s="627" t="n">
        <f aca="false">IFERROR('Facility Master'!K37,0)</f>
        <v>1.94</v>
      </c>
      <c r="G20" s="627" t="n">
        <f aca="false">IFERROR('Facility Master'!M37,0)</f>
        <v>1.94</v>
      </c>
      <c r="H20" s="628" t="n">
        <f aca="false">IFERROR('Facility Master'!N37,0)</f>
        <v>1</v>
      </c>
      <c r="I20" s="654" t="n">
        <f aca="false">IFERROR('Facility Master'!Q37,0)</f>
        <v>0</v>
      </c>
      <c r="J20" s="655" t="n">
        <f aca="false">IFERROR(F20*I20,0)</f>
        <v>0</v>
      </c>
      <c r="K20" s="632" t="n">
        <f aca="false">IFERROR('Facility Master'!AB37,"")</f>
        <v>46265</v>
      </c>
      <c r="L20" s="623" t="n">
        <f aca="false">IFERROR('Facility Master'!H37,0)</f>
        <v>0</v>
      </c>
      <c r="M20" s="656"/>
      <c r="N20" s="656"/>
    </row>
    <row r="21" customFormat="false" ht="19.5" hidden="false" customHeight="true" outlineLevel="0" collapsed="false">
      <c r="A21" s="633" t="n">
        <f aca="false">IFERROR('Facility Master'!A38,"")</f>
        <v>34</v>
      </c>
      <c r="B21" s="356" t="str">
        <f aca="false">IFERROR('Facility Master'!B38,"")</f>
        <v>HDFC Bank</v>
      </c>
      <c r="C21" s="357" t="str">
        <f aca="false">IFERROR('Facility Master'!C38,"")</f>
        <v>Letter of Credit (WC parent)</v>
      </c>
      <c r="D21" s="634" t="str">
        <f aca="false">IFERROR('Facility Master'!D38,"")</f>
        <v>NFB</v>
      </c>
      <c r="E21" s="634" t="str">
        <f aca="false">IFERROR(IF('Facility Master'!F38,"Sub-limit","Standalone"),"")</f>
        <v>Standalone</v>
      </c>
      <c r="F21" s="635" t="n">
        <f aca="false">IFERROR('Facility Master'!K38,0)</f>
        <v>250</v>
      </c>
      <c r="G21" s="635" t="n">
        <f aca="false">IFERROR('Facility Master'!M38,0)</f>
        <v>250</v>
      </c>
      <c r="H21" s="636" t="n">
        <f aca="false">IFERROR('Facility Master'!N38,0)</f>
        <v>1</v>
      </c>
      <c r="I21" s="658" t="n">
        <f aca="false">IFERROR('Facility Master'!Q38,0)</f>
        <v>0.005</v>
      </c>
      <c r="J21" s="659" t="n">
        <f aca="false">IFERROR(F21*I21,0)</f>
        <v>1.25</v>
      </c>
      <c r="K21" s="639" t="n">
        <f aca="false">IFERROR('Facility Master'!AB38,"")</f>
        <v>46265</v>
      </c>
      <c r="L21" s="633" t="n">
        <f aca="false">IFERROR('Facility Master'!H38,0)</f>
        <v>2</v>
      </c>
      <c r="M21" s="446"/>
      <c r="N21" s="446"/>
    </row>
    <row r="22" customFormat="false" ht="19.5" hidden="false" customHeight="true" outlineLevel="0" collapsed="false">
      <c r="A22" s="623" t="n">
        <f aca="false">IFERROR('Facility Master'!A41,"")</f>
        <v>37</v>
      </c>
      <c r="B22" s="669" t="s">
        <v>167</v>
      </c>
      <c r="C22" s="653" t="str">
        <f aca="false">IFERROR('Facility Master'!C41,"")</f>
        <v>SBLC (sub of LC)</v>
      </c>
      <c r="D22" s="626" t="str">
        <f aca="false">IFERROR('Facility Master'!D41,"")</f>
        <v>NFB</v>
      </c>
      <c r="E22" s="626" t="str">
        <f aca="false">IFERROR(IF('Facility Master'!F41,"Sub-limit","Standalone"),"")</f>
        <v>Sub-limit</v>
      </c>
      <c r="F22" s="627" t="n">
        <f aca="false">IFERROR('Facility Master'!K41,0)</f>
        <v>250</v>
      </c>
      <c r="G22" s="627" t="n">
        <f aca="false">IFERROR('Facility Master'!M41,0)</f>
        <v>250</v>
      </c>
      <c r="H22" s="628" t="n">
        <f aca="false">IFERROR('Facility Master'!N41,0)</f>
        <v>1</v>
      </c>
      <c r="I22" s="654" t="n">
        <f aca="false">IFERROR('Facility Master'!Q41,0)</f>
        <v>0</v>
      </c>
      <c r="J22" s="655" t="n">
        <f aca="false">IFERROR(F22*I22,0)</f>
        <v>0</v>
      </c>
      <c r="K22" s="632" t="n">
        <f aca="false">IFERROR('Facility Master'!AB41,"")</f>
        <v>46265</v>
      </c>
      <c r="L22" s="623" t="n">
        <f aca="false">IFERROR('Facility Master'!H41,0)</f>
        <v>0</v>
      </c>
      <c r="M22" s="656"/>
      <c r="N22" s="656"/>
    </row>
    <row r="23" customFormat="false" ht="19.5" hidden="false" customHeight="true" outlineLevel="0" collapsed="false">
      <c r="A23" s="613" t="n">
        <f aca="false">IFERROR('Facility Master'!A45,"")</f>
        <v>41</v>
      </c>
      <c r="B23" s="670" t="s">
        <v>167</v>
      </c>
      <c r="C23" s="671" t="str">
        <f aca="false">IFERROR('Facility Master'!C45,"")</f>
        <v>BG (sub of FD-OD)</v>
      </c>
      <c r="D23" s="616" t="str">
        <f aca="false">IFERROR('Facility Master'!D45,"")</f>
        <v>NFB</v>
      </c>
      <c r="E23" s="616" t="str">
        <f aca="false">IFERROR(IF('Facility Master'!F45,"Sub-limit","Standalone"),"")</f>
        <v>Sub-limit</v>
      </c>
      <c r="F23" s="617" t="n">
        <f aca="false">IFERROR('Facility Master'!K45,0)</f>
        <v>50</v>
      </c>
      <c r="G23" s="617" t="n">
        <f aca="false">IFERROR('Facility Master'!M45,0)</f>
        <v>50</v>
      </c>
      <c r="H23" s="618" t="n">
        <f aca="false">IFERROR('Facility Master'!N45,0)</f>
        <v>1</v>
      </c>
      <c r="I23" s="661" t="n">
        <f aca="false">IFERROR('Facility Master'!Q45,0)</f>
        <v>0</v>
      </c>
      <c r="J23" s="662" t="n">
        <f aca="false">IFERROR(F23*I23,0)</f>
        <v>0</v>
      </c>
      <c r="K23" s="622" t="n">
        <f aca="false">IFERROR('Facility Master'!AB45,"")</f>
        <v>46265</v>
      </c>
      <c r="L23" s="613" t="n">
        <f aca="false">IFERROR('Facility Master'!H45,0)</f>
        <v>0</v>
      </c>
      <c r="M23" s="477"/>
      <c r="N23" s="477"/>
    </row>
    <row r="24" customFormat="false" ht="19.5" hidden="false" customHeight="true" outlineLevel="0" collapsed="false">
      <c r="A24" s="613" t="n">
        <f aca="false">IFERROR('Facility Master'!A47,"")</f>
        <v>43</v>
      </c>
      <c r="B24" s="672" t="str">
        <f aca="false">IFERROR('Facility Master'!B47,"")</f>
        <v>ICICI Bank (TL)</v>
      </c>
      <c r="C24" s="671" t="str">
        <f aca="false">IFERROR('Facility Master'!C47,"")</f>
        <v>BG Financial (sub of RTL)</v>
      </c>
      <c r="D24" s="616" t="str">
        <f aca="false">IFERROR('Facility Master'!D47,"")</f>
        <v>NFB</v>
      </c>
      <c r="E24" s="616" t="str">
        <f aca="false">IFERROR(IF('Facility Master'!F47,"Sub-limit","Standalone"),"")</f>
        <v>Sub-limit</v>
      </c>
      <c r="F24" s="617" t="n">
        <f aca="false">IFERROR('Facility Master'!K47,0)</f>
        <v>20</v>
      </c>
      <c r="G24" s="617" t="n">
        <f aca="false">IFERROR('Facility Master'!M47,0)</f>
        <v>20</v>
      </c>
      <c r="H24" s="618" t="n">
        <f aca="false">IFERROR('Facility Master'!N47,0)</f>
        <v>1</v>
      </c>
      <c r="I24" s="661" t="n">
        <f aca="false">IFERROR('Facility Master'!Q47,0)</f>
        <v>0.0075</v>
      </c>
      <c r="J24" s="662" t="n">
        <f aca="false">IFERROR(F24*I24,0)</f>
        <v>0.15</v>
      </c>
      <c r="K24" s="622" t="n">
        <f aca="false">IFERROR('Facility Master'!AB47,"")</f>
        <v>47204</v>
      </c>
      <c r="L24" s="613" t="n">
        <f aca="false">IFERROR('Facility Master'!H47,0)</f>
        <v>0</v>
      </c>
      <c r="M24" s="477"/>
      <c r="N24" s="477"/>
    </row>
    <row r="25" customFormat="false" ht="19.5" hidden="false" customHeight="true" outlineLevel="0" collapsed="false">
      <c r="A25" s="673" t="n">
        <f aca="false">IFERROR('Facility Master'!A48,"")</f>
        <v>44</v>
      </c>
      <c r="B25" s="674" t="str">
        <f aca="false">IFERROR('Facility Master'!B48,"")</f>
        <v>ICICI Bank (TL)</v>
      </c>
      <c r="C25" s="675" t="str">
        <f aca="false">IFERROR('Facility Master'!C48,"")</f>
        <v>SBLC Buyers Credit (sub of RTL)</v>
      </c>
      <c r="D25" s="676" t="str">
        <f aca="false">IFERROR('Facility Master'!D48,"")</f>
        <v>NFB</v>
      </c>
      <c r="E25" s="676" t="str">
        <f aca="false">IFERROR(IF('Facility Master'!F48,"Sub-limit","Standalone"),"")</f>
        <v>Sub-limit</v>
      </c>
      <c r="F25" s="677" t="n">
        <f aca="false">IFERROR('Facility Master'!K48,0)</f>
        <v>20</v>
      </c>
      <c r="G25" s="677" t="n">
        <f aca="false">IFERROR('Facility Master'!M48,0)</f>
        <v>20</v>
      </c>
      <c r="H25" s="678" t="n">
        <f aca="false">IFERROR('Facility Master'!N48,0)</f>
        <v>1</v>
      </c>
      <c r="I25" s="679" t="n">
        <f aca="false">IFERROR('Facility Master'!Q48,0)</f>
        <v>0.0075</v>
      </c>
      <c r="J25" s="680" t="n">
        <f aca="false">IFERROR(F25*I25,0)</f>
        <v>0.15</v>
      </c>
      <c r="K25" s="681" t="n">
        <f aca="false">IFERROR('Facility Master'!AB48,"")</f>
        <v>47204</v>
      </c>
      <c r="L25" s="673" t="n">
        <f aca="false">IFERROR('Facility Master'!H48,0)</f>
        <v>0</v>
      </c>
      <c r="M25" s="477"/>
      <c r="N25" s="477"/>
    </row>
    <row r="26" customFormat="false" ht="21.75" hidden="false" customHeight="true" outlineLevel="0" collapsed="false">
      <c r="A26" s="300" t="s">
        <v>635</v>
      </c>
      <c r="B26" s="455"/>
      <c r="C26" s="455"/>
      <c r="D26" s="455"/>
      <c r="E26" s="455"/>
      <c r="F26" s="650" t="n">
        <f aca="false">SUM(F4:F25)</f>
        <v>3469.24</v>
      </c>
      <c r="G26" s="650" t="n">
        <f aca="false">SUM(G4:G25)</f>
        <v>3469.24</v>
      </c>
      <c r="H26" s="455"/>
      <c r="I26" s="455"/>
      <c r="J26" s="682" t="n">
        <f aca="false">SUM(J4:J25)</f>
        <v>13.325</v>
      </c>
      <c r="K26" s="455"/>
      <c r="L26" s="455"/>
      <c r="M26" s="455"/>
      <c r="N26" s="455"/>
    </row>
    <row r="27" customFormat="false" ht="36" hidden="false" customHeight="true" outlineLevel="0" collapsed="false">
      <c r="A27" s="651" t="s">
        <v>641</v>
      </c>
      <c r="B27" s="683" t="s">
        <v>167</v>
      </c>
      <c r="C27" s="652"/>
      <c r="D27" s="652"/>
      <c r="E27" s="652"/>
      <c r="F27" s="652"/>
      <c r="G27" s="652"/>
      <c r="H27" s="652"/>
      <c r="I27" s="652"/>
      <c r="J27" s="652"/>
      <c r="K27" s="652"/>
      <c r="L27" s="652"/>
      <c r="M27" s="652"/>
      <c r="N27" s="652"/>
    </row>
    <row r="28" customFormat="false" ht="30" hidden="false" customHeight="true" outlineLevel="0" collapsed="false">
      <c r="A28" s="684" t="s">
        <v>642</v>
      </c>
      <c r="B28" s="685"/>
      <c r="C28" s="685"/>
      <c r="D28" s="685"/>
      <c r="E28" s="685"/>
      <c r="F28" s="685"/>
      <c r="G28" s="685"/>
      <c r="H28" s="685"/>
      <c r="I28" s="685"/>
      <c r="J28" s="685"/>
      <c r="K28" s="685"/>
      <c r="L28" s="685"/>
      <c r="M28" s="685"/>
      <c r="N28" s="685"/>
    </row>
    <row r="29" customFormat="false" ht="14.25" hidden="true" customHeight="true" outlineLevel="0" collapsed="false"/>
    <row r="30" customFormat="false" ht="14.25" hidden="true" customHeight="true" outlineLevel="0" collapsed="false">
      <c r="B30" s="686" t="s">
        <v>167</v>
      </c>
    </row>
    <row r="31" customFormat="false" ht="14.25" hidden="true" customHeight="true" outlineLevel="0" collapsed="false">
      <c r="B31" s="686" t="s">
        <v>167</v>
      </c>
    </row>
    <row r="32" customFormat="false" ht="14.25" hidden="true" customHeight="true" outlineLevel="0" collapsed="false">
      <c r="B32" s="686" t="s">
        <v>167</v>
      </c>
    </row>
    <row r="33" customFormat="false" ht="14.25" hidden="true" customHeight="true" outlineLevel="0" collapsed="false">
      <c r="B33" s="686" t="s">
        <v>167</v>
      </c>
    </row>
    <row r="34" customFormat="false" ht="14.25" hidden="true" customHeight="true" outlineLevel="0" collapsed="false">
      <c r="B34" s="686" t="s">
        <v>167</v>
      </c>
    </row>
    <row r="35" customFormat="false" ht="14.25" hidden="true" customHeight="true" outlineLevel="0" collapsed="false"/>
    <row r="36" customFormat="false" ht="14.25" hidden="true" customHeight="true" outlineLevel="0" collapsed="false"/>
    <row r="37" customFormat="false" ht="14.25" hidden="true" customHeight="true" outlineLevel="0" collapsed="false"/>
    <row r="38" customFormat="false" ht="14.25" hidden="true" customHeight="true" outlineLevel="0" collapsed="false"/>
    <row r="39" customFormat="false" ht="14.25" hidden="true" customHeight="true" outlineLevel="0" collapsed="false"/>
    <row r="40" customFormat="false" ht="14.25" hidden="true" customHeight="true" outlineLevel="0" collapsed="false"/>
    <row r="41" customFormat="false" ht="14.25" hidden="true" customHeight="true" outlineLevel="0" collapsed="false"/>
    <row r="42" customFormat="false" ht="14.25" hidden="true" customHeight="true" outlineLevel="0" collapsed="false"/>
    <row r="43" customFormat="false" ht="14.25" hidden="true" customHeight="true" outlineLevel="0" collapsed="false"/>
    <row r="44" customFormat="false" ht="14.25" hidden="true" customHeight="true" outlineLevel="0" collapsed="false"/>
    <row r="45" customFormat="false" ht="14.25" hidden="true" customHeight="true" outlineLevel="0" collapsed="false"/>
    <row r="46" customFormat="false" ht="14.25" hidden="true" customHeight="true" outlineLevel="0" collapsed="false"/>
    <row r="47" customFormat="false" ht="14.25" hidden="true" customHeight="true" outlineLevel="0" collapsed="false"/>
    <row r="48" customFormat="false" ht="14.25" hidden="true" customHeight="true" outlineLevel="0" collapsed="false"/>
    <row r="49" customFormat="false" ht="14.25" hidden="true" customHeight="true" outlineLevel="0" collapsed="false"/>
    <row r="50" customFormat="false" ht="14.25" hidden="true" customHeight="true" outlineLevel="0" collapsed="false"/>
    <row r="51" customFormat="false" ht="14.25" hidden="true" customHeight="true" outlineLevel="0" collapsed="false"/>
    <row r="52" customFormat="false" ht="14.25" hidden="true" customHeight="true" outlineLevel="0" collapsed="false"/>
    <row r="53" customFormat="false" ht="14.25" hidden="true" customHeight="true" outlineLevel="0" collapsed="false"/>
    <row r="54" customFormat="false" ht="14.25" hidden="true" customHeight="true" outlineLevel="0" collapsed="false"/>
    <row r="55" customFormat="false" ht="14.25" hidden="true" customHeight="true" outlineLevel="0" collapsed="false"/>
    <row r="56" customFormat="false" ht="14.25" hidden="true" customHeight="true" outlineLevel="0" collapsed="false"/>
    <row r="57" customFormat="false" ht="14.25" hidden="true" customHeight="true" outlineLevel="0" collapsed="false"/>
    <row r="58" customFormat="false" ht="14.25" hidden="true" customHeight="true" outlineLevel="0" collapsed="false"/>
    <row r="59" customFormat="false" ht="14.25" hidden="true" customHeight="true" outlineLevel="0" collapsed="false"/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  <row r="201" customFormat="false" ht="14.25" hidden="true" customHeight="true" outlineLevel="0" collapsed="false"/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ACC6"/>
    <pageSetUpPr fitToPage="false"/>
  </sheetPr>
  <dimension ref="A1:A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66" activePane="bottomRight" state="frozen"/>
      <selection pane="topLeft" activeCell="A1" activeCellId="0" sqref="A1"/>
      <selection pane="topRight" activeCell="D1" activeCellId="0" sqref="D1"/>
      <selection pane="bottomLeft" activeCell="A66" activeCellId="0" sqref="A66"/>
      <selection pane="bottomRight" activeCell="F23" activeCellId="0" sqref="F2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.21"/>
    <col collapsed="false" customWidth="true" hidden="false" outlineLevel="0" max="2" min="2" style="1" width="12"/>
    <col collapsed="false" customWidth="true" hidden="false" outlineLevel="0" max="41" min="3" style="1" width="10.2"/>
    <col collapsed="false" customWidth="true" hidden="false" outlineLevel="0" max="42" min="42" style="1" width="12"/>
  </cols>
  <sheetData>
    <row r="1" customFormat="false" ht="27.75" hidden="false" customHeight="true" outlineLevel="0" collapsed="false">
      <c r="A1" s="340" t="s">
        <v>643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340"/>
      <c r="AJ1" s="340"/>
      <c r="AK1" s="340"/>
      <c r="AL1" s="340"/>
      <c r="AM1" s="340"/>
      <c r="AN1" s="340"/>
      <c r="AO1" s="340"/>
      <c r="AP1" s="340"/>
    </row>
    <row r="2" customFormat="false" ht="27.75" hidden="false" customHeight="true" outlineLevel="0" collapsed="false">
      <c r="A2" s="687" t="s">
        <v>644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7"/>
      <c r="AD2" s="687"/>
      <c r="AE2" s="687"/>
      <c r="AF2" s="687"/>
      <c r="AG2" s="687"/>
      <c r="AH2" s="687"/>
      <c r="AI2" s="687"/>
      <c r="AJ2" s="687"/>
      <c r="AK2" s="687"/>
      <c r="AL2" s="687"/>
      <c r="AM2" s="687"/>
      <c r="AN2" s="687"/>
      <c r="AO2" s="687"/>
      <c r="AP2" s="687"/>
    </row>
    <row r="3" customFormat="false" ht="24" hidden="false" customHeight="true" outlineLevel="0" collapsed="false">
      <c r="A3" s="688" t="s">
        <v>645</v>
      </c>
      <c r="B3" s="688"/>
      <c r="C3" s="688"/>
      <c r="D3" s="689" t="s">
        <v>646</v>
      </c>
      <c r="E3" s="689"/>
      <c r="F3" s="689"/>
      <c r="G3" s="689"/>
      <c r="H3" s="689"/>
      <c r="I3" s="689" t="s">
        <v>647</v>
      </c>
      <c r="J3" s="689"/>
      <c r="K3" s="689"/>
      <c r="L3" s="689"/>
      <c r="M3" s="689"/>
      <c r="N3" s="689" t="s">
        <v>648</v>
      </c>
      <c r="O3" s="689"/>
      <c r="P3" s="689"/>
      <c r="Q3" s="689"/>
      <c r="R3" s="689"/>
      <c r="S3" s="690" t="s">
        <v>649</v>
      </c>
      <c r="T3" s="690"/>
      <c r="U3" s="690"/>
      <c r="V3" s="690"/>
      <c r="W3" s="690"/>
      <c r="X3" s="689" t="s">
        <v>650</v>
      </c>
      <c r="Y3" s="689"/>
      <c r="Z3" s="689"/>
      <c r="AA3" s="689"/>
      <c r="AB3" s="689"/>
      <c r="AC3" s="689" t="s">
        <v>651</v>
      </c>
      <c r="AD3" s="689"/>
      <c r="AE3" s="689"/>
      <c r="AF3" s="689"/>
      <c r="AG3" s="689"/>
      <c r="AH3" s="691" t="s">
        <v>652</v>
      </c>
      <c r="AI3" s="691"/>
      <c r="AJ3" s="691"/>
      <c r="AK3" s="691"/>
      <c r="AL3" s="691"/>
      <c r="AM3" s="692" t="s">
        <v>653</v>
      </c>
      <c r="AN3" s="692"/>
      <c r="AO3" s="692"/>
      <c r="AP3" s="692"/>
    </row>
    <row r="4" customFormat="false" ht="27.75" hidden="false" customHeight="true" outlineLevel="0" collapsed="false">
      <c r="A4" s="693" t="s">
        <v>153</v>
      </c>
      <c r="B4" s="693" t="s">
        <v>654</v>
      </c>
      <c r="C4" s="693" t="s">
        <v>655</v>
      </c>
      <c r="D4" s="693" t="s">
        <v>656</v>
      </c>
      <c r="E4" s="693" t="s">
        <v>657</v>
      </c>
      <c r="F4" s="693" t="s">
        <v>658</v>
      </c>
      <c r="G4" s="693" t="s">
        <v>659</v>
      </c>
      <c r="H4" s="693" t="s">
        <v>660</v>
      </c>
      <c r="I4" s="693" t="s">
        <v>656</v>
      </c>
      <c r="J4" s="693" t="s">
        <v>657</v>
      </c>
      <c r="K4" s="693" t="s">
        <v>658</v>
      </c>
      <c r="L4" s="693" t="s">
        <v>659</v>
      </c>
      <c r="M4" s="693" t="s">
        <v>660</v>
      </c>
      <c r="N4" s="693" t="s">
        <v>656</v>
      </c>
      <c r="O4" s="693" t="s">
        <v>657</v>
      </c>
      <c r="P4" s="693" t="s">
        <v>658</v>
      </c>
      <c r="Q4" s="693" t="s">
        <v>659</v>
      </c>
      <c r="R4" s="693" t="s">
        <v>660</v>
      </c>
      <c r="S4" s="694" t="s">
        <v>656</v>
      </c>
      <c r="T4" s="694" t="s">
        <v>657</v>
      </c>
      <c r="U4" s="694" t="s">
        <v>658</v>
      </c>
      <c r="V4" s="694" t="s">
        <v>659</v>
      </c>
      <c r="W4" s="694" t="s">
        <v>660</v>
      </c>
      <c r="X4" s="693" t="s">
        <v>656</v>
      </c>
      <c r="Y4" s="693" t="s">
        <v>657</v>
      </c>
      <c r="Z4" s="693" t="s">
        <v>658</v>
      </c>
      <c r="AA4" s="693" t="s">
        <v>659</v>
      </c>
      <c r="AB4" s="693" t="s">
        <v>660</v>
      </c>
      <c r="AC4" s="693" t="s">
        <v>656</v>
      </c>
      <c r="AD4" s="693" t="s">
        <v>657</v>
      </c>
      <c r="AE4" s="693" t="s">
        <v>658</v>
      </c>
      <c r="AF4" s="693" t="s">
        <v>659</v>
      </c>
      <c r="AG4" s="693" t="s">
        <v>660</v>
      </c>
      <c r="AH4" s="695" t="s">
        <v>656</v>
      </c>
      <c r="AI4" s="695" t="s">
        <v>657</v>
      </c>
      <c r="AJ4" s="695" t="s">
        <v>658</v>
      </c>
      <c r="AK4" s="695" t="s">
        <v>659</v>
      </c>
      <c r="AL4" s="695" t="s">
        <v>660</v>
      </c>
      <c r="AM4" s="693" t="s">
        <v>661</v>
      </c>
      <c r="AN4" s="693" t="s">
        <v>662</v>
      </c>
      <c r="AO4" s="693" t="s">
        <v>663</v>
      </c>
      <c r="AP4" s="693" t="s">
        <v>664</v>
      </c>
    </row>
    <row r="5" customFormat="false" ht="15.75" hidden="false" customHeight="true" outlineLevel="0" collapsed="false">
      <c r="A5" s="496" t="n">
        <v>1</v>
      </c>
      <c r="B5" s="696" t="n">
        <v>45107</v>
      </c>
      <c r="C5" s="496" t="s">
        <v>665</v>
      </c>
      <c r="D5" s="500" t="n">
        <f aca="false">0</f>
        <v>0</v>
      </c>
      <c r="E5" s="500" t="n">
        <f aca="false">IFERROR(IF(INDEX('Facility Master'!X:X,MATCH(UBI_RTL1_SNo,'Facility Master'!A:A,0))&lt;=B5,INDEX('Facility Master'!K:K,MATCH(UBI_RTL1_SNo,'Facility Master'!A:A,0)),0),0)</f>
        <v>1125</v>
      </c>
      <c r="F5" s="500" t="n">
        <f aca="false">IFERROR(IF(B5&lt;UBI_RTL1_RepStart,0,IF(B5&gt;UBI_RTL1_Maturity,0,IF(COUNTIFS($B$5:$B5,"&gt;="&amp;UBI_RTL1_RepStart,$B$5:$B5,"&lt;="&amp;UBI_RTL1_Maturity)&lt;=8,INDEX('Facility Master'!K:K,MATCH(UBI_RTL1_SNo,'Facility Master'!A:A,0))*0.0125,IF(COUNTIFS($B$5:$B5,"&gt;="&amp;UBI_RTL1_RepStart,$B$5:$B5,"&lt;="&amp;UBI_RTL1_Maturity)&lt;=48,INDEX('Facility Master'!K:K,MATCH(UBI_RTL1_SNo,'Facility Master'!A:A,0))*0.0225,0)))),0)</f>
        <v>0</v>
      </c>
      <c r="G5" s="500" t="n">
        <f aca="false">IFERROR((D5+(E5-F5)/2)*INDEX('Facility Master'!R:R,MATCH(UBI_RTL1_SNo,'Facility Master'!A:A,0))*91/DaysInYear,0)</f>
        <v>13.1825342465753</v>
      </c>
      <c r="H5" s="500" t="n">
        <f aca="false">IFERROR(ROUND(MAX(D5+E5-F5,0),6),0)</f>
        <v>1125</v>
      </c>
      <c r="I5" s="500" t="n">
        <f aca="false">0</f>
        <v>0</v>
      </c>
      <c r="J5" s="500" t="n">
        <f aca="false">IFERROR(IF(INDEX('Facility Master'!X:X,MATCH(UBI_RTL2_SNo,'Facility Master'!A:A,0))&lt;=B5,INDEX('Facility Master'!K:K,MATCH(UBI_RTL2_SNo,'Facility Master'!A:A,0)),0),0)</f>
        <v>0</v>
      </c>
      <c r="K5" s="500" t="n">
        <f aca="false">IFERROR(IF(B5&lt;UBI_RTL2_RepStart,0,IF(B5&gt;UBI_RTL2_Maturity,0,IF(COUNTIFS($B$5:$B5,"&gt;="&amp;UBI_RTL2_RepStart,$B$5:$B5,"&lt;="&amp;UBI_RTL2_Maturity)&lt;=8,INDEX('Facility Master'!K:K,MATCH(UBI_RTL2_SNo,'Facility Master'!A:A,0))*0.0125,IF(COUNTIFS($B$5:$B5,"&gt;="&amp;UBI_RTL2_RepStart,$B$5:$B5,"&lt;="&amp;UBI_RTL2_Maturity)&lt;=48,INDEX('Facility Master'!K:K,MATCH(UBI_RTL2_SNo,'Facility Master'!A:A,0))*0.0225,0)))),0)</f>
        <v>0</v>
      </c>
      <c r="L5" s="500" t="n">
        <f aca="false">IFERROR((I5+(J5-K5)/2)*INDEX('Facility Master'!R:R,MATCH(UBI_RTL2_SNo,'Facility Master'!A:A,0))*91/DaysInYear,0)</f>
        <v>0</v>
      </c>
      <c r="M5" s="500" t="n">
        <f aca="false">IFERROR(ROUND(MAX(I5+J5-K5,0),6),0)</f>
        <v>0</v>
      </c>
      <c r="N5" s="500" t="n">
        <f aca="false">0</f>
        <v>0</v>
      </c>
      <c r="O5" s="500" t="n">
        <f aca="false">IFERROR(IF(INDEX('Facility Master'!X:X,MATCH(IB_TL_SNo,'Facility Master'!A:A,0))&lt;=B5,INDEX('Facility Master'!K:K,MATCH(IB_TL_SNo,'Facility Master'!A:A,0)),0),0)</f>
        <v>235</v>
      </c>
      <c r="P5" s="500" t="n">
        <f aca="false">IFERROR(IF(B5&lt;IB_TL_RepStart,0,IF(B5&gt;IB_TL_Maturity,0,IF(COUNTIFS($B$5:$B5,"&gt;="&amp;IB_TL_RepStart,$B$5:$B5,"&lt;="&amp;IB_TL_Maturity)&lt;=8,INDEX('Facility Master'!K:K,MATCH(IB_TL_SNo,'Facility Master'!A:A,0))*0.0125,IF(COUNTIFS($B$5:$B5,"&gt;="&amp;IB_TL_RepStart,$B$5:$B5,"&lt;="&amp;IB_TL_Maturity)&lt;=48,INDEX('Facility Master'!K:K,MATCH(IB_TL_SNo,'Facility Master'!A:A,0))*0.0225,0)))),0)</f>
        <v>0</v>
      </c>
      <c r="Q5" s="500" t="n">
        <f aca="false">IFERROR((N5+(O5-P5)/2)*INDEX('Facility Master'!R:R,MATCH(IB_TL_SNo,'Facility Master'!A:A,0))*91/DaysInYear,0)</f>
        <v>2.75368493150685</v>
      </c>
      <c r="R5" s="500" t="n">
        <f aca="false">IFERROR(ROUND(MAX(N5+O5-P5,0),6),0)</f>
        <v>235</v>
      </c>
      <c r="S5" s="697" t="n">
        <f aca="false">0</f>
        <v>0</v>
      </c>
      <c r="T5" s="697" t="n">
        <f aca="false">IFERROR(IF(INDEX('Facility Master'!X:X,MATCH(RBL_TL_SNo,'Facility Master'!A:A,0))&lt;=B5,INDEX('Facility Master'!K:K,MATCH(RBL_TL_SNo,'Facility Master'!A:A,0)),0),0)</f>
        <v>0</v>
      </c>
      <c r="U5" s="697" t="n">
        <f aca="false">IFERROR(IF(AND(RBL_TL_Maturity&lt;=B5,RBL_TL_Maturity&gt;B4),INDEX('Facility Master'!K:K,MATCH(RBL_TL_SNo,'Facility Master'!A:A,0)),0),0)</f>
        <v>0</v>
      </c>
      <c r="V5" s="697" t="n">
        <f aca="false">IFERROR((S5+(T5-U5)/2)*INDEX('Facility Master'!R:R,MATCH(RBL_TL_SNo,'Facility Master'!A:A,0))*91/DaysInYear,0)</f>
        <v>0</v>
      </c>
      <c r="W5" s="697" t="n">
        <f aca="false">IFERROR(ROUND(MAX(S5+T5-U5,0),6),0)</f>
        <v>0</v>
      </c>
      <c r="X5" s="500" t="n">
        <f aca="false">0</f>
        <v>0</v>
      </c>
      <c r="Y5" s="500" t="n">
        <f aca="false">IFERROR(IF(INDEX('Facility Master'!X:X,MATCH(YBL_TL_SNo,'Facility Master'!A:A,0))&lt;=B5,INDEX('Facility Master'!K:K,MATCH(YBL_TL_SNo,'Facility Master'!A:A,0)),0),0)</f>
        <v>0</v>
      </c>
      <c r="Z5" s="500" t="n">
        <f aca="false">IFERROR(IF(B5&lt;YBL_TL_RepStart,0,IF(B5&gt;YBL_TL_Maturity,0,IF(COUNTIFS($B$5:$B5,"&gt;="&amp;YBL_TL_RepStart,$B$5:$B5,"&lt;="&amp;YBL_TL_Maturity)&lt;=8,INDEX('Facility Master'!K:K,MATCH(YBL_TL_SNo,'Facility Master'!A:A,0))*0.0125,IF(COUNTIFS($B$5:$B5,"&gt;="&amp;YBL_TL_RepStart,$B$5:$B5,"&lt;="&amp;YBL_TL_Maturity)&lt;=48,INDEX('Facility Master'!K:K,MATCH(YBL_TL_SNo,'Facility Master'!A:A,0))*0.0225,0)))),0)</f>
        <v>0</v>
      </c>
      <c r="AA5" s="500" t="n">
        <f aca="false">IFERROR((X5+(Y5-Z5)/2)*INDEX('Facility Master'!R:R,MATCH(YBL_TL_SNo,'Facility Master'!A:A,0))*91/DaysInYear,0)</f>
        <v>0</v>
      </c>
      <c r="AB5" s="500" t="n">
        <f aca="false">IFERROR(ROUND(MAX(X5+Y5-Z5,0),6),0)</f>
        <v>0</v>
      </c>
      <c r="AC5" s="500" t="n">
        <f aca="false">0</f>
        <v>0</v>
      </c>
      <c r="AD5" s="500" t="n">
        <f aca="false">IFERROR(IF(INDEX('Facility Master'!X:X,MATCH(IDFC_TL_SNo,'Facility Master'!A:A,0))&lt;=B5,INDEX('Facility Master'!K:K,MATCH(IDFC_TL_SNo,'Facility Master'!A:A,0)),0),0)</f>
        <v>0</v>
      </c>
      <c r="AE5" s="500" t="n">
        <f aca="false">IFERROR(IF(B5&lt;IDFC_TL_RepStart,0,IF(B5&gt;IDFC_TL_Maturity,0,IF(COUNTIFS($B$5:$B5,"&gt;="&amp;IDFC_TL_RepStart,$B$5:$B5,"&lt;="&amp;IDFC_TL_Maturity)&lt;=8,INDEX('Facility Master'!K:K,MATCH(IDFC_TL_SNo,'Facility Master'!A:A,0))*0.0125,IF(COUNTIFS($B$5:$B5,"&gt;="&amp;IDFC_TL_RepStart,$B$5:$B5,"&lt;="&amp;IDFC_TL_Maturity)&lt;=48,INDEX('Facility Master'!K:K,MATCH(IDFC_TL_SNo,'Facility Master'!A:A,0))*0.0225,0)))),0)</f>
        <v>0</v>
      </c>
      <c r="AF5" s="500" t="n">
        <f aca="false">IFERROR((AC5+(AD5-AE5)/2)*INDEX('Facility Master'!R:R,MATCH(IDFC_TL_SNo,'Facility Master'!A:A,0))*91/DaysInYear,0)</f>
        <v>0</v>
      </c>
      <c r="AG5" s="500" t="n">
        <f aca="false">IFERROR(ROUND(MAX(AC5+AD5-AE5,0),6),0)</f>
        <v>0</v>
      </c>
      <c r="AH5" s="698" t="n">
        <f aca="false">0</f>
        <v>0</v>
      </c>
      <c r="AI5" s="698" t="n">
        <f aca="false">IFERROR(IF(INDEX('Facility Master'!X:X,MATCH(ICICI_TL_SNo,'Facility Master'!A:A,0))&lt;=B5,INDEX('Facility Master'!K:K,MATCH(ICICI_TL_SNo,'Facility Master'!A:A,0)),0),0)</f>
        <v>0</v>
      </c>
      <c r="AJ5" s="698" t="n">
        <f aca="false">IFERROR(IF(B5&lt;ICICI_TL_RepStart,0,IF(B5&gt;ICICI_TL_Maturity,0,IF(COUNTIFS($B$5:$B5,"&gt;="&amp;ICICI_TL_RepStart,$B$5:$B5,"&lt;="&amp;ICICI_TL_Maturity)&lt;=8,INDEX('Facility Master'!K:K,MATCH(ICICI_TL_SNo,'Facility Master'!A:A,0))*0.0125,IF(COUNTIFS($B$5:$B5,"&gt;="&amp;ICICI_TL_RepStart,$B$5:$B5,"&lt;="&amp;ICICI_TL_Maturity)&lt;=48,INDEX('Facility Master'!K:K,MATCH(ICICI_TL_SNo,'Facility Master'!A:A,0))*0.0225,0)))),0)</f>
        <v>0</v>
      </c>
      <c r="AK5" s="698" t="n">
        <f aca="false">IFERROR((AH5+(AI5-AJ5)/2)*INDEX('Facility Master'!R:R,MATCH(ICICI_TL_SNo,'Facility Master'!A:A,0))*91/DaysInYear,0)</f>
        <v>0</v>
      </c>
      <c r="AL5" s="698" t="n">
        <f aca="false">IFERROR(ROUND(MAX(AH5+AI5-AJ5,0),6),0)</f>
        <v>0</v>
      </c>
      <c r="AM5" s="500" t="n">
        <f aca="false">F5+K5+P5+Z5+AE5+AJ5</f>
        <v>0</v>
      </c>
      <c r="AN5" s="500" t="n">
        <f aca="false">G5+L5+Q5+AA5+AF5+AK5</f>
        <v>15.9362191780822</v>
      </c>
      <c r="AO5" s="500" t="n">
        <f aca="false">AM5+AN5</f>
        <v>15.9362191780822</v>
      </c>
      <c r="AP5" s="500" t="n">
        <f aca="false">H5+M5+R5+AB5+AG5+AL5</f>
        <v>1360</v>
      </c>
    </row>
    <row r="6" customFormat="false" ht="15.75" hidden="false" customHeight="true" outlineLevel="0" collapsed="false">
      <c r="A6" s="699" t="n">
        <v>2</v>
      </c>
      <c r="B6" s="700" t="n">
        <v>45199</v>
      </c>
      <c r="C6" s="699" t="s">
        <v>666</v>
      </c>
      <c r="D6" s="701" t="n">
        <f aca="false">IFERROR(MAX(H5,0),0)</f>
        <v>1125</v>
      </c>
      <c r="E6" s="701" t="n">
        <f aca="false">IFERROR(IF(AND(INDEX('Facility Master'!X:X,MATCH(UBI_RTL1_SNo,'Facility Master'!A:A,0))&lt;=B6,INDEX('Facility Master'!X:X,MATCH(UBI_RTL1_SNo,'Facility Master'!A:A,0))&gt;B5),INDEX('Facility Master'!K:K,MATCH(UBI_RTL1_SNo,'Facility Master'!A:A,0)),0),0)</f>
        <v>0</v>
      </c>
      <c r="F6" s="701" t="n">
        <f aca="false">IFERROR(IF(B6&lt;UBI_RTL1_RepStart,0,IF(B6&gt;UBI_RTL1_Maturity,0,IF(COUNTIFS($B$5:$B6,"&gt;="&amp;UBI_RTL1_RepStart,$B$5:$B6,"&lt;="&amp;UBI_RTL1_Maturity)&lt;=8,INDEX('Facility Master'!K:K,MATCH(UBI_RTL1_SNo,'Facility Master'!A:A,0))*0.0125,IF(COUNTIFS($B$5:$B6,"&gt;="&amp;UBI_RTL1_RepStart,$B$5:$B6,"&lt;="&amp;UBI_RTL1_Maturity)&lt;=48,INDEX('Facility Master'!K:K,MATCH(UBI_RTL1_SNo,'Facility Master'!A:A,0))*0.0225,0)))),0)</f>
        <v>0</v>
      </c>
      <c r="G6" s="701" t="n">
        <f aca="false">IFERROR((D6+(E6-F6)/2)*INDEX('Facility Master'!R:R,MATCH(UBI_RTL1_SNo,'Facility Master'!A:A,0))*(B6-B5)/DaysInYear,0)</f>
        <v>26.6547945205479</v>
      </c>
      <c r="H6" s="701" t="n">
        <f aca="false">IFERROR(ROUND(MAX(D6+E6-F6,0),6),0)</f>
        <v>1125</v>
      </c>
      <c r="I6" s="701" t="n">
        <f aca="false">IFERROR(MAX(M5,0),0)</f>
        <v>0</v>
      </c>
      <c r="J6" s="701" t="n">
        <f aca="false">IFERROR(IF(AND(INDEX('Facility Master'!X:X,MATCH(UBI_RTL2_SNo,'Facility Master'!A:A,0))&lt;=B6,INDEX('Facility Master'!X:X,MATCH(UBI_RTL2_SNo,'Facility Master'!A:A,0))&gt;B5),INDEX('Facility Master'!K:K,MATCH(UBI_RTL2_SNo,'Facility Master'!A:A,0)),0),0)</f>
        <v>0</v>
      </c>
      <c r="K6" s="701" t="n">
        <f aca="false">IFERROR(IF(B6&lt;UBI_RTL2_RepStart,0,IF(B6&gt;UBI_RTL2_Maturity,0,IF(COUNTIFS($B$5:$B6,"&gt;="&amp;UBI_RTL2_RepStart,$B$5:$B6,"&lt;="&amp;UBI_RTL2_Maturity)&lt;=8,INDEX('Facility Master'!K:K,MATCH(UBI_RTL2_SNo,'Facility Master'!A:A,0))*0.0125,IF(COUNTIFS($B$5:$B6,"&gt;="&amp;UBI_RTL2_RepStart,$B$5:$B6,"&lt;="&amp;UBI_RTL2_Maturity)&lt;=48,INDEX('Facility Master'!K:K,MATCH(UBI_RTL2_SNo,'Facility Master'!A:A,0))*0.0225,0)))),0)</f>
        <v>0</v>
      </c>
      <c r="L6" s="701" t="n">
        <f aca="false">IFERROR((I6+(J6-K6)/2)*INDEX('Facility Master'!R:R,MATCH(UBI_RTL2_SNo,'Facility Master'!A:A,0))*(B6-B5)/DaysInYear,0)</f>
        <v>0</v>
      </c>
      <c r="M6" s="701" t="n">
        <f aca="false">IFERROR(ROUND(MAX(I6+J6-K6,0),6),0)</f>
        <v>0</v>
      </c>
      <c r="N6" s="701" t="n">
        <f aca="false">IFERROR(MAX(R5,0),0)</f>
        <v>235</v>
      </c>
      <c r="O6" s="701" t="n">
        <f aca="false">IFERROR(IF(AND(INDEX('Facility Master'!X:X,MATCH(IB_TL_SNo,'Facility Master'!A:A,0))&lt;=B6,INDEX('Facility Master'!X:X,MATCH(IB_TL_SNo,'Facility Master'!A:A,0))&gt;B5),INDEX('Facility Master'!K:K,MATCH(IB_TL_SNo,'Facility Master'!A:A,0)),0),0)</f>
        <v>0</v>
      </c>
      <c r="P6" s="701" t="n">
        <f aca="false">IFERROR(IF(B6&lt;IB_TL_RepStart,0,IF(B6&gt;IB_TL_Maturity,0,IF(COUNTIFS($B$5:$B6,"&gt;="&amp;IB_TL_RepStart,$B$5:$B6,"&lt;="&amp;IB_TL_Maturity)&lt;=8,INDEX('Facility Master'!K:K,MATCH(IB_TL_SNo,'Facility Master'!A:A,0))*0.0125,IF(COUNTIFS($B$5:$B6,"&gt;="&amp;IB_TL_RepStart,$B$5:$B6,"&lt;="&amp;IB_TL_Maturity)&lt;=48,INDEX('Facility Master'!K:K,MATCH(IB_TL_SNo,'Facility Master'!A:A,0))*0.0225,0)))),0)</f>
        <v>0</v>
      </c>
      <c r="Q6" s="701" t="n">
        <f aca="false">IFERROR((N6+(O6-P6)/2)*INDEX('Facility Master'!R:R,MATCH(IB_TL_SNo,'Facility Master'!A:A,0))*(B6-B5)/DaysInYear,0)</f>
        <v>5.5678904109589</v>
      </c>
      <c r="R6" s="701" t="n">
        <f aca="false">IFERROR(ROUND(MAX(N6+O6-P6,0),6),0)</f>
        <v>235</v>
      </c>
      <c r="S6" s="702" t="n">
        <f aca="false">IFERROR(MAX(W5,0),0)</f>
        <v>0</v>
      </c>
      <c r="T6" s="702" t="n">
        <f aca="false">IFERROR(IF(AND(INDEX('Facility Master'!X:X,MATCH(RBL_TL_SNo,'Facility Master'!A:A,0))&lt;=B6,INDEX('Facility Master'!X:X,MATCH(RBL_TL_SNo,'Facility Master'!A:A,0))&gt;B5),INDEX('Facility Master'!K:K,MATCH(RBL_TL_SNo,'Facility Master'!A:A,0)),0),0)</f>
        <v>0</v>
      </c>
      <c r="U6" s="702" t="n">
        <f aca="false">IFERROR(IF(AND(RBL_TL_Maturity&lt;=B6,RBL_TL_Maturity&gt;B5),INDEX('Facility Master'!K:K,MATCH(RBL_TL_SNo,'Facility Master'!A:A,0)),0),0)</f>
        <v>0</v>
      </c>
      <c r="V6" s="702" t="n">
        <f aca="false">IFERROR((S6+(T6-U6)/2)*INDEX('Facility Master'!R:R,MATCH(RBL_TL_SNo,'Facility Master'!A:A,0))*(B6-B5)/DaysInYear,0)</f>
        <v>0</v>
      </c>
      <c r="W6" s="702" t="n">
        <f aca="false">IFERROR(ROUND(MAX(S6+T6-U6,0),6),0)</f>
        <v>0</v>
      </c>
      <c r="X6" s="701" t="n">
        <f aca="false">IFERROR(MAX(AB5,0),0)</f>
        <v>0</v>
      </c>
      <c r="Y6" s="701" t="n">
        <f aca="false">IFERROR(IF(AND(INDEX('Facility Master'!X:X,MATCH(YBL_TL_SNo,'Facility Master'!A:A,0))&lt;=B6,INDEX('Facility Master'!X:X,MATCH(YBL_TL_SNo,'Facility Master'!A:A,0))&gt;B5),INDEX('Facility Master'!K:K,MATCH(YBL_TL_SNo,'Facility Master'!A:A,0)),0),0)</f>
        <v>0</v>
      </c>
      <c r="Z6" s="701" t="n">
        <f aca="false">IFERROR(IF(B6&lt;YBL_TL_RepStart,0,IF(B6&gt;YBL_TL_Maturity,0,IF(COUNTIFS($B$5:$B6,"&gt;="&amp;YBL_TL_RepStart,$B$5:$B6,"&lt;="&amp;YBL_TL_Maturity)&lt;=8,INDEX('Facility Master'!K:K,MATCH(YBL_TL_SNo,'Facility Master'!A:A,0))*0.0125,IF(COUNTIFS($B$5:$B6,"&gt;="&amp;YBL_TL_RepStart,$B$5:$B6,"&lt;="&amp;YBL_TL_Maturity)&lt;=48,INDEX('Facility Master'!K:K,MATCH(YBL_TL_SNo,'Facility Master'!A:A,0))*0.0225,0)))),0)</f>
        <v>0</v>
      </c>
      <c r="AA6" s="701" t="n">
        <f aca="false">IFERROR((X6+(Y6-Z6)/2)*INDEX('Facility Master'!R:R,MATCH(YBL_TL_SNo,'Facility Master'!A:A,0))*(B6-B5)/DaysInYear,0)</f>
        <v>0</v>
      </c>
      <c r="AB6" s="701" t="n">
        <f aca="false">IFERROR(ROUND(MAX(X6+Y6-Z6,0),6),0)</f>
        <v>0</v>
      </c>
      <c r="AC6" s="701" t="n">
        <f aca="false">IFERROR(MAX(AG5,0),0)</f>
        <v>0</v>
      </c>
      <c r="AD6" s="701" t="n">
        <f aca="false">IFERROR(IF(AND(INDEX('Facility Master'!X:X,MATCH(IDFC_TL_SNo,'Facility Master'!A:A,0))&lt;=B6,INDEX('Facility Master'!X:X,MATCH(IDFC_TL_SNo,'Facility Master'!A:A,0))&gt;B5),INDEX('Facility Master'!K:K,MATCH(IDFC_TL_SNo,'Facility Master'!A:A,0)),0),0)</f>
        <v>0</v>
      </c>
      <c r="AE6" s="701" t="n">
        <f aca="false">IFERROR(IF(B6&lt;IDFC_TL_RepStart,0,IF(B6&gt;IDFC_TL_Maturity,0,IF(COUNTIFS($B$5:$B6,"&gt;="&amp;IDFC_TL_RepStart,$B$5:$B6,"&lt;="&amp;IDFC_TL_Maturity)&lt;=8,INDEX('Facility Master'!K:K,MATCH(IDFC_TL_SNo,'Facility Master'!A:A,0))*0.0125,IF(COUNTIFS($B$5:$B6,"&gt;="&amp;IDFC_TL_RepStart,$B$5:$B6,"&lt;="&amp;IDFC_TL_Maturity)&lt;=48,INDEX('Facility Master'!K:K,MATCH(IDFC_TL_SNo,'Facility Master'!A:A,0))*0.0225,0)))),0)</f>
        <v>0</v>
      </c>
      <c r="AF6" s="701" t="n">
        <f aca="false">IFERROR((AC6+(AD6-AE6)/2)*INDEX('Facility Master'!R:R,MATCH(IDFC_TL_SNo,'Facility Master'!A:A,0))*(B6-B5)/DaysInYear,0)</f>
        <v>0</v>
      </c>
      <c r="AG6" s="701" t="n">
        <f aca="false">IFERROR(ROUND(MAX(AC6+AD6-AE6,0),6),0)</f>
        <v>0</v>
      </c>
      <c r="AH6" s="703" t="n">
        <f aca="false">IFERROR(MAX(AL5,0),0)</f>
        <v>0</v>
      </c>
      <c r="AI6" s="703" t="n">
        <f aca="false">IFERROR(IF(AND(INDEX('Facility Master'!X:X,MATCH(ICICI_TL_SNo,'Facility Master'!A:A,0))&lt;=B6,INDEX('Facility Master'!X:X,MATCH(ICICI_TL_SNo,'Facility Master'!A:A,0))&gt;B5),INDEX('Facility Master'!K:K,MATCH(ICICI_TL_SNo,'Facility Master'!A:A,0)),0),0)</f>
        <v>0</v>
      </c>
      <c r="AJ6" s="703" t="n">
        <f aca="false">IFERROR(IF(B6&lt;ICICI_TL_RepStart,0,IF(B6&gt;ICICI_TL_Maturity,0,IF(COUNTIFS($B$5:$B6,"&gt;="&amp;ICICI_TL_RepStart,$B$5:$B6,"&lt;="&amp;ICICI_TL_Maturity)&lt;=8,INDEX('Facility Master'!K:K,MATCH(ICICI_TL_SNo,'Facility Master'!A:A,0))*0.0125,IF(COUNTIFS($B$5:$B6,"&gt;="&amp;ICICI_TL_RepStart,$B$5:$B6,"&lt;="&amp;ICICI_TL_Maturity)&lt;=48,INDEX('Facility Master'!K:K,MATCH(ICICI_TL_SNo,'Facility Master'!A:A,0))*0.0225,0)))),0)</f>
        <v>0</v>
      </c>
      <c r="AK6" s="703" t="n">
        <f aca="false">IFERROR((AH6+(AI6-AJ6)/2)*INDEX('Facility Master'!R:R,MATCH(ICICI_TL_SNo,'Facility Master'!A:A,0))*(B6-B5)/DaysInYear,0)</f>
        <v>0</v>
      </c>
      <c r="AL6" s="703" t="n">
        <f aca="false">IFERROR(ROUND(MAX(AH6+AI6-AJ6,0),6),0)</f>
        <v>0</v>
      </c>
      <c r="AM6" s="701" t="n">
        <f aca="false">F6+K6+P6+Z6+AE6+AJ6</f>
        <v>0</v>
      </c>
      <c r="AN6" s="701" t="n">
        <f aca="false">G6+L6+Q6+AA6+AF6+AK6</f>
        <v>32.2226849315069</v>
      </c>
      <c r="AO6" s="701" t="n">
        <f aca="false">AM6+AN6</f>
        <v>32.2226849315069</v>
      </c>
      <c r="AP6" s="701" t="n">
        <f aca="false">H6+M6+R6+AB6+AG6+AL6</f>
        <v>1360</v>
      </c>
    </row>
    <row r="7" customFormat="false" ht="15.75" hidden="false" customHeight="true" outlineLevel="0" collapsed="false">
      <c r="A7" s="496" t="n">
        <v>3</v>
      </c>
      <c r="B7" s="696" t="n">
        <v>45291</v>
      </c>
      <c r="C7" s="496" t="s">
        <v>667</v>
      </c>
      <c r="D7" s="500" t="n">
        <f aca="false">IFERROR(MAX(H6,0),0)</f>
        <v>1125</v>
      </c>
      <c r="E7" s="500" t="n">
        <f aca="false">IFERROR(IF(AND(INDEX('Facility Master'!X:X,MATCH(UBI_RTL1_SNo,'Facility Master'!A:A,0))&lt;=B7,INDEX('Facility Master'!X:X,MATCH(UBI_RTL1_SNo,'Facility Master'!A:A,0))&gt;B6),INDEX('Facility Master'!K:K,MATCH(UBI_RTL1_SNo,'Facility Master'!A:A,0)),0),0)</f>
        <v>0</v>
      </c>
      <c r="F7" s="500" t="n">
        <f aca="false">IFERROR(IF(B7&lt;UBI_RTL1_RepStart,0,IF(B7&gt;UBI_RTL1_Maturity,0,IF(COUNTIFS($B$5:$B7,"&gt;="&amp;UBI_RTL1_RepStart,$B$5:$B7,"&lt;="&amp;UBI_RTL1_Maturity)&lt;=8,INDEX('Facility Master'!K:K,MATCH(UBI_RTL1_SNo,'Facility Master'!A:A,0))*0.0125,IF(COUNTIFS($B$5:$B7,"&gt;="&amp;UBI_RTL1_RepStart,$B$5:$B7,"&lt;="&amp;UBI_RTL1_Maturity)&lt;=48,INDEX('Facility Master'!K:K,MATCH(UBI_RTL1_SNo,'Facility Master'!A:A,0))*0.0225,0)))),0)</f>
        <v>0</v>
      </c>
      <c r="G7" s="500" t="n">
        <f aca="false">IFERROR((D7+(E7-F7)/2)*INDEX('Facility Master'!R:R,MATCH(UBI_RTL1_SNo,'Facility Master'!A:A,0))*(B7-B6)/DaysInYear,0)</f>
        <v>26.6547945205479</v>
      </c>
      <c r="H7" s="500" t="n">
        <f aca="false">IFERROR(ROUND(MAX(D7+E7-F7,0),6),0)</f>
        <v>1125</v>
      </c>
      <c r="I7" s="500" t="n">
        <f aca="false">IFERROR(MAX(M6,0),0)</f>
        <v>0</v>
      </c>
      <c r="J7" s="500" t="n">
        <f aca="false">IFERROR(IF(AND(INDEX('Facility Master'!X:X,MATCH(UBI_RTL2_SNo,'Facility Master'!A:A,0))&lt;=B7,INDEX('Facility Master'!X:X,MATCH(UBI_RTL2_SNo,'Facility Master'!A:A,0))&gt;B6),INDEX('Facility Master'!K:K,MATCH(UBI_RTL2_SNo,'Facility Master'!A:A,0)),0),0)</f>
        <v>0</v>
      </c>
      <c r="K7" s="500" t="n">
        <f aca="false">IFERROR(IF(B7&lt;UBI_RTL2_RepStart,0,IF(B7&gt;UBI_RTL2_Maturity,0,IF(COUNTIFS($B$5:$B7,"&gt;="&amp;UBI_RTL2_RepStart,$B$5:$B7,"&lt;="&amp;UBI_RTL2_Maturity)&lt;=8,INDEX('Facility Master'!K:K,MATCH(UBI_RTL2_SNo,'Facility Master'!A:A,0))*0.0125,IF(COUNTIFS($B$5:$B7,"&gt;="&amp;UBI_RTL2_RepStart,$B$5:$B7,"&lt;="&amp;UBI_RTL2_Maturity)&lt;=48,INDEX('Facility Master'!K:K,MATCH(UBI_RTL2_SNo,'Facility Master'!A:A,0))*0.0225,0)))),0)</f>
        <v>0</v>
      </c>
      <c r="L7" s="500" t="n">
        <f aca="false">IFERROR((I7+(J7-K7)/2)*INDEX('Facility Master'!R:R,MATCH(UBI_RTL2_SNo,'Facility Master'!A:A,0))*(B7-B6)/DaysInYear,0)</f>
        <v>0</v>
      </c>
      <c r="M7" s="500" t="n">
        <f aca="false">IFERROR(ROUND(MAX(I7+J7-K7,0),6),0)</f>
        <v>0</v>
      </c>
      <c r="N7" s="500" t="n">
        <f aca="false">IFERROR(MAX(R6,0),0)</f>
        <v>235</v>
      </c>
      <c r="O7" s="500" t="n">
        <f aca="false">IFERROR(IF(AND(INDEX('Facility Master'!X:X,MATCH(IB_TL_SNo,'Facility Master'!A:A,0))&lt;=B7,INDEX('Facility Master'!X:X,MATCH(IB_TL_SNo,'Facility Master'!A:A,0))&gt;B6),INDEX('Facility Master'!K:K,MATCH(IB_TL_SNo,'Facility Master'!A:A,0)),0),0)</f>
        <v>0</v>
      </c>
      <c r="P7" s="500" t="n">
        <f aca="false">IFERROR(IF(B7&lt;IB_TL_RepStart,0,IF(B7&gt;IB_TL_Maturity,0,IF(COUNTIFS($B$5:$B7,"&gt;="&amp;IB_TL_RepStart,$B$5:$B7,"&lt;="&amp;IB_TL_Maturity)&lt;=8,INDEX('Facility Master'!K:K,MATCH(IB_TL_SNo,'Facility Master'!A:A,0))*0.0125,IF(COUNTIFS($B$5:$B7,"&gt;="&amp;IB_TL_RepStart,$B$5:$B7,"&lt;="&amp;IB_TL_Maturity)&lt;=48,INDEX('Facility Master'!K:K,MATCH(IB_TL_SNo,'Facility Master'!A:A,0))*0.0225,0)))),0)</f>
        <v>0</v>
      </c>
      <c r="Q7" s="500" t="n">
        <f aca="false">IFERROR((N7+(O7-P7)/2)*INDEX('Facility Master'!R:R,MATCH(IB_TL_SNo,'Facility Master'!A:A,0))*(B7-B6)/DaysInYear,0)</f>
        <v>5.5678904109589</v>
      </c>
      <c r="R7" s="500" t="n">
        <f aca="false">IFERROR(ROUND(MAX(N7+O7-P7,0),6),0)</f>
        <v>235</v>
      </c>
      <c r="S7" s="697" t="n">
        <f aca="false">IFERROR(MAX(W6,0),0)</f>
        <v>0</v>
      </c>
      <c r="T7" s="697" t="n">
        <f aca="false">IFERROR(IF(AND(INDEX('Facility Master'!X:X,MATCH(RBL_TL_SNo,'Facility Master'!A:A,0))&lt;=B7,INDEX('Facility Master'!X:X,MATCH(RBL_TL_SNo,'Facility Master'!A:A,0))&gt;B6),INDEX('Facility Master'!K:K,MATCH(RBL_TL_SNo,'Facility Master'!A:A,0)),0),0)</f>
        <v>0</v>
      </c>
      <c r="U7" s="697" t="n">
        <f aca="false">IFERROR(IF(AND(RBL_TL_Maturity&lt;=B7,RBL_TL_Maturity&gt;B6),INDEX('Facility Master'!K:K,MATCH(RBL_TL_SNo,'Facility Master'!A:A,0)),0),0)</f>
        <v>0</v>
      </c>
      <c r="V7" s="697" t="n">
        <f aca="false">IFERROR((S7+(T7-U7)/2)*INDEX('Facility Master'!R:R,MATCH(RBL_TL_SNo,'Facility Master'!A:A,0))*(B7-B6)/DaysInYear,0)</f>
        <v>0</v>
      </c>
      <c r="W7" s="697" t="n">
        <f aca="false">IFERROR(ROUND(MAX(S7+T7-U7,0),6),0)</f>
        <v>0</v>
      </c>
      <c r="X7" s="500" t="n">
        <f aca="false">IFERROR(MAX(AB6,0),0)</f>
        <v>0</v>
      </c>
      <c r="Y7" s="500" t="n">
        <f aca="false">IFERROR(IF(AND(INDEX('Facility Master'!X:X,MATCH(YBL_TL_SNo,'Facility Master'!A:A,0))&lt;=B7,INDEX('Facility Master'!X:X,MATCH(YBL_TL_SNo,'Facility Master'!A:A,0))&gt;B6),INDEX('Facility Master'!K:K,MATCH(YBL_TL_SNo,'Facility Master'!A:A,0)),0),0)</f>
        <v>0</v>
      </c>
      <c r="Z7" s="500" t="n">
        <f aca="false">IFERROR(IF(B7&lt;YBL_TL_RepStart,0,IF(B7&gt;YBL_TL_Maturity,0,IF(COUNTIFS($B$5:$B7,"&gt;="&amp;YBL_TL_RepStart,$B$5:$B7,"&lt;="&amp;YBL_TL_Maturity)&lt;=8,INDEX('Facility Master'!K:K,MATCH(YBL_TL_SNo,'Facility Master'!A:A,0))*0.0125,IF(COUNTIFS($B$5:$B7,"&gt;="&amp;YBL_TL_RepStart,$B$5:$B7,"&lt;="&amp;YBL_TL_Maturity)&lt;=48,INDEX('Facility Master'!K:K,MATCH(YBL_TL_SNo,'Facility Master'!A:A,0))*0.0225,0)))),0)</f>
        <v>0</v>
      </c>
      <c r="AA7" s="500" t="n">
        <f aca="false">IFERROR((X7+(Y7-Z7)/2)*INDEX('Facility Master'!R:R,MATCH(YBL_TL_SNo,'Facility Master'!A:A,0))*(B7-B6)/DaysInYear,0)</f>
        <v>0</v>
      </c>
      <c r="AB7" s="500" t="n">
        <f aca="false">IFERROR(ROUND(MAX(X7+Y7-Z7,0),6),0)</f>
        <v>0</v>
      </c>
      <c r="AC7" s="500" t="n">
        <f aca="false">IFERROR(MAX(AG6,0),0)</f>
        <v>0</v>
      </c>
      <c r="AD7" s="500" t="n">
        <f aca="false">IFERROR(IF(AND(INDEX('Facility Master'!X:X,MATCH(IDFC_TL_SNo,'Facility Master'!A:A,0))&lt;=B7,INDEX('Facility Master'!X:X,MATCH(IDFC_TL_SNo,'Facility Master'!A:A,0))&gt;B6),INDEX('Facility Master'!K:K,MATCH(IDFC_TL_SNo,'Facility Master'!A:A,0)),0),0)</f>
        <v>0</v>
      </c>
      <c r="AE7" s="500" t="n">
        <f aca="false">IFERROR(IF(B7&lt;IDFC_TL_RepStart,0,IF(B7&gt;IDFC_TL_Maturity,0,IF(COUNTIFS($B$5:$B7,"&gt;="&amp;IDFC_TL_RepStart,$B$5:$B7,"&lt;="&amp;IDFC_TL_Maturity)&lt;=8,INDEX('Facility Master'!K:K,MATCH(IDFC_TL_SNo,'Facility Master'!A:A,0))*0.0125,IF(COUNTIFS($B$5:$B7,"&gt;="&amp;IDFC_TL_RepStart,$B$5:$B7,"&lt;="&amp;IDFC_TL_Maturity)&lt;=48,INDEX('Facility Master'!K:K,MATCH(IDFC_TL_SNo,'Facility Master'!A:A,0))*0.0225,0)))),0)</f>
        <v>0</v>
      </c>
      <c r="AF7" s="500" t="n">
        <f aca="false">IFERROR((AC7+(AD7-AE7)/2)*INDEX('Facility Master'!R:R,MATCH(IDFC_TL_SNo,'Facility Master'!A:A,0))*(B7-B6)/DaysInYear,0)</f>
        <v>0</v>
      </c>
      <c r="AG7" s="500" t="n">
        <f aca="false">IFERROR(ROUND(MAX(AC7+AD7-AE7,0),6),0)</f>
        <v>0</v>
      </c>
      <c r="AH7" s="698" t="n">
        <f aca="false">IFERROR(MAX(AL6,0),0)</f>
        <v>0</v>
      </c>
      <c r="AI7" s="698" t="n">
        <f aca="false">IFERROR(IF(AND(INDEX('Facility Master'!X:X,MATCH(ICICI_TL_SNo,'Facility Master'!A:A,0))&lt;=B7,INDEX('Facility Master'!X:X,MATCH(ICICI_TL_SNo,'Facility Master'!A:A,0))&gt;B6),INDEX('Facility Master'!K:K,MATCH(ICICI_TL_SNo,'Facility Master'!A:A,0)),0),0)</f>
        <v>0</v>
      </c>
      <c r="AJ7" s="698" t="n">
        <f aca="false">IFERROR(IF(B7&lt;ICICI_TL_RepStart,0,IF(B7&gt;ICICI_TL_Maturity,0,IF(COUNTIFS($B$5:$B7,"&gt;="&amp;ICICI_TL_RepStart,$B$5:$B7,"&lt;="&amp;ICICI_TL_Maturity)&lt;=8,INDEX('Facility Master'!K:K,MATCH(ICICI_TL_SNo,'Facility Master'!A:A,0))*0.0125,IF(COUNTIFS($B$5:$B7,"&gt;="&amp;ICICI_TL_RepStart,$B$5:$B7,"&lt;="&amp;ICICI_TL_Maturity)&lt;=48,INDEX('Facility Master'!K:K,MATCH(ICICI_TL_SNo,'Facility Master'!A:A,0))*0.0225,0)))),0)</f>
        <v>0</v>
      </c>
      <c r="AK7" s="698" t="n">
        <f aca="false">IFERROR((AH7+(AI7-AJ7)/2)*INDEX('Facility Master'!R:R,MATCH(ICICI_TL_SNo,'Facility Master'!A:A,0))*(B7-B6)/DaysInYear,0)</f>
        <v>0</v>
      </c>
      <c r="AL7" s="698" t="n">
        <f aca="false">IFERROR(ROUND(MAX(AH7+AI7-AJ7,0),6),0)</f>
        <v>0</v>
      </c>
      <c r="AM7" s="500" t="n">
        <f aca="false">F7+K7+P7+Z7+AE7+AJ7</f>
        <v>0</v>
      </c>
      <c r="AN7" s="500" t="n">
        <f aca="false">G7+L7+Q7+AA7+AF7+AK7</f>
        <v>32.2226849315069</v>
      </c>
      <c r="AO7" s="500" t="n">
        <f aca="false">AM7+AN7</f>
        <v>32.2226849315069</v>
      </c>
      <c r="AP7" s="500" t="n">
        <f aca="false">H7+M7+R7+AB7+AG7+AL7</f>
        <v>1360</v>
      </c>
    </row>
    <row r="8" customFormat="false" ht="15.75" hidden="false" customHeight="true" outlineLevel="0" collapsed="false">
      <c r="A8" s="699" t="n">
        <v>4</v>
      </c>
      <c r="B8" s="700" t="n">
        <v>45382</v>
      </c>
      <c r="C8" s="699" t="s">
        <v>668</v>
      </c>
      <c r="D8" s="701" t="n">
        <f aca="false">IFERROR(MAX(H7,0),0)</f>
        <v>1125</v>
      </c>
      <c r="E8" s="701" t="n">
        <f aca="false">IFERROR(IF(AND(INDEX('Facility Master'!X:X,MATCH(UBI_RTL1_SNo,'Facility Master'!A:A,0))&lt;=B8,INDEX('Facility Master'!X:X,MATCH(UBI_RTL1_SNo,'Facility Master'!A:A,0))&gt;B7),INDEX('Facility Master'!K:K,MATCH(UBI_RTL1_SNo,'Facility Master'!A:A,0)),0),0)</f>
        <v>0</v>
      </c>
      <c r="F8" s="701" t="n">
        <f aca="false">IFERROR(IF(B8&lt;UBI_RTL1_RepStart,0,IF(B8&gt;UBI_RTL1_Maturity,0,IF(COUNTIFS($B$5:$B8,"&gt;="&amp;UBI_RTL1_RepStart,$B$5:$B8,"&lt;="&amp;UBI_RTL1_Maturity)&lt;=8,INDEX('Facility Master'!K:K,MATCH(UBI_RTL1_SNo,'Facility Master'!A:A,0))*0.0125,IF(COUNTIFS($B$5:$B8,"&gt;="&amp;UBI_RTL1_RepStart,$B$5:$B8,"&lt;="&amp;UBI_RTL1_Maturity)&lt;=48,INDEX('Facility Master'!K:K,MATCH(UBI_RTL1_SNo,'Facility Master'!A:A,0))*0.0225,0)))),0)</f>
        <v>0</v>
      </c>
      <c r="G8" s="701" t="n">
        <f aca="false">IFERROR((D8+(E8-F8)/2)*INDEX('Facility Master'!R:R,MATCH(UBI_RTL1_SNo,'Facility Master'!A:A,0))*(B8-B7)/DaysInYear,0)</f>
        <v>26.3650684931507</v>
      </c>
      <c r="H8" s="701" t="n">
        <f aca="false">IFERROR(ROUND(MAX(D8+E8-F8,0),6),0)</f>
        <v>1125</v>
      </c>
      <c r="I8" s="701" t="n">
        <f aca="false">IFERROR(MAX(M7,0),0)</f>
        <v>0</v>
      </c>
      <c r="J8" s="701" t="n">
        <f aca="false">IFERROR(IF(AND(INDEX('Facility Master'!X:X,MATCH(UBI_RTL2_SNo,'Facility Master'!A:A,0))&lt;=B8,INDEX('Facility Master'!X:X,MATCH(UBI_RTL2_SNo,'Facility Master'!A:A,0))&gt;B7),INDEX('Facility Master'!K:K,MATCH(UBI_RTL2_SNo,'Facility Master'!A:A,0)),0),0)</f>
        <v>0</v>
      </c>
      <c r="K8" s="701" t="n">
        <f aca="false">IFERROR(IF(B8&lt;UBI_RTL2_RepStart,0,IF(B8&gt;UBI_RTL2_Maturity,0,IF(COUNTIFS($B$5:$B8,"&gt;="&amp;UBI_RTL2_RepStart,$B$5:$B8,"&lt;="&amp;UBI_RTL2_Maturity)&lt;=8,INDEX('Facility Master'!K:K,MATCH(UBI_RTL2_SNo,'Facility Master'!A:A,0))*0.0125,IF(COUNTIFS($B$5:$B8,"&gt;="&amp;UBI_RTL2_RepStart,$B$5:$B8,"&lt;="&amp;UBI_RTL2_Maturity)&lt;=48,INDEX('Facility Master'!K:K,MATCH(UBI_RTL2_SNo,'Facility Master'!A:A,0))*0.0225,0)))),0)</f>
        <v>0</v>
      </c>
      <c r="L8" s="701" t="n">
        <f aca="false">IFERROR((I8+(J8-K8)/2)*INDEX('Facility Master'!R:R,MATCH(UBI_RTL2_SNo,'Facility Master'!A:A,0))*(B8-B7)/DaysInYear,0)</f>
        <v>0</v>
      </c>
      <c r="M8" s="701" t="n">
        <f aca="false">IFERROR(ROUND(MAX(I8+J8-K8,0),6),0)</f>
        <v>0</v>
      </c>
      <c r="N8" s="701" t="n">
        <f aca="false">IFERROR(MAX(R7,0),0)</f>
        <v>235</v>
      </c>
      <c r="O8" s="701" t="n">
        <f aca="false">IFERROR(IF(AND(INDEX('Facility Master'!X:X,MATCH(IB_TL_SNo,'Facility Master'!A:A,0))&lt;=B8,INDEX('Facility Master'!X:X,MATCH(IB_TL_SNo,'Facility Master'!A:A,0))&gt;B7),INDEX('Facility Master'!K:K,MATCH(IB_TL_SNo,'Facility Master'!A:A,0)),0),0)</f>
        <v>0</v>
      </c>
      <c r="P8" s="701" t="n">
        <f aca="false">IFERROR(IF(B8&lt;IB_TL_RepStart,0,IF(B8&gt;IB_TL_Maturity,0,IF(COUNTIFS($B$5:$B8,"&gt;="&amp;IB_TL_RepStart,$B$5:$B8,"&lt;="&amp;IB_TL_Maturity)&lt;=8,INDEX('Facility Master'!K:K,MATCH(IB_TL_SNo,'Facility Master'!A:A,0))*0.0125,IF(COUNTIFS($B$5:$B8,"&gt;="&amp;IB_TL_RepStart,$B$5:$B8,"&lt;="&amp;IB_TL_Maturity)&lt;=48,INDEX('Facility Master'!K:K,MATCH(IB_TL_SNo,'Facility Master'!A:A,0))*0.0225,0)))),0)</f>
        <v>0</v>
      </c>
      <c r="Q8" s="701" t="n">
        <f aca="false">IFERROR((N8+(O8-P8)/2)*INDEX('Facility Master'!R:R,MATCH(IB_TL_SNo,'Facility Master'!A:A,0))*(B8-B7)/DaysInYear,0)</f>
        <v>5.5073698630137</v>
      </c>
      <c r="R8" s="701" t="n">
        <f aca="false">IFERROR(ROUND(MAX(N8+O8-P8,0),6),0)</f>
        <v>235</v>
      </c>
      <c r="S8" s="702" t="n">
        <f aca="false">IFERROR(MAX(W7,0),0)</f>
        <v>0</v>
      </c>
      <c r="T8" s="702" t="n">
        <f aca="false">IFERROR(IF(AND(INDEX('Facility Master'!X:X,MATCH(RBL_TL_SNo,'Facility Master'!A:A,0))&lt;=B8,INDEX('Facility Master'!X:X,MATCH(RBL_TL_SNo,'Facility Master'!A:A,0))&gt;B7),INDEX('Facility Master'!K:K,MATCH(RBL_TL_SNo,'Facility Master'!A:A,0)),0),0)</f>
        <v>0</v>
      </c>
      <c r="U8" s="702" t="n">
        <f aca="false">IFERROR(IF(AND(RBL_TL_Maturity&lt;=B8,RBL_TL_Maturity&gt;B7),INDEX('Facility Master'!K:K,MATCH(RBL_TL_SNo,'Facility Master'!A:A,0)),0),0)</f>
        <v>0</v>
      </c>
      <c r="V8" s="702" t="n">
        <f aca="false">IFERROR((S8+(T8-U8)/2)*INDEX('Facility Master'!R:R,MATCH(RBL_TL_SNo,'Facility Master'!A:A,0))*(B8-B7)/DaysInYear,0)</f>
        <v>0</v>
      </c>
      <c r="W8" s="702" t="n">
        <f aca="false">IFERROR(ROUND(MAX(S8+T8-U8,0),6),0)</f>
        <v>0</v>
      </c>
      <c r="X8" s="701" t="n">
        <f aca="false">IFERROR(MAX(AB7,0),0)</f>
        <v>0</v>
      </c>
      <c r="Y8" s="701" t="n">
        <f aca="false">IFERROR(IF(AND(INDEX('Facility Master'!X:X,MATCH(YBL_TL_SNo,'Facility Master'!A:A,0))&lt;=B8,INDEX('Facility Master'!X:X,MATCH(YBL_TL_SNo,'Facility Master'!A:A,0))&gt;B7),INDEX('Facility Master'!K:K,MATCH(YBL_TL_SNo,'Facility Master'!A:A,0)),0),0)</f>
        <v>0</v>
      </c>
      <c r="Z8" s="701" t="n">
        <f aca="false">IFERROR(IF(B8&lt;YBL_TL_RepStart,0,IF(B8&gt;YBL_TL_Maturity,0,IF(COUNTIFS($B$5:$B8,"&gt;="&amp;YBL_TL_RepStart,$B$5:$B8,"&lt;="&amp;YBL_TL_Maturity)&lt;=8,INDEX('Facility Master'!K:K,MATCH(YBL_TL_SNo,'Facility Master'!A:A,0))*0.0125,IF(COUNTIFS($B$5:$B8,"&gt;="&amp;YBL_TL_RepStart,$B$5:$B8,"&lt;="&amp;YBL_TL_Maturity)&lt;=48,INDEX('Facility Master'!K:K,MATCH(YBL_TL_SNo,'Facility Master'!A:A,0))*0.0225,0)))),0)</f>
        <v>0</v>
      </c>
      <c r="AA8" s="701" t="n">
        <f aca="false">IFERROR((X8+(Y8-Z8)/2)*INDEX('Facility Master'!R:R,MATCH(YBL_TL_SNo,'Facility Master'!A:A,0))*(B8-B7)/DaysInYear,0)</f>
        <v>0</v>
      </c>
      <c r="AB8" s="701" t="n">
        <f aca="false">IFERROR(ROUND(MAX(X8+Y8-Z8,0),6),0)</f>
        <v>0</v>
      </c>
      <c r="AC8" s="701" t="n">
        <f aca="false">IFERROR(MAX(AG7,0),0)</f>
        <v>0</v>
      </c>
      <c r="AD8" s="701" t="n">
        <f aca="false">IFERROR(IF(AND(INDEX('Facility Master'!X:X,MATCH(IDFC_TL_SNo,'Facility Master'!A:A,0))&lt;=B8,INDEX('Facility Master'!X:X,MATCH(IDFC_TL_SNo,'Facility Master'!A:A,0))&gt;B7),INDEX('Facility Master'!K:K,MATCH(IDFC_TL_SNo,'Facility Master'!A:A,0)),0),0)</f>
        <v>0</v>
      </c>
      <c r="AE8" s="701" t="n">
        <f aca="false">IFERROR(IF(B8&lt;IDFC_TL_RepStart,0,IF(B8&gt;IDFC_TL_Maturity,0,IF(COUNTIFS($B$5:$B8,"&gt;="&amp;IDFC_TL_RepStart,$B$5:$B8,"&lt;="&amp;IDFC_TL_Maturity)&lt;=8,INDEX('Facility Master'!K:K,MATCH(IDFC_TL_SNo,'Facility Master'!A:A,0))*0.0125,IF(COUNTIFS($B$5:$B8,"&gt;="&amp;IDFC_TL_RepStart,$B$5:$B8,"&lt;="&amp;IDFC_TL_Maturity)&lt;=48,INDEX('Facility Master'!K:K,MATCH(IDFC_TL_SNo,'Facility Master'!A:A,0))*0.0225,0)))),0)</f>
        <v>0</v>
      </c>
      <c r="AF8" s="701" t="n">
        <f aca="false">IFERROR((AC8+(AD8-AE8)/2)*INDEX('Facility Master'!R:R,MATCH(IDFC_TL_SNo,'Facility Master'!A:A,0))*(B8-B7)/DaysInYear,0)</f>
        <v>0</v>
      </c>
      <c r="AG8" s="701" t="n">
        <f aca="false">IFERROR(ROUND(MAX(AC8+AD8-AE8,0),6),0)</f>
        <v>0</v>
      </c>
      <c r="AH8" s="703" t="n">
        <f aca="false">IFERROR(MAX(AL7,0),0)</f>
        <v>0</v>
      </c>
      <c r="AI8" s="703" t="n">
        <f aca="false">IFERROR(IF(AND(INDEX('Facility Master'!X:X,MATCH(ICICI_TL_SNo,'Facility Master'!A:A,0))&lt;=B8,INDEX('Facility Master'!X:X,MATCH(ICICI_TL_SNo,'Facility Master'!A:A,0))&gt;B7),INDEX('Facility Master'!K:K,MATCH(ICICI_TL_SNo,'Facility Master'!A:A,0)),0),0)</f>
        <v>0</v>
      </c>
      <c r="AJ8" s="703" t="n">
        <f aca="false">IFERROR(IF(B8&lt;ICICI_TL_RepStart,0,IF(B8&gt;ICICI_TL_Maturity,0,IF(COUNTIFS($B$5:$B8,"&gt;="&amp;ICICI_TL_RepStart,$B$5:$B8,"&lt;="&amp;ICICI_TL_Maturity)&lt;=8,INDEX('Facility Master'!K:K,MATCH(ICICI_TL_SNo,'Facility Master'!A:A,0))*0.0125,IF(COUNTIFS($B$5:$B8,"&gt;="&amp;ICICI_TL_RepStart,$B$5:$B8,"&lt;="&amp;ICICI_TL_Maturity)&lt;=48,INDEX('Facility Master'!K:K,MATCH(ICICI_TL_SNo,'Facility Master'!A:A,0))*0.0225,0)))),0)</f>
        <v>0</v>
      </c>
      <c r="AK8" s="703" t="n">
        <f aca="false">IFERROR((AH8+(AI8-AJ8)/2)*INDEX('Facility Master'!R:R,MATCH(ICICI_TL_SNo,'Facility Master'!A:A,0))*(B8-B7)/DaysInYear,0)</f>
        <v>0</v>
      </c>
      <c r="AL8" s="703" t="n">
        <f aca="false">IFERROR(ROUND(MAX(AH8+AI8-AJ8,0),6),0)</f>
        <v>0</v>
      </c>
      <c r="AM8" s="701" t="n">
        <f aca="false">F8+K8+P8+Z8+AE8+AJ8</f>
        <v>0</v>
      </c>
      <c r="AN8" s="701" t="n">
        <f aca="false">G8+L8+Q8+AA8+AF8+AK8</f>
        <v>31.8724383561644</v>
      </c>
      <c r="AO8" s="701" t="n">
        <f aca="false">AM8+AN8</f>
        <v>31.8724383561644</v>
      </c>
      <c r="AP8" s="701" t="n">
        <f aca="false">H8+M8+R8+AB8+AG8+AL8</f>
        <v>1360</v>
      </c>
    </row>
    <row r="9" customFormat="false" ht="15.75" hidden="false" customHeight="true" outlineLevel="0" collapsed="false">
      <c r="A9" s="496" t="n">
        <v>5</v>
      </c>
      <c r="B9" s="696" t="n">
        <v>45473</v>
      </c>
      <c r="C9" s="496" t="s">
        <v>669</v>
      </c>
      <c r="D9" s="500" t="n">
        <f aca="false">IFERROR(MAX(H8,0),0)</f>
        <v>1125</v>
      </c>
      <c r="E9" s="500" t="n">
        <f aca="false">IFERROR(IF(AND(INDEX('Facility Master'!X:X,MATCH(UBI_RTL1_SNo,'Facility Master'!A:A,0))&lt;=B9,INDEX('Facility Master'!X:X,MATCH(UBI_RTL1_SNo,'Facility Master'!A:A,0))&gt;B8),INDEX('Facility Master'!K:K,MATCH(UBI_RTL1_SNo,'Facility Master'!A:A,0)),0),0)</f>
        <v>0</v>
      </c>
      <c r="F9" s="500" t="n">
        <f aca="false">IFERROR(IF(B9&lt;UBI_RTL1_RepStart,0,IF(B9&gt;UBI_RTL1_Maturity,0,IF(COUNTIFS($B$5:$B9,"&gt;="&amp;UBI_RTL1_RepStart,$B$5:$B9,"&lt;="&amp;UBI_RTL1_Maturity)&lt;=8,INDEX('Facility Master'!K:K,MATCH(UBI_RTL1_SNo,'Facility Master'!A:A,0))*0.0125,IF(COUNTIFS($B$5:$B9,"&gt;="&amp;UBI_RTL1_RepStart,$B$5:$B9,"&lt;="&amp;UBI_RTL1_Maturity)&lt;=48,INDEX('Facility Master'!K:K,MATCH(UBI_RTL1_SNo,'Facility Master'!A:A,0))*0.0225,0)))),0)</f>
        <v>0</v>
      </c>
      <c r="G9" s="500" t="n">
        <f aca="false">IFERROR((D9+(E9-F9)/2)*INDEX('Facility Master'!R:R,MATCH(UBI_RTL1_SNo,'Facility Master'!A:A,0))*(B9-B8)/DaysInYear,0)</f>
        <v>26.3650684931507</v>
      </c>
      <c r="H9" s="500" t="n">
        <f aca="false">IFERROR(ROUND(MAX(D9+E9-F9,0),6),0)</f>
        <v>1125</v>
      </c>
      <c r="I9" s="500" t="n">
        <f aca="false">IFERROR(MAX(M8,0),0)</f>
        <v>0</v>
      </c>
      <c r="J9" s="500" t="n">
        <f aca="false">IFERROR(IF(AND(INDEX('Facility Master'!X:X,MATCH(UBI_RTL2_SNo,'Facility Master'!A:A,0))&lt;=B9,INDEX('Facility Master'!X:X,MATCH(UBI_RTL2_SNo,'Facility Master'!A:A,0))&gt;B8),INDEX('Facility Master'!K:K,MATCH(UBI_RTL2_SNo,'Facility Master'!A:A,0)),0),0)</f>
        <v>0</v>
      </c>
      <c r="K9" s="500" t="n">
        <f aca="false">IFERROR(IF(B9&lt;UBI_RTL2_RepStart,0,IF(B9&gt;UBI_RTL2_Maturity,0,IF(COUNTIFS($B$5:$B9,"&gt;="&amp;UBI_RTL2_RepStart,$B$5:$B9,"&lt;="&amp;UBI_RTL2_Maturity)&lt;=8,INDEX('Facility Master'!K:K,MATCH(UBI_RTL2_SNo,'Facility Master'!A:A,0))*0.0125,IF(COUNTIFS($B$5:$B9,"&gt;="&amp;UBI_RTL2_RepStart,$B$5:$B9,"&lt;="&amp;UBI_RTL2_Maturity)&lt;=48,INDEX('Facility Master'!K:K,MATCH(UBI_RTL2_SNo,'Facility Master'!A:A,0))*0.0225,0)))),0)</f>
        <v>0</v>
      </c>
      <c r="L9" s="500" t="n">
        <f aca="false">IFERROR((I9+(J9-K9)/2)*INDEX('Facility Master'!R:R,MATCH(UBI_RTL2_SNo,'Facility Master'!A:A,0))*(B9-B8)/DaysInYear,0)</f>
        <v>0</v>
      </c>
      <c r="M9" s="500" t="n">
        <f aca="false">IFERROR(ROUND(MAX(I9+J9-K9,0),6),0)</f>
        <v>0</v>
      </c>
      <c r="N9" s="500" t="n">
        <f aca="false">IFERROR(MAX(R8,0),0)</f>
        <v>235</v>
      </c>
      <c r="O9" s="500" t="n">
        <f aca="false">IFERROR(IF(AND(INDEX('Facility Master'!X:X,MATCH(IB_TL_SNo,'Facility Master'!A:A,0))&lt;=B9,INDEX('Facility Master'!X:X,MATCH(IB_TL_SNo,'Facility Master'!A:A,0))&gt;B8),INDEX('Facility Master'!K:K,MATCH(IB_TL_SNo,'Facility Master'!A:A,0)),0),0)</f>
        <v>0</v>
      </c>
      <c r="P9" s="500" t="n">
        <f aca="false">IFERROR(IF(B9&lt;IB_TL_RepStart,0,IF(B9&gt;IB_TL_Maturity,0,IF(COUNTIFS($B$5:$B9,"&gt;="&amp;IB_TL_RepStart,$B$5:$B9,"&lt;="&amp;IB_TL_Maturity)&lt;=8,INDEX('Facility Master'!K:K,MATCH(IB_TL_SNo,'Facility Master'!A:A,0))*0.0125,IF(COUNTIFS($B$5:$B9,"&gt;="&amp;IB_TL_RepStart,$B$5:$B9,"&lt;="&amp;IB_TL_Maturity)&lt;=48,INDEX('Facility Master'!K:K,MATCH(IB_TL_SNo,'Facility Master'!A:A,0))*0.0225,0)))),0)</f>
        <v>0</v>
      </c>
      <c r="Q9" s="500" t="n">
        <f aca="false">IFERROR((N9+(O9-P9)/2)*INDEX('Facility Master'!R:R,MATCH(IB_TL_SNo,'Facility Master'!A:A,0))*(B9-B8)/DaysInYear,0)</f>
        <v>5.5073698630137</v>
      </c>
      <c r="R9" s="500" t="n">
        <f aca="false">IFERROR(ROUND(MAX(N9+O9-P9,0),6),0)</f>
        <v>235</v>
      </c>
      <c r="S9" s="697" t="n">
        <f aca="false">IFERROR(MAX(W8,0),0)</f>
        <v>0</v>
      </c>
      <c r="T9" s="697" t="n">
        <f aca="false">IFERROR(IF(AND(INDEX('Facility Master'!X:X,MATCH(RBL_TL_SNo,'Facility Master'!A:A,0))&lt;=B9,INDEX('Facility Master'!X:X,MATCH(RBL_TL_SNo,'Facility Master'!A:A,0))&gt;B8),INDEX('Facility Master'!K:K,MATCH(RBL_TL_SNo,'Facility Master'!A:A,0)),0),0)</f>
        <v>0</v>
      </c>
      <c r="U9" s="697" t="n">
        <f aca="false">IFERROR(IF(AND(RBL_TL_Maturity&lt;=B9,RBL_TL_Maturity&gt;B8),INDEX('Facility Master'!K:K,MATCH(RBL_TL_SNo,'Facility Master'!A:A,0)),0),0)</f>
        <v>0</v>
      </c>
      <c r="V9" s="697" t="n">
        <f aca="false">IFERROR((S9+(T9-U9)/2)*INDEX('Facility Master'!R:R,MATCH(RBL_TL_SNo,'Facility Master'!A:A,0))*(B9-B8)/DaysInYear,0)</f>
        <v>0</v>
      </c>
      <c r="W9" s="697" t="n">
        <f aca="false">IFERROR(ROUND(MAX(S9+T9-U9,0),6),0)</f>
        <v>0</v>
      </c>
      <c r="X9" s="500" t="n">
        <f aca="false">IFERROR(MAX(AB8,0),0)</f>
        <v>0</v>
      </c>
      <c r="Y9" s="500" t="n">
        <f aca="false">IFERROR(IF(AND(INDEX('Facility Master'!X:X,MATCH(YBL_TL_SNo,'Facility Master'!A:A,0))&lt;=B9,INDEX('Facility Master'!X:X,MATCH(YBL_TL_SNo,'Facility Master'!A:A,0))&gt;B8),INDEX('Facility Master'!K:K,MATCH(YBL_TL_SNo,'Facility Master'!A:A,0)),0),0)</f>
        <v>0</v>
      </c>
      <c r="Z9" s="500" t="n">
        <f aca="false">IFERROR(IF(B9&lt;YBL_TL_RepStart,0,IF(B9&gt;YBL_TL_Maturity,0,IF(COUNTIFS($B$5:$B9,"&gt;="&amp;YBL_TL_RepStart,$B$5:$B9,"&lt;="&amp;YBL_TL_Maturity)&lt;=8,INDEX('Facility Master'!K:K,MATCH(YBL_TL_SNo,'Facility Master'!A:A,0))*0.0125,IF(COUNTIFS($B$5:$B9,"&gt;="&amp;YBL_TL_RepStart,$B$5:$B9,"&lt;="&amp;YBL_TL_Maturity)&lt;=48,INDEX('Facility Master'!K:K,MATCH(YBL_TL_SNo,'Facility Master'!A:A,0))*0.0225,0)))),0)</f>
        <v>0</v>
      </c>
      <c r="AA9" s="500" t="n">
        <f aca="false">IFERROR((X9+(Y9-Z9)/2)*INDEX('Facility Master'!R:R,MATCH(YBL_TL_SNo,'Facility Master'!A:A,0))*(B9-B8)/DaysInYear,0)</f>
        <v>0</v>
      </c>
      <c r="AB9" s="500" t="n">
        <f aca="false">IFERROR(ROUND(MAX(X9+Y9-Z9,0),6),0)</f>
        <v>0</v>
      </c>
      <c r="AC9" s="500" t="n">
        <f aca="false">IFERROR(MAX(AG8,0),0)</f>
        <v>0</v>
      </c>
      <c r="AD9" s="500" t="n">
        <f aca="false">IFERROR(IF(AND(INDEX('Facility Master'!X:X,MATCH(IDFC_TL_SNo,'Facility Master'!A:A,0))&lt;=B9,INDEX('Facility Master'!X:X,MATCH(IDFC_TL_SNo,'Facility Master'!A:A,0))&gt;B8),INDEX('Facility Master'!K:K,MATCH(IDFC_TL_SNo,'Facility Master'!A:A,0)),0),0)</f>
        <v>0</v>
      </c>
      <c r="AE9" s="500" t="n">
        <f aca="false">IFERROR(IF(B9&lt;IDFC_TL_RepStart,0,IF(B9&gt;IDFC_TL_Maturity,0,IF(COUNTIFS($B$5:$B9,"&gt;="&amp;IDFC_TL_RepStart,$B$5:$B9,"&lt;="&amp;IDFC_TL_Maturity)&lt;=8,INDEX('Facility Master'!K:K,MATCH(IDFC_TL_SNo,'Facility Master'!A:A,0))*0.0125,IF(COUNTIFS($B$5:$B9,"&gt;="&amp;IDFC_TL_RepStart,$B$5:$B9,"&lt;="&amp;IDFC_TL_Maturity)&lt;=48,INDEX('Facility Master'!K:K,MATCH(IDFC_TL_SNo,'Facility Master'!A:A,0))*0.0225,0)))),0)</f>
        <v>0</v>
      </c>
      <c r="AF9" s="500" t="n">
        <f aca="false">IFERROR((AC9+(AD9-AE9)/2)*INDEX('Facility Master'!R:R,MATCH(IDFC_TL_SNo,'Facility Master'!A:A,0))*(B9-B8)/DaysInYear,0)</f>
        <v>0</v>
      </c>
      <c r="AG9" s="500" t="n">
        <f aca="false">IFERROR(ROUND(MAX(AC9+AD9-AE9,0),6),0)</f>
        <v>0</v>
      </c>
      <c r="AH9" s="698" t="n">
        <f aca="false">IFERROR(MAX(AL8,0),0)</f>
        <v>0</v>
      </c>
      <c r="AI9" s="698" t="n">
        <f aca="false">IFERROR(IF(AND(INDEX('Facility Master'!X:X,MATCH(ICICI_TL_SNo,'Facility Master'!A:A,0))&lt;=B9,INDEX('Facility Master'!X:X,MATCH(ICICI_TL_SNo,'Facility Master'!A:A,0))&gt;B8),INDEX('Facility Master'!K:K,MATCH(ICICI_TL_SNo,'Facility Master'!A:A,0)),0),0)</f>
        <v>0</v>
      </c>
      <c r="AJ9" s="698" t="n">
        <f aca="false">IFERROR(IF(B9&lt;ICICI_TL_RepStart,0,IF(B9&gt;ICICI_TL_Maturity,0,IF(COUNTIFS($B$5:$B9,"&gt;="&amp;ICICI_TL_RepStart,$B$5:$B9,"&lt;="&amp;ICICI_TL_Maturity)&lt;=8,INDEX('Facility Master'!K:K,MATCH(ICICI_TL_SNo,'Facility Master'!A:A,0))*0.0125,IF(COUNTIFS($B$5:$B9,"&gt;="&amp;ICICI_TL_RepStart,$B$5:$B9,"&lt;="&amp;ICICI_TL_Maturity)&lt;=48,INDEX('Facility Master'!K:K,MATCH(ICICI_TL_SNo,'Facility Master'!A:A,0))*0.0225,0)))),0)</f>
        <v>0</v>
      </c>
      <c r="AK9" s="698" t="n">
        <f aca="false">IFERROR((AH9+(AI9-AJ9)/2)*INDEX('Facility Master'!R:R,MATCH(ICICI_TL_SNo,'Facility Master'!A:A,0))*(B9-B8)/DaysInYear,0)</f>
        <v>0</v>
      </c>
      <c r="AL9" s="698" t="n">
        <f aca="false">IFERROR(ROUND(MAX(AH9+AI9-AJ9,0),6),0)</f>
        <v>0</v>
      </c>
      <c r="AM9" s="500" t="n">
        <f aca="false">F9+K9+P9+Z9+AE9+AJ9</f>
        <v>0</v>
      </c>
      <c r="AN9" s="500" t="n">
        <f aca="false">G9+L9+Q9+AA9+AF9+AK9</f>
        <v>31.8724383561644</v>
      </c>
      <c r="AO9" s="500" t="n">
        <f aca="false">AM9+AN9</f>
        <v>31.8724383561644</v>
      </c>
      <c r="AP9" s="500" t="n">
        <f aca="false">H9+M9+R9+AB9+AG9+AL9</f>
        <v>1360</v>
      </c>
    </row>
    <row r="10" customFormat="false" ht="15.75" hidden="false" customHeight="true" outlineLevel="0" collapsed="false">
      <c r="A10" s="699" t="n">
        <v>6</v>
      </c>
      <c r="B10" s="700" t="n">
        <v>45565</v>
      </c>
      <c r="C10" s="699" t="s">
        <v>670</v>
      </c>
      <c r="D10" s="701" t="n">
        <f aca="false">IFERROR(MAX(H9,0),0)</f>
        <v>1125</v>
      </c>
      <c r="E10" s="701" t="n">
        <f aca="false">IFERROR(IF(AND(INDEX('Facility Master'!X:X,MATCH(UBI_RTL1_SNo,'Facility Master'!A:A,0))&lt;=B10,INDEX('Facility Master'!X:X,MATCH(UBI_RTL1_SNo,'Facility Master'!A:A,0))&gt;B9),INDEX('Facility Master'!K:K,MATCH(UBI_RTL1_SNo,'Facility Master'!A:A,0)),0),0)</f>
        <v>0</v>
      </c>
      <c r="F10" s="701" t="n">
        <f aca="false">IFERROR(IF(B10&lt;UBI_RTL1_RepStart,0,IF(B10&gt;UBI_RTL1_Maturity,0,IF(COUNTIFS($B$5:$B10,"&gt;="&amp;UBI_RTL1_RepStart,$B$5:$B10,"&lt;="&amp;UBI_RTL1_Maturity)&lt;=8,INDEX('Facility Master'!K:K,MATCH(UBI_RTL1_SNo,'Facility Master'!A:A,0))*0.0125,IF(COUNTIFS($B$5:$B10,"&gt;="&amp;UBI_RTL1_RepStart,$B$5:$B10,"&lt;="&amp;UBI_RTL1_Maturity)&lt;=48,INDEX('Facility Master'!K:K,MATCH(UBI_RTL1_SNo,'Facility Master'!A:A,0))*0.0225,0)))),0)</f>
        <v>0</v>
      </c>
      <c r="G10" s="701" t="n">
        <f aca="false">IFERROR((D10+(E10-F10)/2)*INDEX('Facility Master'!R:R,MATCH(UBI_RTL1_SNo,'Facility Master'!A:A,0))*(B10-B9)/DaysInYear,0)</f>
        <v>26.6547945205479</v>
      </c>
      <c r="H10" s="701" t="n">
        <f aca="false">IFERROR(ROUND(MAX(D10+E10-F10,0),6),0)</f>
        <v>1125</v>
      </c>
      <c r="I10" s="701" t="n">
        <f aca="false">IFERROR(MAX(M9,0),0)</f>
        <v>0</v>
      </c>
      <c r="J10" s="701" t="n">
        <f aca="false">IFERROR(IF(AND(INDEX('Facility Master'!X:X,MATCH(UBI_RTL2_SNo,'Facility Master'!A:A,0))&lt;=B10,INDEX('Facility Master'!X:X,MATCH(UBI_RTL2_SNo,'Facility Master'!A:A,0))&gt;B9),INDEX('Facility Master'!K:K,MATCH(UBI_RTL2_SNo,'Facility Master'!A:A,0)),0),0)</f>
        <v>0</v>
      </c>
      <c r="K10" s="701" t="n">
        <f aca="false">IFERROR(IF(B10&lt;UBI_RTL2_RepStart,0,IF(B10&gt;UBI_RTL2_Maturity,0,IF(COUNTIFS($B$5:$B10,"&gt;="&amp;UBI_RTL2_RepStart,$B$5:$B10,"&lt;="&amp;UBI_RTL2_Maturity)&lt;=8,INDEX('Facility Master'!K:K,MATCH(UBI_RTL2_SNo,'Facility Master'!A:A,0))*0.0125,IF(COUNTIFS($B$5:$B10,"&gt;="&amp;UBI_RTL2_RepStart,$B$5:$B10,"&lt;="&amp;UBI_RTL2_Maturity)&lt;=48,INDEX('Facility Master'!K:K,MATCH(UBI_RTL2_SNo,'Facility Master'!A:A,0))*0.0225,0)))),0)</f>
        <v>0</v>
      </c>
      <c r="L10" s="701" t="n">
        <f aca="false">IFERROR((I10+(J10-K10)/2)*INDEX('Facility Master'!R:R,MATCH(UBI_RTL2_SNo,'Facility Master'!A:A,0))*(B10-B9)/DaysInYear,0)</f>
        <v>0</v>
      </c>
      <c r="M10" s="701" t="n">
        <f aca="false">IFERROR(ROUND(MAX(I10+J10-K10,0),6),0)</f>
        <v>0</v>
      </c>
      <c r="N10" s="701" t="n">
        <f aca="false">IFERROR(MAX(R9,0),0)</f>
        <v>235</v>
      </c>
      <c r="O10" s="701" t="n">
        <f aca="false">IFERROR(IF(AND(INDEX('Facility Master'!X:X,MATCH(IB_TL_SNo,'Facility Master'!A:A,0))&lt;=B10,INDEX('Facility Master'!X:X,MATCH(IB_TL_SNo,'Facility Master'!A:A,0))&gt;B9),INDEX('Facility Master'!K:K,MATCH(IB_TL_SNo,'Facility Master'!A:A,0)),0),0)</f>
        <v>0</v>
      </c>
      <c r="P10" s="701" t="n">
        <f aca="false">IFERROR(IF(B10&lt;IB_TL_RepStart,0,IF(B10&gt;IB_TL_Maturity,0,IF(COUNTIFS($B$5:$B10,"&gt;="&amp;IB_TL_RepStart,$B$5:$B10,"&lt;="&amp;IB_TL_Maturity)&lt;=8,INDEX('Facility Master'!K:K,MATCH(IB_TL_SNo,'Facility Master'!A:A,0))*0.0125,IF(COUNTIFS($B$5:$B10,"&gt;="&amp;IB_TL_RepStart,$B$5:$B10,"&lt;="&amp;IB_TL_Maturity)&lt;=48,INDEX('Facility Master'!K:K,MATCH(IB_TL_SNo,'Facility Master'!A:A,0))*0.0225,0)))),0)</f>
        <v>0</v>
      </c>
      <c r="Q10" s="701" t="n">
        <f aca="false">IFERROR((N10+(O10-P10)/2)*INDEX('Facility Master'!R:R,MATCH(IB_TL_SNo,'Facility Master'!A:A,0))*(B10-B9)/DaysInYear,0)</f>
        <v>5.5678904109589</v>
      </c>
      <c r="R10" s="701" t="n">
        <f aca="false">IFERROR(ROUND(MAX(N10+O10-P10,0),6),0)</f>
        <v>235</v>
      </c>
      <c r="S10" s="702" t="n">
        <f aca="false">IFERROR(MAX(W9,0),0)</f>
        <v>0</v>
      </c>
      <c r="T10" s="702" t="n">
        <f aca="false">IFERROR(IF(AND(INDEX('Facility Master'!X:X,MATCH(RBL_TL_SNo,'Facility Master'!A:A,0))&lt;=B10,INDEX('Facility Master'!X:X,MATCH(RBL_TL_SNo,'Facility Master'!A:A,0))&gt;B9),INDEX('Facility Master'!K:K,MATCH(RBL_TL_SNo,'Facility Master'!A:A,0)),0),0)</f>
        <v>0</v>
      </c>
      <c r="U10" s="702" t="n">
        <f aca="false">IFERROR(IF(AND(RBL_TL_Maturity&lt;=B10,RBL_TL_Maturity&gt;B9),INDEX('Facility Master'!K:K,MATCH(RBL_TL_SNo,'Facility Master'!A:A,0)),0),0)</f>
        <v>0</v>
      </c>
      <c r="V10" s="702" t="n">
        <f aca="false">IFERROR((S10+(T10-U10)/2)*INDEX('Facility Master'!R:R,MATCH(RBL_TL_SNo,'Facility Master'!A:A,0))*(B10-B9)/DaysInYear,0)</f>
        <v>0</v>
      </c>
      <c r="W10" s="702" t="n">
        <f aca="false">IFERROR(ROUND(MAX(S10+T10-U10,0),6),0)</f>
        <v>0</v>
      </c>
      <c r="X10" s="701" t="n">
        <f aca="false">IFERROR(MAX(AB9,0),0)</f>
        <v>0</v>
      </c>
      <c r="Y10" s="701" t="n">
        <f aca="false">IFERROR(IF(AND(INDEX('Facility Master'!X:X,MATCH(YBL_TL_SNo,'Facility Master'!A:A,0))&lt;=B10,INDEX('Facility Master'!X:X,MATCH(YBL_TL_SNo,'Facility Master'!A:A,0))&gt;B9),INDEX('Facility Master'!K:K,MATCH(YBL_TL_SNo,'Facility Master'!A:A,0)),0),0)</f>
        <v>0</v>
      </c>
      <c r="Z10" s="701" t="n">
        <f aca="false">IFERROR(IF(B10&lt;YBL_TL_RepStart,0,IF(B10&gt;YBL_TL_Maturity,0,IF(COUNTIFS($B$5:$B10,"&gt;="&amp;YBL_TL_RepStart,$B$5:$B10,"&lt;="&amp;YBL_TL_Maturity)&lt;=8,INDEX('Facility Master'!K:K,MATCH(YBL_TL_SNo,'Facility Master'!A:A,0))*0.0125,IF(COUNTIFS($B$5:$B10,"&gt;="&amp;YBL_TL_RepStart,$B$5:$B10,"&lt;="&amp;YBL_TL_Maturity)&lt;=48,INDEX('Facility Master'!K:K,MATCH(YBL_TL_SNo,'Facility Master'!A:A,0))*0.0225,0)))),0)</f>
        <v>0</v>
      </c>
      <c r="AA10" s="701" t="n">
        <f aca="false">IFERROR((X10+(Y10-Z10)/2)*INDEX('Facility Master'!R:R,MATCH(YBL_TL_SNo,'Facility Master'!A:A,0))*(B10-B9)/DaysInYear,0)</f>
        <v>0</v>
      </c>
      <c r="AB10" s="701" t="n">
        <f aca="false">IFERROR(ROUND(MAX(X10+Y10-Z10,0),6),0)</f>
        <v>0</v>
      </c>
      <c r="AC10" s="701" t="n">
        <f aca="false">IFERROR(MAX(AG9,0),0)</f>
        <v>0</v>
      </c>
      <c r="AD10" s="701" t="n">
        <f aca="false">IFERROR(IF(AND(INDEX('Facility Master'!X:X,MATCH(IDFC_TL_SNo,'Facility Master'!A:A,0))&lt;=B10,INDEX('Facility Master'!X:X,MATCH(IDFC_TL_SNo,'Facility Master'!A:A,0))&gt;B9),INDEX('Facility Master'!K:K,MATCH(IDFC_TL_SNo,'Facility Master'!A:A,0)),0),0)</f>
        <v>0</v>
      </c>
      <c r="AE10" s="701" t="n">
        <f aca="false">IFERROR(IF(B10&lt;IDFC_TL_RepStart,0,IF(B10&gt;IDFC_TL_Maturity,0,IF(COUNTIFS($B$5:$B10,"&gt;="&amp;IDFC_TL_RepStart,$B$5:$B10,"&lt;="&amp;IDFC_TL_Maturity)&lt;=8,INDEX('Facility Master'!K:K,MATCH(IDFC_TL_SNo,'Facility Master'!A:A,0))*0.0125,IF(COUNTIFS($B$5:$B10,"&gt;="&amp;IDFC_TL_RepStart,$B$5:$B10,"&lt;="&amp;IDFC_TL_Maturity)&lt;=48,INDEX('Facility Master'!K:K,MATCH(IDFC_TL_SNo,'Facility Master'!A:A,0))*0.0225,0)))),0)</f>
        <v>0</v>
      </c>
      <c r="AF10" s="701" t="n">
        <f aca="false">IFERROR((AC10+(AD10-AE10)/2)*INDEX('Facility Master'!R:R,MATCH(IDFC_TL_SNo,'Facility Master'!A:A,0))*(B10-B9)/DaysInYear,0)</f>
        <v>0</v>
      </c>
      <c r="AG10" s="701" t="n">
        <f aca="false">IFERROR(ROUND(MAX(AC10+AD10-AE10,0),6),0)</f>
        <v>0</v>
      </c>
      <c r="AH10" s="703" t="n">
        <f aca="false">IFERROR(MAX(AL9,0),0)</f>
        <v>0</v>
      </c>
      <c r="AI10" s="703" t="n">
        <f aca="false">IFERROR(IF(AND(INDEX('Facility Master'!X:X,MATCH(ICICI_TL_SNo,'Facility Master'!A:A,0))&lt;=B10,INDEX('Facility Master'!X:X,MATCH(ICICI_TL_SNo,'Facility Master'!A:A,0))&gt;B9),INDEX('Facility Master'!K:K,MATCH(ICICI_TL_SNo,'Facility Master'!A:A,0)),0),0)</f>
        <v>0</v>
      </c>
      <c r="AJ10" s="703" t="n">
        <f aca="false">IFERROR(IF(B10&lt;ICICI_TL_RepStart,0,IF(B10&gt;ICICI_TL_Maturity,0,IF(COUNTIFS($B$5:$B10,"&gt;="&amp;ICICI_TL_RepStart,$B$5:$B10,"&lt;="&amp;ICICI_TL_Maturity)&lt;=8,INDEX('Facility Master'!K:K,MATCH(ICICI_TL_SNo,'Facility Master'!A:A,0))*0.0125,IF(COUNTIFS($B$5:$B10,"&gt;="&amp;ICICI_TL_RepStart,$B$5:$B10,"&lt;="&amp;ICICI_TL_Maturity)&lt;=48,INDEX('Facility Master'!K:K,MATCH(ICICI_TL_SNo,'Facility Master'!A:A,0))*0.0225,0)))),0)</f>
        <v>0</v>
      </c>
      <c r="AK10" s="703" t="n">
        <f aca="false">IFERROR((AH10+(AI10-AJ10)/2)*INDEX('Facility Master'!R:R,MATCH(ICICI_TL_SNo,'Facility Master'!A:A,0))*(B10-B9)/DaysInYear,0)</f>
        <v>0</v>
      </c>
      <c r="AL10" s="703" t="n">
        <f aca="false">IFERROR(ROUND(MAX(AH10+AI10-AJ10,0),6),0)</f>
        <v>0</v>
      </c>
      <c r="AM10" s="701" t="n">
        <f aca="false">F10+K10+P10+Z10+AE10+AJ10</f>
        <v>0</v>
      </c>
      <c r="AN10" s="701" t="n">
        <f aca="false">G10+L10+Q10+AA10+AF10+AK10</f>
        <v>32.2226849315069</v>
      </c>
      <c r="AO10" s="701" t="n">
        <f aca="false">AM10+AN10</f>
        <v>32.2226849315069</v>
      </c>
      <c r="AP10" s="701" t="n">
        <f aca="false">H10+M10+R10+AB10+AG10+AL10</f>
        <v>1360</v>
      </c>
    </row>
    <row r="11" customFormat="false" ht="15.75" hidden="false" customHeight="true" outlineLevel="0" collapsed="false">
      <c r="A11" s="496" t="n">
        <v>7</v>
      </c>
      <c r="B11" s="696" t="n">
        <v>45657</v>
      </c>
      <c r="C11" s="496" t="s">
        <v>671</v>
      </c>
      <c r="D11" s="500" t="n">
        <f aca="false">IFERROR(MAX(H10,0),0)</f>
        <v>1125</v>
      </c>
      <c r="E11" s="500" t="n">
        <f aca="false">IFERROR(IF(AND(INDEX('Facility Master'!X:X,MATCH(UBI_RTL1_SNo,'Facility Master'!A:A,0))&lt;=B11,INDEX('Facility Master'!X:X,MATCH(UBI_RTL1_SNo,'Facility Master'!A:A,0))&gt;B10),INDEX('Facility Master'!K:K,MATCH(UBI_RTL1_SNo,'Facility Master'!A:A,0)),0),0)</f>
        <v>0</v>
      </c>
      <c r="F11" s="500" t="n">
        <f aca="false">IFERROR(IF(B11&lt;UBI_RTL1_RepStart,0,IF(B11&gt;UBI_RTL1_Maturity,0,IF(COUNTIFS($B$5:$B11,"&gt;="&amp;UBI_RTL1_RepStart,$B$5:$B11,"&lt;="&amp;UBI_RTL1_Maturity)&lt;=8,INDEX('Facility Master'!K:K,MATCH(UBI_RTL1_SNo,'Facility Master'!A:A,0))*0.0125,IF(COUNTIFS($B$5:$B11,"&gt;="&amp;UBI_RTL1_RepStart,$B$5:$B11,"&lt;="&amp;UBI_RTL1_Maturity)&lt;=48,INDEX('Facility Master'!K:K,MATCH(UBI_RTL1_SNo,'Facility Master'!A:A,0))*0.0225,0)))),0)</f>
        <v>0</v>
      </c>
      <c r="G11" s="500" t="n">
        <f aca="false">IFERROR((D11+(E11-F11)/2)*INDEX('Facility Master'!R:R,MATCH(UBI_RTL1_SNo,'Facility Master'!A:A,0))*(B11-B10)/DaysInYear,0)</f>
        <v>26.6547945205479</v>
      </c>
      <c r="H11" s="500" t="n">
        <f aca="false">IFERROR(ROUND(MAX(D11+E11-F11,0),6),0)</f>
        <v>1125</v>
      </c>
      <c r="I11" s="500" t="n">
        <f aca="false">IFERROR(MAX(M10,0),0)</f>
        <v>0</v>
      </c>
      <c r="J11" s="500" t="n">
        <f aca="false">IFERROR(IF(AND(INDEX('Facility Master'!X:X,MATCH(UBI_RTL2_SNo,'Facility Master'!A:A,0))&lt;=B11,INDEX('Facility Master'!X:X,MATCH(UBI_RTL2_SNo,'Facility Master'!A:A,0))&gt;B10),INDEX('Facility Master'!K:K,MATCH(UBI_RTL2_SNo,'Facility Master'!A:A,0)),0),0)</f>
        <v>0</v>
      </c>
      <c r="K11" s="500" t="n">
        <f aca="false">IFERROR(IF(B11&lt;UBI_RTL2_RepStart,0,IF(B11&gt;UBI_RTL2_Maturity,0,IF(COUNTIFS($B$5:$B11,"&gt;="&amp;UBI_RTL2_RepStart,$B$5:$B11,"&lt;="&amp;UBI_RTL2_Maturity)&lt;=8,INDEX('Facility Master'!K:K,MATCH(UBI_RTL2_SNo,'Facility Master'!A:A,0))*0.0125,IF(COUNTIFS($B$5:$B11,"&gt;="&amp;UBI_RTL2_RepStart,$B$5:$B11,"&lt;="&amp;UBI_RTL2_Maturity)&lt;=48,INDEX('Facility Master'!K:K,MATCH(UBI_RTL2_SNo,'Facility Master'!A:A,0))*0.0225,0)))),0)</f>
        <v>0</v>
      </c>
      <c r="L11" s="500" t="n">
        <f aca="false">IFERROR((I11+(J11-K11)/2)*INDEX('Facility Master'!R:R,MATCH(UBI_RTL2_SNo,'Facility Master'!A:A,0))*(B11-B10)/DaysInYear,0)</f>
        <v>0</v>
      </c>
      <c r="M11" s="500" t="n">
        <f aca="false">IFERROR(ROUND(MAX(I11+J11-K11,0),6),0)</f>
        <v>0</v>
      </c>
      <c r="N11" s="500" t="n">
        <f aca="false">IFERROR(MAX(R10,0),0)</f>
        <v>235</v>
      </c>
      <c r="O11" s="500" t="n">
        <f aca="false">IFERROR(IF(AND(INDEX('Facility Master'!X:X,MATCH(IB_TL_SNo,'Facility Master'!A:A,0))&lt;=B11,INDEX('Facility Master'!X:X,MATCH(IB_TL_SNo,'Facility Master'!A:A,0))&gt;B10),INDEX('Facility Master'!K:K,MATCH(IB_TL_SNo,'Facility Master'!A:A,0)),0),0)</f>
        <v>0</v>
      </c>
      <c r="P11" s="500" t="n">
        <f aca="false">IFERROR(IF(B11&lt;IB_TL_RepStart,0,IF(B11&gt;IB_TL_Maturity,0,IF(COUNTIFS($B$5:$B11,"&gt;="&amp;IB_TL_RepStart,$B$5:$B11,"&lt;="&amp;IB_TL_Maturity)&lt;=8,INDEX('Facility Master'!K:K,MATCH(IB_TL_SNo,'Facility Master'!A:A,0))*0.0125,IF(COUNTIFS($B$5:$B11,"&gt;="&amp;IB_TL_RepStart,$B$5:$B11,"&lt;="&amp;IB_TL_Maturity)&lt;=48,INDEX('Facility Master'!K:K,MATCH(IB_TL_SNo,'Facility Master'!A:A,0))*0.0225,0)))),0)</f>
        <v>0</v>
      </c>
      <c r="Q11" s="500" t="n">
        <f aca="false">IFERROR((N11+(O11-P11)/2)*INDEX('Facility Master'!R:R,MATCH(IB_TL_SNo,'Facility Master'!A:A,0))*(B11-B10)/DaysInYear,0)</f>
        <v>5.5678904109589</v>
      </c>
      <c r="R11" s="500" t="n">
        <f aca="false">IFERROR(ROUND(MAX(N11+O11-P11,0),6),0)</f>
        <v>235</v>
      </c>
      <c r="S11" s="697" t="n">
        <f aca="false">IFERROR(MAX(W10,0),0)</f>
        <v>0</v>
      </c>
      <c r="T11" s="697" t="n">
        <f aca="false">IFERROR(IF(AND(INDEX('Facility Master'!X:X,MATCH(RBL_TL_SNo,'Facility Master'!A:A,0))&lt;=B11,INDEX('Facility Master'!X:X,MATCH(RBL_TL_SNo,'Facility Master'!A:A,0))&gt;B10),INDEX('Facility Master'!K:K,MATCH(RBL_TL_SNo,'Facility Master'!A:A,0)),0),0)</f>
        <v>0</v>
      </c>
      <c r="U11" s="697" t="n">
        <f aca="false">IFERROR(IF(AND(RBL_TL_Maturity&lt;=B11,RBL_TL_Maturity&gt;B10),INDEX('Facility Master'!K:K,MATCH(RBL_TL_SNo,'Facility Master'!A:A,0)),0),0)</f>
        <v>0</v>
      </c>
      <c r="V11" s="697" t="n">
        <f aca="false">IFERROR((S11+(T11-U11)/2)*INDEX('Facility Master'!R:R,MATCH(RBL_TL_SNo,'Facility Master'!A:A,0))*(B11-B10)/DaysInYear,0)</f>
        <v>0</v>
      </c>
      <c r="W11" s="697" t="n">
        <f aca="false">IFERROR(ROUND(MAX(S11+T11-U11,0),6),0)</f>
        <v>0</v>
      </c>
      <c r="X11" s="500" t="n">
        <f aca="false">IFERROR(MAX(AB10,0),0)</f>
        <v>0</v>
      </c>
      <c r="Y11" s="500" t="n">
        <f aca="false">IFERROR(IF(AND(INDEX('Facility Master'!X:X,MATCH(YBL_TL_SNo,'Facility Master'!A:A,0))&lt;=B11,INDEX('Facility Master'!X:X,MATCH(YBL_TL_SNo,'Facility Master'!A:A,0))&gt;B10),INDEX('Facility Master'!K:K,MATCH(YBL_TL_SNo,'Facility Master'!A:A,0)),0),0)</f>
        <v>0</v>
      </c>
      <c r="Z11" s="500" t="n">
        <f aca="false">IFERROR(IF(B11&lt;YBL_TL_RepStart,0,IF(B11&gt;YBL_TL_Maturity,0,IF(COUNTIFS($B$5:$B11,"&gt;="&amp;YBL_TL_RepStart,$B$5:$B11,"&lt;="&amp;YBL_TL_Maturity)&lt;=8,INDEX('Facility Master'!K:K,MATCH(YBL_TL_SNo,'Facility Master'!A:A,0))*0.0125,IF(COUNTIFS($B$5:$B11,"&gt;="&amp;YBL_TL_RepStart,$B$5:$B11,"&lt;="&amp;YBL_TL_Maturity)&lt;=48,INDEX('Facility Master'!K:K,MATCH(YBL_TL_SNo,'Facility Master'!A:A,0))*0.0225,0)))),0)</f>
        <v>0</v>
      </c>
      <c r="AA11" s="500" t="n">
        <f aca="false">IFERROR((X11+(Y11-Z11)/2)*INDEX('Facility Master'!R:R,MATCH(YBL_TL_SNo,'Facility Master'!A:A,0))*(B11-B10)/DaysInYear,0)</f>
        <v>0</v>
      </c>
      <c r="AB11" s="500" t="n">
        <f aca="false">IFERROR(ROUND(MAX(X11+Y11-Z11,0),6),0)</f>
        <v>0</v>
      </c>
      <c r="AC11" s="500" t="n">
        <f aca="false">IFERROR(MAX(AG10,0),0)</f>
        <v>0</v>
      </c>
      <c r="AD11" s="500" t="n">
        <f aca="false">IFERROR(IF(AND(INDEX('Facility Master'!X:X,MATCH(IDFC_TL_SNo,'Facility Master'!A:A,0))&lt;=B11,INDEX('Facility Master'!X:X,MATCH(IDFC_TL_SNo,'Facility Master'!A:A,0))&gt;B10),INDEX('Facility Master'!K:K,MATCH(IDFC_TL_SNo,'Facility Master'!A:A,0)),0),0)</f>
        <v>0</v>
      </c>
      <c r="AE11" s="500" t="n">
        <f aca="false">IFERROR(IF(B11&lt;IDFC_TL_RepStart,0,IF(B11&gt;IDFC_TL_Maturity,0,IF(COUNTIFS($B$5:$B11,"&gt;="&amp;IDFC_TL_RepStart,$B$5:$B11,"&lt;="&amp;IDFC_TL_Maturity)&lt;=8,INDEX('Facility Master'!K:K,MATCH(IDFC_TL_SNo,'Facility Master'!A:A,0))*0.0125,IF(COUNTIFS($B$5:$B11,"&gt;="&amp;IDFC_TL_RepStart,$B$5:$B11,"&lt;="&amp;IDFC_TL_Maturity)&lt;=48,INDEX('Facility Master'!K:K,MATCH(IDFC_TL_SNo,'Facility Master'!A:A,0))*0.0225,0)))),0)</f>
        <v>0</v>
      </c>
      <c r="AF11" s="500" t="n">
        <f aca="false">IFERROR((AC11+(AD11-AE11)/2)*INDEX('Facility Master'!R:R,MATCH(IDFC_TL_SNo,'Facility Master'!A:A,0))*(B11-B10)/DaysInYear,0)</f>
        <v>0</v>
      </c>
      <c r="AG11" s="500" t="n">
        <f aca="false">IFERROR(ROUND(MAX(AC11+AD11-AE11,0),6),0)</f>
        <v>0</v>
      </c>
      <c r="AH11" s="698" t="n">
        <f aca="false">IFERROR(MAX(AL10,0),0)</f>
        <v>0</v>
      </c>
      <c r="AI11" s="698" t="n">
        <f aca="false">IFERROR(IF(AND(INDEX('Facility Master'!X:X,MATCH(ICICI_TL_SNo,'Facility Master'!A:A,0))&lt;=B11,INDEX('Facility Master'!X:X,MATCH(ICICI_TL_SNo,'Facility Master'!A:A,0))&gt;B10),INDEX('Facility Master'!K:K,MATCH(ICICI_TL_SNo,'Facility Master'!A:A,0)),0),0)</f>
        <v>0</v>
      </c>
      <c r="AJ11" s="698" t="n">
        <f aca="false">IFERROR(IF(B11&lt;ICICI_TL_RepStart,0,IF(B11&gt;ICICI_TL_Maturity,0,IF(COUNTIFS($B$5:$B11,"&gt;="&amp;ICICI_TL_RepStart,$B$5:$B11,"&lt;="&amp;ICICI_TL_Maturity)&lt;=8,INDEX('Facility Master'!K:K,MATCH(ICICI_TL_SNo,'Facility Master'!A:A,0))*0.0125,IF(COUNTIFS($B$5:$B11,"&gt;="&amp;ICICI_TL_RepStart,$B$5:$B11,"&lt;="&amp;ICICI_TL_Maturity)&lt;=48,INDEX('Facility Master'!K:K,MATCH(ICICI_TL_SNo,'Facility Master'!A:A,0))*0.0225,0)))),0)</f>
        <v>0</v>
      </c>
      <c r="AK11" s="698" t="n">
        <f aca="false">IFERROR((AH11+(AI11-AJ11)/2)*INDEX('Facility Master'!R:R,MATCH(ICICI_TL_SNo,'Facility Master'!A:A,0))*(B11-B10)/DaysInYear,0)</f>
        <v>0</v>
      </c>
      <c r="AL11" s="698" t="n">
        <f aca="false">IFERROR(ROUND(MAX(AH11+AI11-AJ11,0),6),0)</f>
        <v>0</v>
      </c>
      <c r="AM11" s="500" t="n">
        <f aca="false">F11+K11+P11+Z11+AE11+AJ11</f>
        <v>0</v>
      </c>
      <c r="AN11" s="500" t="n">
        <f aca="false">G11+L11+Q11+AA11+AF11+AK11</f>
        <v>32.2226849315069</v>
      </c>
      <c r="AO11" s="500" t="n">
        <f aca="false">AM11+AN11</f>
        <v>32.2226849315069</v>
      </c>
      <c r="AP11" s="500" t="n">
        <f aca="false">H11+M11+R11+AB11+AG11+AL11</f>
        <v>1360</v>
      </c>
    </row>
    <row r="12" customFormat="false" ht="15.75" hidden="false" customHeight="true" outlineLevel="0" collapsed="false">
      <c r="A12" s="699" t="n">
        <v>8</v>
      </c>
      <c r="B12" s="700" t="n">
        <v>45747</v>
      </c>
      <c r="C12" s="699" t="s">
        <v>672</v>
      </c>
      <c r="D12" s="701" t="n">
        <f aca="false">IFERROR(MAX(H11,0),0)</f>
        <v>1125</v>
      </c>
      <c r="E12" s="701" t="n">
        <f aca="false">IFERROR(IF(AND(INDEX('Facility Master'!X:X,MATCH(UBI_RTL1_SNo,'Facility Master'!A:A,0))&lt;=B12,INDEX('Facility Master'!X:X,MATCH(UBI_RTL1_SNo,'Facility Master'!A:A,0))&gt;B11),INDEX('Facility Master'!K:K,MATCH(UBI_RTL1_SNo,'Facility Master'!A:A,0)),0),0)</f>
        <v>0</v>
      </c>
      <c r="F12" s="701" t="n">
        <f aca="false">IFERROR(IF(B12&lt;UBI_RTL1_RepStart,0,IF(B12&gt;UBI_RTL1_Maturity,0,IF(COUNTIFS($B$5:$B12,"&gt;="&amp;UBI_RTL1_RepStart,$B$5:$B12,"&lt;="&amp;UBI_RTL1_Maturity)&lt;=8,INDEX('Facility Master'!K:K,MATCH(UBI_RTL1_SNo,'Facility Master'!A:A,0))*0.0125,IF(COUNTIFS($B$5:$B12,"&gt;="&amp;UBI_RTL1_RepStart,$B$5:$B12,"&lt;="&amp;UBI_RTL1_Maturity)&lt;=48,INDEX('Facility Master'!K:K,MATCH(UBI_RTL1_SNo,'Facility Master'!A:A,0))*0.0225,0)))),0)</f>
        <v>0</v>
      </c>
      <c r="G12" s="701" t="n">
        <f aca="false">IFERROR((D12+(E12-F12)/2)*INDEX('Facility Master'!R:R,MATCH(UBI_RTL1_SNo,'Facility Master'!A:A,0))*(B12-B11)/DaysInYear,0)</f>
        <v>26.0753424657534</v>
      </c>
      <c r="H12" s="701" t="n">
        <f aca="false">IFERROR(ROUND(MAX(D12+E12-F12,0),6),0)</f>
        <v>1125</v>
      </c>
      <c r="I12" s="701" t="n">
        <f aca="false">IFERROR(MAX(M11,0),0)</f>
        <v>0</v>
      </c>
      <c r="J12" s="701" t="n">
        <f aca="false">IFERROR(IF(AND(INDEX('Facility Master'!X:X,MATCH(UBI_RTL2_SNo,'Facility Master'!A:A,0))&lt;=B12,INDEX('Facility Master'!X:X,MATCH(UBI_RTL2_SNo,'Facility Master'!A:A,0))&gt;B11),INDEX('Facility Master'!K:K,MATCH(UBI_RTL2_SNo,'Facility Master'!A:A,0)),0),0)</f>
        <v>0</v>
      </c>
      <c r="K12" s="701" t="n">
        <f aca="false">IFERROR(IF(B12&lt;UBI_RTL2_RepStart,0,IF(B12&gt;UBI_RTL2_Maturity,0,IF(COUNTIFS($B$5:$B12,"&gt;="&amp;UBI_RTL2_RepStart,$B$5:$B12,"&lt;="&amp;UBI_RTL2_Maturity)&lt;=8,INDEX('Facility Master'!K:K,MATCH(UBI_RTL2_SNo,'Facility Master'!A:A,0))*0.0125,IF(COUNTIFS($B$5:$B12,"&gt;="&amp;UBI_RTL2_RepStart,$B$5:$B12,"&lt;="&amp;UBI_RTL2_Maturity)&lt;=48,INDEX('Facility Master'!K:K,MATCH(UBI_RTL2_SNo,'Facility Master'!A:A,0))*0.0225,0)))),0)</f>
        <v>0</v>
      </c>
      <c r="L12" s="701" t="n">
        <f aca="false">IFERROR((I12+(J12-K12)/2)*INDEX('Facility Master'!R:R,MATCH(UBI_RTL2_SNo,'Facility Master'!A:A,0))*(B12-B11)/DaysInYear,0)</f>
        <v>0</v>
      </c>
      <c r="M12" s="701" t="n">
        <f aca="false">IFERROR(ROUND(MAX(I12+J12-K12,0),6),0)</f>
        <v>0</v>
      </c>
      <c r="N12" s="701" t="n">
        <f aca="false">IFERROR(MAX(R11,0),0)</f>
        <v>235</v>
      </c>
      <c r="O12" s="701" t="n">
        <f aca="false">IFERROR(IF(AND(INDEX('Facility Master'!X:X,MATCH(IB_TL_SNo,'Facility Master'!A:A,0))&lt;=B12,INDEX('Facility Master'!X:X,MATCH(IB_TL_SNo,'Facility Master'!A:A,0))&gt;B11),INDEX('Facility Master'!K:K,MATCH(IB_TL_SNo,'Facility Master'!A:A,0)),0),0)</f>
        <v>0</v>
      </c>
      <c r="P12" s="701" t="n">
        <f aca="false">IFERROR(IF(B12&lt;IB_TL_RepStart,0,IF(B12&gt;IB_TL_Maturity,0,IF(COUNTIFS($B$5:$B12,"&gt;="&amp;IB_TL_RepStart,$B$5:$B12,"&lt;="&amp;IB_TL_Maturity)&lt;=8,INDEX('Facility Master'!K:K,MATCH(IB_TL_SNo,'Facility Master'!A:A,0))*0.0125,IF(COUNTIFS($B$5:$B12,"&gt;="&amp;IB_TL_RepStart,$B$5:$B12,"&lt;="&amp;IB_TL_Maturity)&lt;=48,INDEX('Facility Master'!K:K,MATCH(IB_TL_SNo,'Facility Master'!A:A,0))*0.0225,0)))),0)</f>
        <v>0</v>
      </c>
      <c r="Q12" s="701" t="n">
        <f aca="false">IFERROR((N12+(O12-P12)/2)*INDEX('Facility Master'!R:R,MATCH(IB_TL_SNo,'Facility Master'!A:A,0))*(B12-B11)/DaysInYear,0)</f>
        <v>5.44684931506849</v>
      </c>
      <c r="R12" s="701" t="n">
        <f aca="false">IFERROR(ROUND(MAX(N12+O12-P12,0),6),0)</f>
        <v>235</v>
      </c>
      <c r="S12" s="702" t="n">
        <f aca="false">IFERROR(MAX(W11,0),0)</f>
        <v>0</v>
      </c>
      <c r="T12" s="702" t="n">
        <f aca="false">IFERROR(IF(AND(INDEX('Facility Master'!X:X,MATCH(RBL_TL_SNo,'Facility Master'!A:A,0))&lt;=B12,INDEX('Facility Master'!X:X,MATCH(RBL_TL_SNo,'Facility Master'!A:A,0))&gt;B11),INDEX('Facility Master'!K:K,MATCH(RBL_TL_SNo,'Facility Master'!A:A,0)),0),0)</f>
        <v>0</v>
      </c>
      <c r="U12" s="702" t="n">
        <f aca="false">IFERROR(IF(AND(RBL_TL_Maturity&lt;=B12,RBL_TL_Maturity&gt;B11),INDEX('Facility Master'!K:K,MATCH(RBL_TL_SNo,'Facility Master'!A:A,0)),0),0)</f>
        <v>0</v>
      </c>
      <c r="V12" s="702" t="n">
        <f aca="false">IFERROR((S12+(T12-U12)/2)*INDEX('Facility Master'!R:R,MATCH(RBL_TL_SNo,'Facility Master'!A:A,0))*(B12-B11)/DaysInYear,0)</f>
        <v>0</v>
      </c>
      <c r="W12" s="702" t="n">
        <f aca="false">IFERROR(ROUND(MAX(S12+T12-U12,0),6),0)</f>
        <v>0</v>
      </c>
      <c r="X12" s="701" t="n">
        <f aca="false">IFERROR(MAX(AB11,0),0)</f>
        <v>0</v>
      </c>
      <c r="Y12" s="701" t="n">
        <f aca="false">IFERROR(IF(AND(INDEX('Facility Master'!X:X,MATCH(YBL_TL_SNo,'Facility Master'!A:A,0))&lt;=B12,INDEX('Facility Master'!X:X,MATCH(YBL_TL_SNo,'Facility Master'!A:A,0))&gt;B11),INDEX('Facility Master'!K:K,MATCH(YBL_TL_SNo,'Facility Master'!A:A,0)),0),0)</f>
        <v>0</v>
      </c>
      <c r="Z12" s="701" t="n">
        <f aca="false">IFERROR(IF(B12&lt;YBL_TL_RepStart,0,IF(B12&gt;YBL_TL_Maturity,0,IF(COUNTIFS($B$5:$B12,"&gt;="&amp;YBL_TL_RepStart,$B$5:$B12,"&lt;="&amp;YBL_TL_Maturity)&lt;=8,INDEX('Facility Master'!K:K,MATCH(YBL_TL_SNo,'Facility Master'!A:A,0))*0.0125,IF(COUNTIFS($B$5:$B12,"&gt;="&amp;YBL_TL_RepStart,$B$5:$B12,"&lt;="&amp;YBL_TL_Maturity)&lt;=48,INDEX('Facility Master'!K:K,MATCH(YBL_TL_SNo,'Facility Master'!A:A,0))*0.0225,0)))),0)</f>
        <v>0</v>
      </c>
      <c r="AA12" s="701" t="n">
        <f aca="false">IFERROR((X12+(Y12-Z12)/2)*INDEX('Facility Master'!R:R,MATCH(YBL_TL_SNo,'Facility Master'!A:A,0))*(B12-B11)/DaysInYear,0)</f>
        <v>0</v>
      </c>
      <c r="AB12" s="701" t="n">
        <f aca="false">IFERROR(ROUND(MAX(X12+Y12-Z12,0),6),0)</f>
        <v>0</v>
      </c>
      <c r="AC12" s="701" t="n">
        <f aca="false">IFERROR(MAX(AG11,0),0)</f>
        <v>0</v>
      </c>
      <c r="AD12" s="701" t="n">
        <f aca="false">IFERROR(IF(AND(INDEX('Facility Master'!X:X,MATCH(IDFC_TL_SNo,'Facility Master'!A:A,0))&lt;=B12,INDEX('Facility Master'!X:X,MATCH(IDFC_TL_SNo,'Facility Master'!A:A,0))&gt;B11),INDEX('Facility Master'!K:K,MATCH(IDFC_TL_SNo,'Facility Master'!A:A,0)),0),0)</f>
        <v>0</v>
      </c>
      <c r="AE12" s="701" t="n">
        <f aca="false">IFERROR(IF(B12&lt;IDFC_TL_RepStart,0,IF(B12&gt;IDFC_TL_Maturity,0,IF(COUNTIFS($B$5:$B12,"&gt;="&amp;IDFC_TL_RepStart,$B$5:$B12,"&lt;="&amp;IDFC_TL_Maturity)&lt;=8,INDEX('Facility Master'!K:K,MATCH(IDFC_TL_SNo,'Facility Master'!A:A,0))*0.0125,IF(COUNTIFS($B$5:$B12,"&gt;="&amp;IDFC_TL_RepStart,$B$5:$B12,"&lt;="&amp;IDFC_TL_Maturity)&lt;=48,INDEX('Facility Master'!K:K,MATCH(IDFC_TL_SNo,'Facility Master'!A:A,0))*0.0225,0)))),0)</f>
        <v>0</v>
      </c>
      <c r="AF12" s="701" t="n">
        <f aca="false">IFERROR((AC12+(AD12-AE12)/2)*INDEX('Facility Master'!R:R,MATCH(IDFC_TL_SNo,'Facility Master'!A:A,0))*(B12-B11)/DaysInYear,0)</f>
        <v>0</v>
      </c>
      <c r="AG12" s="701" t="n">
        <f aca="false">IFERROR(ROUND(MAX(AC12+AD12-AE12,0),6),0)</f>
        <v>0</v>
      </c>
      <c r="AH12" s="703" t="n">
        <f aca="false">IFERROR(MAX(AL11,0),0)</f>
        <v>0</v>
      </c>
      <c r="AI12" s="703" t="n">
        <f aca="false">IFERROR(IF(AND(INDEX('Facility Master'!X:X,MATCH(ICICI_TL_SNo,'Facility Master'!A:A,0))&lt;=B12,INDEX('Facility Master'!X:X,MATCH(ICICI_TL_SNo,'Facility Master'!A:A,0))&gt;B11),INDEX('Facility Master'!K:K,MATCH(ICICI_TL_SNo,'Facility Master'!A:A,0)),0),0)</f>
        <v>0</v>
      </c>
      <c r="AJ12" s="703" t="n">
        <f aca="false">IFERROR(IF(B12&lt;ICICI_TL_RepStart,0,IF(B12&gt;ICICI_TL_Maturity,0,IF(COUNTIFS($B$5:$B12,"&gt;="&amp;ICICI_TL_RepStart,$B$5:$B12,"&lt;="&amp;ICICI_TL_Maturity)&lt;=8,INDEX('Facility Master'!K:K,MATCH(ICICI_TL_SNo,'Facility Master'!A:A,0))*0.0125,IF(COUNTIFS($B$5:$B12,"&gt;="&amp;ICICI_TL_RepStart,$B$5:$B12,"&lt;="&amp;ICICI_TL_Maturity)&lt;=48,INDEX('Facility Master'!K:K,MATCH(ICICI_TL_SNo,'Facility Master'!A:A,0))*0.0225,0)))),0)</f>
        <v>0</v>
      </c>
      <c r="AK12" s="703" t="n">
        <f aca="false">IFERROR((AH12+(AI12-AJ12)/2)*INDEX('Facility Master'!R:R,MATCH(ICICI_TL_SNo,'Facility Master'!A:A,0))*(B12-B11)/DaysInYear,0)</f>
        <v>0</v>
      </c>
      <c r="AL12" s="703" t="n">
        <f aca="false">IFERROR(ROUND(MAX(AH12+AI12-AJ12,0),6),0)</f>
        <v>0</v>
      </c>
      <c r="AM12" s="701" t="n">
        <f aca="false">F12+K12+P12+Z12+AE12+AJ12</f>
        <v>0</v>
      </c>
      <c r="AN12" s="701" t="n">
        <f aca="false">G12+L12+Q12+AA12+AF12+AK12</f>
        <v>31.5221917808219</v>
      </c>
      <c r="AO12" s="701" t="n">
        <f aca="false">AM12+AN12</f>
        <v>31.5221917808219</v>
      </c>
      <c r="AP12" s="701" t="n">
        <f aca="false">H12+M12+R12+AB12+AG12+AL12</f>
        <v>1360</v>
      </c>
    </row>
    <row r="13" customFormat="false" ht="15.75" hidden="false" customHeight="true" outlineLevel="0" collapsed="false">
      <c r="A13" s="496" t="n">
        <v>9</v>
      </c>
      <c r="B13" s="696" t="n">
        <v>45838</v>
      </c>
      <c r="C13" s="496" t="s">
        <v>673</v>
      </c>
      <c r="D13" s="500" t="n">
        <f aca="false">IFERROR(MAX(H12,0),0)</f>
        <v>1125</v>
      </c>
      <c r="E13" s="500" t="n">
        <f aca="false">IFERROR(IF(AND(INDEX('Facility Master'!X:X,MATCH(UBI_RTL1_SNo,'Facility Master'!A:A,0))&lt;=B13,INDEX('Facility Master'!X:X,MATCH(UBI_RTL1_SNo,'Facility Master'!A:A,0))&gt;B12),INDEX('Facility Master'!K:K,MATCH(UBI_RTL1_SNo,'Facility Master'!A:A,0)),0),0)</f>
        <v>0</v>
      </c>
      <c r="F13" s="500" t="n">
        <f aca="false">IFERROR(IF(B13&lt;UBI_RTL1_RepStart,0,IF(B13&gt;UBI_RTL1_Maturity,0,IF(COUNTIFS($B$5:$B13,"&gt;="&amp;UBI_RTL1_RepStart,$B$5:$B13,"&lt;="&amp;UBI_RTL1_Maturity)&lt;=8,INDEX('Facility Master'!K:K,MATCH(UBI_RTL1_SNo,'Facility Master'!A:A,0))*0.0125,IF(COUNTIFS($B$5:$B13,"&gt;="&amp;UBI_RTL1_RepStart,$B$5:$B13,"&lt;="&amp;UBI_RTL1_Maturity)&lt;=48,INDEX('Facility Master'!K:K,MATCH(UBI_RTL1_SNo,'Facility Master'!A:A,0))*0.0225,0)))),0)</f>
        <v>0</v>
      </c>
      <c r="G13" s="500" t="n">
        <f aca="false">IFERROR((D13+(E13-F13)/2)*INDEX('Facility Master'!R:R,MATCH(UBI_RTL1_SNo,'Facility Master'!A:A,0))*(B13-B12)/DaysInYear,0)</f>
        <v>26.3650684931507</v>
      </c>
      <c r="H13" s="500" t="n">
        <f aca="false">IFERROR(ROUND(MAX(D13+E13-F13,0),6),0)</f>
        <v>1125</v>
      </c>
      <c r="I13" s="500" t="n">
        <f aca="false">IFERROR(MAX(M12,0),0)</f>
        <v>0</v>
      </c>
      <c r="J13" s="500" t="n">
        <f aca="false">IFERROR(IF(AND(INDEX('Facility Master'!X:X,MATCH(UBI_RTL2_SNo,'Facility Master'!A:A,0))&lt;=B13,INDEX('Facility Master'!X:X,MATCH(UBI_RTL2_SNo,'Facility Master'!A:A,0))&gt;B12),INDEX('Facility Master'!K:K,MATCH(UBI_RTL2_SNo,'Facility Master'!A:A,0)),0),0)</f>
        <v>0</v>
      </c>
      <c r="K13" s="500" t="n">
        <f aca="false">IFERROR(IF(B13&lt;UBI_RTL2_RepStart,0,IF(B13&gt;UBI_RTL2_Maturity,0,IF(COUNTIFS($B$5:$B13,"&gt;="&amp;UBI_RTL2_RepStart,$B$5:$B13,"&lt;="&amp;UBI_RTL2_Maturity)&lt;=8,INDEX('Facility Master'!K:K,MATCH(UBI_RTL2_SNo,'Facility Master'!A:A,0))*0.0125,IF(COUNTIFS($B$5:$B13,"&gt;="&amp;UBI_RTL2_RepStart,$B$5:$B13,"&lt;="&amp;UBI_RTL2_Maturity)&lt;=48,INDEX('Facility Master'!K:K,MATCH(UBI_RTL2_SNo,'Facility Master'!A:A,0))*0.0225,0)))),0)</f>
        <v>0</v>
      </c>
      <c r="L13" s="500" t="n">
        <f aca="false">IFERROR((I13+(J13-K13)/2)*INDEX('Facility Master'!R:R,MATCH(UBI_RTL2_SNo,'Facility Master'!A:A,0))*(B13-B12)/DaysInYear,0)</f>
        <v>0</v>
      </c>
      <c r="M13" s="500" t="n">
        <f aca="false">IFERROR(ROUND(MAX(I13+J13-K13,0),6),0)</f>
        <v>0</v>
      </c>
      <c r="N13" s="500" t="n">
        <f aca="false">IFERROR(MAX(R12,0),0)</f>
        <v>235</v>
      </c>
      <c r="O13" s="500" t="n">
        <f aca="false">IFERROR(IF(AND(INDEX('Facility Master'!X:X,MATCH(IB_TL_SNo,'Facility Master'!A:A,0))&lt;=B13,INDEX('Facility Master'!X:X,MATCH(IB_TL_SNo,'Facility Master'!A:A,0))&gt;B12),INDEX('Facility Master'!K:K,MATCH(IB_TL_SNo,'Facility Master'!A:A,0)),0),0)</f>
        <v>0</v>
      </c>
      <c r="P13" s="500" t="n">
        <f aca="false">IFERROR(IF(B13&lt;IB_TL_RepStart,0,IF(B13&gt;IB_TL_Maturity,0,IF(COUNTIFS($B$5:$B13,"&gt;="&amp;IB_TL_RepStart,$B$5:$B13,"&lt;="&amp;IB_TL_Maturity)&lt;=8,INDEX('Facility Master'!K:K,MATCH(IB_TL_SNo,'Facility Master'!A:A,0))*0.0125,IF(COUNTIFS($B$5:$B13,"&gt;="&amp;IB_TL_RepStart,$B$5:$B13,"&lt;="&amp;IB_TL_Maturity)&lt;=48,INDEX('Facility Master'!K:K,MATCH(IB_TL_SNo,'Facility Master'!A:A,0))*0.0225,0)))),0)</f>
        <v>0</v>
      </c>
      <c r="Q13" s="500" t="n">
        <f aca="false">IFERROR((N13+(O13-P13)/2)*INDEX('Facility Master'!R:R,MATCH(IB_TL_SNo,'Facility Master'!A:A,0))*(B13-B12)/DaysInYear,0)</f>
        <v>5.5073698630137</v>
      </c>
      <c r="R13" s="500" t="n">
        <f aca="false">IFERROR(ROUND(MAX(N13+O13-P13,0),6),0)</f>
        <v>235</v>
      </c>
      <c r="S13" s="697" t="n">
        <f aca="false">IFERROR(MAX(W12,0),0)</f>
        <v>0</v>
      </c>
      <c r="T13" s="697" t="n">
        <f aca="false">IFERROR(IF(AND(INDEX('Facility Master'!X:X,MATCH(RBL_TL_SNo,'Facility Master'!A:A,0))&lt;=B13,INDEX('Facility Master'!X:X,MATCH(RBL_TL_SNo,'Facility Master'!A:A,0))&gt;B12),INDEX('Facility Master'!K:K,MATCH(RBL_TL_SNo,'Facility Master'!A:A,0)),0),0)</f>
        <v>0</v>
      </c>
      <c r="U13" s="697" t="n">
        <f aca="false">IFERROR(IF(AND(RBL_TL_Maturity&lt;=B13,RBL_TL_Maturity&gt;B12),INDEX('Facility Master'!K:K,MATCH(RBL_TL_SNo,'Facility Master'!A:A,0)),0),0)</f>
        <v>0</v>
      </c>
      <c r="V13" s="697" t="n">
        <f aca="false">IFERROR((S13+(T13-U13)/2)*INDEX('Facility Master'!R:R,MATCH(RBL_TL_SNo,'Facility Master'!A:A,0))*(B13-B12)/DaysInYear,0)</f>
        <v>0</v>
      </c>
      <c r="W13" s="697" t="n">
        <f aca="false">IFERROR(ROUND(MAX(S13+T13-U13,0),6),0)</f>
        <v>0</v>
      </c>
      <c r="X13" s="500" t="n">
        <f aca="false">IFERROR(MAX(AB12,0),0)</f>
        <v>0</v>
      </c>
      <c r="Y13" s="500" t="n">
        <f aca="false">IFERROR(IF(AND(INDEX('Facility Master'!X:X,MATCH(YBL_TL_SNo,'Facility Master'!A:A,0))&lt;=B13,INDEX('Facility Master'!X:X,MATCH(YBL_TL_SNo,'Facility Master'!A:A,0))&gt;B12),INDEX('Facility Master'!K:K,MATCH(YBL_TL_SNo,'Facility Master'!A:A,0)),0),0)</f>
        <v>0</v>
      </c>
      <c r="Z13" s="500" t="n">
        <f aca="false">IFERROR(IF(B13&lt;YBL_TL_RepStart,0,IF(B13&gt;YBL_TL_Maturity,0,IF(COUNTIFS($B$5:$B13,"&gt;="&amp;YBL_TL_RepStart,$B$5:$B13,"&lt;="&amp;YBL_TL_Maturity)&lt;=8,INDEX('Facility Master'!K:K,MATCH(YBL_TL_SNo,'Facility Master'!A:A,0))*0.0125,IF(COUNTIFS($B$5:$B13,"&gt;="&amp;YBL_TL_RepStart,$B$5:$B13,"&lt;="&amp;YBL_TL_Maturity)&lt;=48,INDEX('Facility Master'!K:K,MATCH(YBL_TL_SNo,'Facility Master'!A:A,0))*0.0225,0)))),0)</f>
        <v>0</v>
      </c>
      <c r="AA13" s="500" t="n">
        <f aca="false">IFERROR((X13+(Y13-Z13)/2)*INDEX('Facility Master'!R:R,MATCH(YBL_TL_SNo,'Facility Master'!A:A,0))*(B13-B12)/DaysInYear,0)</f>
        <v>0</v>
      </c>
      <c r="AB13" s="500" t="n">
        <f aca="false">IFERROR(ROUND(MAX(X13+Y13-Z13,0),6),0)</f>
        <v>0</v>
      </c>
      <c r="AC13" s="500" t="n">
        <f aca="false">IFERROR(MAX(AG12,0),0)</f>
        <v>0</v>
      </c>
      <c r="AD13" s="500" t="n">
        <f aca="false">IFERROR(IF(AND(INDEX('Facility Master'!X:X,MATCH(IDFC_TL_SNo,'Facility Master'!A:A,0))&lt;=B13,INDEX('Facility Master'!X:X,MATCH(IDFC_TL_SNo,'Facility Master'!A:A,0))&gt;B12),INDEX('Facility Master'!K:K,MATCH(IDFC_TL_SNo,'Facility Master'!A:A,0)),0),0)</f>
        <v>0</v>
      </c>
      <c r="AE13" s="500" t="n">
        <f aca="false">IFERROR(IF(B13&lt;IDFC_TL_RepStart,0,IF(B13&gt;IDFC_TL_Maturity,0,IF(COUNTIFS($B$5:$B13,"&gt;="&amp;IDFC_TL_RepStart,$B$5:$B13,"&lt;="&amp;IDFC_TL_Maturity)&lt;=8,INDEX('Facility Master'!K:K,MATCH(IDFC_TL_SNo,'Facility Master'!A:A,0))*0.0125,IF(COUNTIFS($B$5:$B13,"&gt;="&amp;IDFC_TL_RepStart,$B$5:$B13,"&lt;="&amp;IDFC_TL_Maturity)&lt;=48,INDEX('Facility Master'!K:K,MATCH(IDFC_TL_SNo,'Facility Master'!A:A,0))*0.0225,0)))),0)</f>
        <v>0</v>
      </c>
      <c r="AF13" s="500" t="n">
        <f aca="false">IFERROR((AC13+(AD13-AE13)/2)*INDEX('Facility Master'!R:R,MATCH(IDFC_TL_SNo,'Facility Master'!A:A,0))*(B13-B12)/DaysInYear,0)</f>
        <v>0</v>
      </c>
      <c r="AG13" s="500" t="n">
        <f aca="false">IFERROR(ROUND(MAX(AC13+AD13-AE13,0),6),0)</f>
        <v>0</v>
      </c>
      <c r="AH13" s="698" t="n">
        <f aca="false">IFERROR(MAX(AL12,0),0)</f>
        <v>0</v>
      </c>
      <c r="AI13" s="698" t="n">
        <f aca="false">IFERROR(IF(AND(INDEX('Facility Master'!X:X,MATCH(ICICI_TL_SNo,'Facility Master'!A:A,0))&lt;=B13,INDEX('Facility Master'!X:X,MATCH(ICICI_TL_SNo,'Facility Master'!A:A,0))&gt;B12),INDEX('Facility Master'!K:K,MATCH(ICICI_TL_SNo,'Facility Master'!A:A,0)),0),0)</f>
        <v>0</v>
      </c>
      <c r="AJ13" s="698" t="n">
        <f aca="false">IFERROR(IF(B13&lt;ICICI_TL_RepStart,0,IF(B13&gt;ICICI_TL_Maturity,0,IF(COUNTIFS($B$5:$B13,"&gt;="&amp;ICICI_TL_RepStart,$B$5:$B13,"&lt;="&amp;ICICI_TL_Maturity)&lt;=8,INDEX('Facility Master'!K:K,MATCH(ICICI_TL_SNo,'Facility Master'!A:A,0))*0.0125,IF(COUNTIFS($B$5:$B13,"&gt;="&amp;ICICI_TL_RepStart,$B$5:$B13,"&lt;="&amp;ICICI_TL_Maturity)&lt;=48,INDEX('Facility Master'!K:K,MATCH(ICICI_TL_SNo,'Facility Master'!A:A,0))*0.0225,0)))),0)</f>
        <v>0</v>
      </c>
      <c r="AK13" s="698" t="n">
        <f aca="false">IFERROR((AH13+(AI13-AJ13)/2)*INDEX('Facility Master'!R:R,MATCH(ICICI_TL_SNo,'Facility Master'!A:A,0))*(B13-B12)/DaysInYear,0)</f>
        <v>0</v>
      </c>
      <c r="AL13" s="698" t="n">
        <f aca="false">IFERROR(ROUND(MAX(AH13+AI13-AJ13,0),6),0)</f>
        <v>0</v>
      </c>
      <c r="AM13" s="500" t="n">
        <f aca="false">F13+K13+P13+Z13+AE13+AJ13</f>
        <v>0</v>
      </c>
      <c r="AN13" s="500" t="n">
        <f aca="false">G13+L13+Q13+AA13+AF13+AK13</f>
        <v>31.8724383561644</v>
      </c>
      <c r="AO13" s="500" t="n">
        <f aca="false">AM13+AN13</f>
        <v>31.8724383561644</v>
      </c>
      <c r="AP13" s="500" t="n">
        <f aca="false">H13+M13+R13+AB13+AG13+AL13</f>
        <v>1360</v>
      </c>
    </row>
    <row r="14" customFormat="false" ht="15.75" hidden="false" customHeight="true" outlineLevel="0" collapsed="false">
      <c r="A14" s="699" t="n">
        <v>10</v>
      </c>
      <c r="B14" s="700" t="n">
        <v>45930</v>
      </c>
      <c r="C14" s="699" t="s">
        <v>674</v>
      </c>
      <c r="D14" s="701" t="n">
        <f aca="false">IFERROR(MAX(H13,0),0)</f>
        <v>1125</v>
      </c>
      <c r="E14" s="701" t="n">
        <f aca="false">IFERROR(IF(AND(INDEX('Facility Master'!X:X,MATCH(UBI_RTL1_SNo,'Facility Master'!A:A,0))&lt;=B14,INDEX('Facility Master'!X:X,MATCH(UBI_RTL1_SNo,'Facility Master'!A:A,0))&gt;B13),INDEX('Facility Master'!K:K,MATCH(UBI_RTL1_SNo,'Facility Master'!A:A,0)),0),0)</f>
        <v>0</v>
      </c>
      <c r="F14" s="701" t="n">
        <f aca="false">IFERROR(IF(B14&lt;UBI_RTL1_RepStart,0,IF(B14&gt;UBI_RTL1_Maturity,0,IF(COUNTIFS($B$5:$B14,"&gt;="&amp;UBI_RTL1_RepStart,$B$5:$B14,"&lt;="&amp;UBI_RTL1_Maturity)&lt;=8,INDEX('Facility Master'!K:K,MATCH(UBI_RTL1_SNo,'Facility Master'!A:A,0))*0.0125,IF(COUNTIFS($B$5:$B14,"&gt;="&amp;UBI_RTL1_RepStart,$B$5:$B14,"&lt;="&amp;UBI_RTL1_Maturity)&lt;=48,INDEX('Facility Master'!K:K,MATCH(UBI_RTL1_SNo,'Facility Master'!A:A,0))*0.0225,0)))),0)</f>
        <v>0</v>
      </c>
      <c r="G14" s="701" t="n">
        <f aca="false">IFERROR((D14+(E14-F14)/2)*INDEX('Facility Master'!R:R,MATCH(UBI_RTL1_SNo,'Facility Master'!A:A,0))*(B14-B13)/DaysInYear,0)</f>
        <v>26.6547945205479</v>
      </c>
      <c r="H14" s="701" t="n">
        <f aca="false">IFERROR(ROUND(MAX(D14+E14-F14,0),6),0)</f>
        <v>1125</v>
      </c>
      <c r="I14" s="701" t="n">
        <f aca="false">IFERROR(MAX(M13,0),0)</f>
        <v>0</v>
      </c>
      <c r="J14" s="701" t="n">
        <f aca="false">IFERROR(IF(AND(INDEX('Facility Master'!X:X,MATCH(UBI_RTL2_SNo,'Facility Master'!A:A,0))&lt;=B14,INDEX('Facility Master'!X:X,MATCH(UBI_RTL2_SNo,'Facility Master'!A:A,0))&gt;B13),INDEX('Facility Master'!K:K,MATCH(UBI_RTL2_SNo,'Facility Master'!A:A,0)),0),0)</f>
        <v>236</v>
      </c>
      <c r="K14" s="701" t="n">
        <f aca="false">IFERROR(IF(B14&lt;UBI_RTL2_RepStart,0,IF(B14&gt;UBI_RTL2_Maturity,0,IF(COUNTIFS($B$5:$B14,"&gt;="&amp;UBI_RTL2_RepStart,$B$5:$B14,"&lt;="&amp;UBI_RTL2_Maturity)&lt;=8,INDEX('Facility Master'!K:K,MATCH(UBI_RTL2_SNo,'Facility Master'!A:A,0))*0.0125,IF(COUNTIFS($B$5:$B14,"&gt;="&amp;UBI_RTL2_RepStart,$B$5:$B14,"&lt;="&amp;UBI_RTL2_Maturity)&lt;=48,INDEX('Facility Master'!K:K,MATCH(UBI_RTL2_SNo,'Facility Master'!A:A,0))*0.0225,0)))),0)</f>
        <v>0</v>
      </c>
      <c r="L14" s="701" t="n">
        <f aca="false">IFERROR((I14+(J14-K14)/2)*INDEX('Facility Master'!R:R,MATCH(UBI_RTL2_SNo,'Facility Master'!A:A,0))*(B14-B13)/DaysInYear,0)</f>
        <v>2.70656438356164</v>
      </c>
      <c r="M14" s="701" t="n">
        <f aca="false">IFERROR(ROUND(MAX(I14+J14-K14,0),6),0)</f>
        <v>236</v>
      </c>
      <c r="N14" s="701" t="n">
        <f aca="false">IFERROR(MAX(R13,0),0)</f>
        <v>235</v>
      </c>
      <c r="O14" s="701" t="n">
        <f aca="false">IFERROR(IF(AND(INDEX('Facility Master'!X:X,MATCH(IB_TL_SNo,'Facility Master'!A:A,0))&lt;=B14,INDEX('Facility Master'!X:X,MATCH(IB_TL_SNo,'Facility Master'!A:A,0))&gt;B13),INDEX('Facility Master'!K:K,MATCH(IB_TL_SNo,'Facility Master'!A:A,0)),0),0)</f>
        <v>0</v>
      </c>
      <c r="P14" s="701" t="n">
        <f aca="false">IFERROR(IF(B14&lt;IB_TL_RepStart,0,IF(B14&gt;IB_TL_Maturity,0,IF(COUNTIFS($B$5:$B14,"&gt;="&amp;IB_TL_RepStart,$B$5:$B14,"&lt;="&amp;IB_TL_Maturity)&lt;=8,INDEX('Facility Master'!K:K,MATCH(IB_TL_SNo,'Facility Master'!A:A,0))*0.0125,IF(COUNTIFS($B$5:$B14,"&gt;="&amp;IB_TL_RepStart,$B$5:$B14,"&lt;="&amp;IB_TL_Maturity)&lt;=48,INDEX('Facility Master'!K:K,MATCH(IB_TL_SNo,'Facility Master'!A:A,0))*0.0225,0)))),0)</f>
        <v>0</v>
      </c>
      <c r="Q14" s="701" t="n">
        <f aca="false">IFERROR((N14+(O14-P14)/2)*INDEX('Facility Master'!R:R,MATCH(IB_TL_SNo,'Facility Master'!A:A,0))*(B14-B13)/DaysInYear,0)</f>
        <v>5.5678904109589</v>
      </c>
      <c r="R14" s="701" t="n">
        <f aca="false">IFERROR(ROUND(MAX(N14+O14-P14,0),6),0)</f>
        <v>235</v>
      </c>
      <c r="S14" s="702" t="n">
        <f aca="false">IFERROR(MAX(W13,0),0)</f>
        <v>0</v>
      </c>
      <c r="T14" s="702" t="n">
        <f aca="false">IFERROR(IF(AND(INDEX('Facility Master'!X:X,MATCH(RBL_TL_SNo,'Facility Master'!A:A,0))&lt;=B14,INDEX('Facility Master'!X:X,MATCH(RBL_TL_SNo,'Facility Master'!A:A,0))&gt;B13),INDEX('Facility Master'!K:K,MATCH(RBL_TL_SNo,'Facility Master'!A:A,0)),0),0)</f>
        <v>0</v>
      </c>
      <c r="U14" s="702" t="n">
        <f aca="false">IFERROR(IF(AND(RBL_TL_Maturity&lt;=B14,RBL_TL_Maturity&gt;B13),INDEX('Facility Master'!K:K,MATCH(RBL_TL_SNo,'Facility Master'!A:A,0)),0),0)</f>
        <v>0</v>
      </c>
      <c r="V14" s="702" t="n">
        <f aca="false">IFERROR((S14+(T14-U14)/2)*INDEX('Facility Master'!R:R,MATCH(RBL_TL_SNo,'Facility Master'!A:A,0))*(B14-B13)/DaysInYear,0)</f>
        <v>0</v>
      </c>
      <c r="W14" s="702" t="n">
        <f aca="false">IFERROR(ROUND(MAX(S14+T14-U14,0),6),0)</f>
        <v>0</v>
      </c>
      <c r="X14" s="701" t="n">
        <f aca="false">IFERROR(MAX(AB13,0),0)</f>
        <v>0</v>
      </c>
      <c r="Y14" s="701" t="n">
        <f aca="false">IFERROR(IF(AND(INDEX('Facility Master'!X:X,MATCH(YBL_TL_SNo,'Facility Master'!A:A,0))&lt;=B14,INDEX('Facility Master'!X:X,MATCH(YBL_TL_SNo,'Facility Master'!A:A,0))&gt;B13),INDEX('Facility Master'!K:K,MATCH(YBL_TL_SNo,'Facility Master'!A:A,0)),0),0)</f>
        <v>0</v>
      </c>
      <c r="Z14" s="701" t="n">
        <f aca="false">IFERROR(IF(B14&lt;YBL_TL_RepStart,0,IF(B14&gt;YBL_TL_Maturity,0,IF(COUNTIFS($B$5:$B14,"&gt;="&amp;YBL_TL_RepStart,$B$5:$B14,"&lt;="&amp;YBL_TL_Maturity)&lt;=8,INDEX('Facility Master'!K:K,MATCH(YBL_TL_SNo,'Facility Master'!A:A,0))*0.0125,IF(COUNTIFS($B$5:$B14,"&gt;="&amp;YBL_TL_RepStart,$B$5:$B14,"&lt;="&amp;YBL_TL_Maturity)&lt;=48,INDEX('Facility Master'!K:K,MATCH(YBL_TL_SNo,'Facility Master'!A:A,0))*0.0225,0)))),0)</f>
        <v>0</v>
      </c>
      <c r="AA14" s="701" t="n">
        <f aca="false">IFERROR((X14+(Y14-Z14)/2)*INDEX('Facility Master'!R:R,MATCH(YBL_TL_SNo,'Facility Master'!A:A,0))*(B14-B13)/DaysInYear,0)</f>
        <v>0</v>
      </c>
      <c r="AB14" s="701" t="n">
        <f aca="false">IFERROR(ROUND(MAX(X14+Y14-Z14,0),6),0)</f>
        <v>0</v>
      </c>
      <c r="AC14" s="701" t="n">
        <f aca="false">IFERROR(MAX(AG13,0),0)</f>
        <v>0</v>
      </c>
      <c r="AD14" s="701" t="n">
        <f aca="false">IFERROR(IF(AND(INDEX('Facility Master'!X:X,MATCH(IDFC_TL_SNo,'Facility Master'!A:A,0))&lt;=B14,INDEX('Facility Master'!X:X,MATCH(IDFC_TL_SNo,'Facility Master'!A:A,0))&gt;B13),INDEX('Facility Master'!K:K,MATCH(IDFC_TL_SNo,'Facility Master'!A:A,0)),0),0)</f>
        <v>0</v>
      </c>
      <c r="AE14" s="701" t="n">
        <f aca="false">IFERROR(IF(B14&lt;IDFC_TL_RepStart,0,IF(B14&gt;IDFC_TL_Maturity,0,IF(COUNTIFS($B$5:$B14,"&gt;="&amp;IDFC_TL_RepStart,$B$5:$B14,"&lt;="&amp;IDFC_TL_Maturity)&lt;=8,INDEX('Facility Master'!K:K,MATCH(IDFC_TL_SNo,'Facility Master'!A:A,0))*0.0125,IF(COUNTIFS($B$5:$B14,"&gt;="&amp;IDFC_TL_RepStart,$B$5:$B14,"&lt;="&amp;IDFC_TL_Maturity)&lt;=48,INDEX('Facility Master'!K:K,MATCH(IDFC_TL_SNo,'Facility Master'!A:A,0))*0.0225,0)))),0)</f>
        <v>0</v>
      </c>
      <c r="AF14" s="701" t="n">
        <f aca="false">IFERROR((AC14+(AD14-AE14)/2)*INDEX('Facility Master'!R:R,MATCH(IDFC_TL_SNo,'Facility Master'!A:A,0))*(B14-B13)/DaysInYear,0)</f>
        <v>0</v>
      </c>
      <c r="AG14" s="701" t="n">
        <f aca="false">IFERROR(ROUND(MAX(AC14+AD14-AE14,0),6),0)</f>
        <v>0</v>
      </c>
      <c r="AH14" s="703" t="n">
        <f aca="false">IFERROR(MAX(AL13,0),0)</f>
        <v>0</v>
      </c>
      <c r="AI14" s="703" t="n">
        <f aca="false">IFERROR(IF(AND(INDEX('Facility Master'!X:X,MATCH(ICICI_TL_SNo,'Facility Master'!A:A,0))&lt;=B14,INDEX('Facility Master'!X:X,MATCH(ICICI_TL_SNo,'Facility Master'!A:A,0))&gt;B13),INDEX('Facility Master'!K:K,MATCH(ICICI_TL_SNo,'Facility Master'!A:A,0)),0),0)</f>
        <v>0</v>
      </c>
      <c r="AJ14" s="703" t="n">
        <f aca="false">IFERROR(IF(B14&lt;ICICI_TL_RepStart,0,IF(B14&gt;ICICI_TL_Maturity,0,IF(COUNTIFS($B$5:$B14,"&gt;="&amp;ICICI_TL_RepStart,$B$5:$B14,"&lt;="&amp;ICICI_TL_Maturity)&lt;=8,INDEX('Facility Master'!K:K,MATCH(ICICI_TL_SNo,'Facility Master'!A:A,0))*0.0125,IF(COUNTIFS($B$5:$B14,"&gt;="&amp;ICICI_TL_RepStart,$B$5:$B14,"&lt;="&amp;ICICI_TL_Maturity)&lt;=48,INDEX('Facility Master'!K:K,MATCH(ICICI_TL_SNo,'Facility Master'!A:A,0))*0.0225,0)))),0)</f>
        <v>0</v>
      </c>
      <c r="AK14" s="703" t="n">
        <f aca="false">IFERROR((AH14+(AI14-AJ14)/2)*INDEX('Facility Master'!R:R,MATCH(ICICI_TL_SNo,'Facility Master'!A:A,0))*(B14-B13)/DaysInYear,0)</f>
        <v>0</v>
      </c>
      <c r="AL14" s="703" t="n">
        <f aca="false">IFERROR(ROUND(MAX(AH14+AI14-AJ14,0),6),0)</f>
        <v>0</v>
      </c>
      <c r="AM14" s="701" t="n">
        <f aca="false">F14+K14+P14+Z14+AE14+AJ14</f>
        <v>0</v>
      </c>
      <c r="AN14" s="701" t="n">
        <f aca="false">G14+L14+Q14+AA14+AF14+AK14</f>
        <v>34.9292493150685</v>
      </c>
      <c r="AO14" s="701" t="n">
        <f aca="false">AM14+AN14</f>
        <v>34.9292493150685</v>
      </c>
      <c r="AP14" s="701" t="n">
        <f aca="false">H14+M14+R14+AB14+AG14+AL14</f>
        <v>1596</v>
      </c>
    </row>
    <row r="15" customFormat="false" ht="15.75" hidden="false" customHeight="true" outlineLevel="0" collapsed="false">
      <c r="A15" s="496" t="n">
        <v>11</v>
      </c>
      <c r="B15" s="696" t="n">
        <v>46022</v>
      </c>
      <c r="C15" s="496" t="s">
        <v>675</v>
      </c>
      <c r="D15" s="500" t="n">
        <f aca="false">IFERROR(MAX(H14,0),0)</f>
        <v>1125</v>
      </c>
      <c r="E15" s="500" t="n">
        <f aca="false">IFERROR(IF(AND(INDEX('Facility Master'!X:X,MATCH(UBI_RTL1_SNo,'Facility Master'!A:A,0))&lt;=B15,INDEX('Facility Master'!X:X,MATCH(UBI_RTL1_SNo,'Facility Master'!A:A,0))&gt;B14),INDEX('Facility Master'!K:K,MATCH(UBI_RTL1_SNo,'Facility Master'!A:A,0)),0),0)</f>
        <v>0</v>
      </c>
      <c r="F15" s="500" t="n">
        <f aca="false">IFERROR(IF(B15&lt;UBI_RTL1_RepStart,0,IF(B15&gt;UBI_RTL1_Maturity,0,IF(COUNTIFS($B$5:$B15,"&gt;="&amp;UBI_RTL1_RepStart,$B$5:$B15,"&lt;="&amp;UBI_RTL1_Maturity)&lt;=8,INDEX('Facility Master'!K:K,MATCH(UBI_RTL1_SNo,'Facility Master'!A:A,0))*0.0125,IF(COUNTIFS($B$5:$B15,"&gt;="&amp;UBI_RTL1_RepStart,$B$5:$B15,"&lt;="&amp;UBI_RTL1_Maturity)&lt;=48,INDEX('Facility Master'!K:K,MATCH(UBI_RTL1_SNo,'Facility Master'!A:A,0))*0.0225,0)))),0)</f>
        <v>0</v>
      </c>
      <c r="G15" s="500" t="n">
        <f aca="false">IFERROR((D15+(E15-F15)/2)*INDEX('Facility Master'!R:R,MATCH(UBI_RTL1_SNo,'Facility Master'!A:A,0))*(B15-B14)/DaysInYear,0)</f>
        <v>26.6547945205479</v>
      </c>
      <c r="H15" s="500" t="n">
        <f aca="false">IFERROR(ROUND(MAX(D15+E15-F15,0),6),0)</f>
        <v>1125</v>
      </c>
      <c r="I15" s="500" t="n">
        <f aca="false">IFERROR(MAX(M14,0),0)</f>
        <v>236</v>
      </c>
      <c r="J15" s="500" t="n">
        <f aca="false">IFERROR(IF(AND(INDEX('Facility Master'!X:X,MATCH(UBI_RTL2_SNo,'Facility Master'!A:A,0))&lt;=B15,INDEX('Facility Master'!X:X,MATCH(UBI_RTL2_SNo,'Facility Master'!A:A,0))&gt;B14),INDEX('Facility Master'!K:K,MATCH(UBI_RTL2_SNo,'Facility Master'!A:A,0)),0),0)</f>
        <v>0</v>
      </c>
      <c r="K15" s="500" t="n">
        <f aca="false">IFERROR(IF(B15&lt;UBI_RTL2_RepStart,0,IF(B15&gt;UBI_RTL2_Maturity,0,IF(COUNTIFS($B$5:$B15,"&gt;="&amp;UBI_RTL2_RepStart,$B$5:$B15,"&lt;="&amp;UBI_RTL2_Maturity)&lt;=8,INDEX('Facility Master'!K:K,MATCH(UBI_RTL2_SNo,'Facility Master'!A:A,0))*0.0125,IF(COUNTIFS($B$5:$B15,"&gt;="&amp;UBI_RTL2_RepStart,$B$5:$B15,"&lt;="&amp;UBI_RTL2_Maturity)&lt;=48,INDEX('Facility Master'!K:K,MATCH(UBI_RTL2_SNo,'Facility Master'!A:A,0))*0.0225,0)))),0)</f>
        <v>0</v>
      </c>
      <c r="L15" s="500" t="n">
        <f aca="false">IFERROR((I15+(J15-K15)/2)*INDEX('Facility Master'!R:R,MATCH(UBI_RTL2_SNo,'Facility Master'!A:A,0))*(B15-B14)/DaysInYear,0)</f>
        <v>5.41312876712329</v>
      </c>
      <c r="M15" s="500" t="n">
        <f aca="false">IFERROR(ROUND(MAX(I15+J15-K15,0),6),0)</f>
        <v>236</v>
      </c>
      <c r="N15" s="500" t="n">
        <f aca="false">IFERROR(MAX(R14,0),0)</f>
        <v>235</v>
      </c>
      <c r="O15" s="500" t="n">
        <f aca="false">IFERROR(IF(AND(INDEX('Facility Master'!X:X,MATCH(IB_TL_SNo,'Facility Master'!A:A,0))&lt;=B15,INDEX('Facility Master'!X:X,MATCH(IB_TL_SNo,'Facility Master'!A:A,0))&gt;B14),INDEX('Facility Master'!K:K,MATCH(IB_TL_SNo,'Facility Master'!A:A,0)),0),0)</f>
        <v>0</v>
      </c>
      <c r="P15" s="500" t="n">
        <f aca="false">IFERROR(IF(B15&lt;IB_TL_RepStart,0,IF(B15&gt;IB_TL_Maturity,0,IF(COUNTIFS($B$5:$B15,"&gt;="&amp;IB_TL_RepStart,$B$5:$B15,"&lt;="&amp;IB_TL_Maturity)&lt;=8,INDEX('Facility Master'!K:K,MATCH(IB_TL_SNo,'Facility Master'!A:A,0))*0.0125,IF(COUNTIFS($B$5:$B15,"&gt;="&amp;IB_TL_RepStart,$B$5:$B15,"&lt;="&amp;IB_TL_Maturity)&lt;=48,INDEX('Facility Master'!K:K,MATCH(IB_TL_SNo,'Facility Master'!A:A,0))*0.0225,0)))),0)</f>
        <v>0</v>
      </c>
      <c r="Q15" s="500" t="n">
        <f aca="false">IFERROR((N15+(O15-P15)/2)*INDEX('Facility Master'!R:R,MATCH(IB_TL_SNo,'Facility Master'!A:A,0))*(B15-B14)/DaysInYear,0)</f>
        <v>5.5678904109589</v>
      </c>
      <c r="R15" s="500" t="n">
        <f aca="false">IFERROR(ROUND(MAX(N15+O15-P15,0),6),0)</f>
        <v>235</v>
      </c>
      <c r="S15" s="697" t="n">
        <f aca="false">IFERROR(MAX(W14,0),0)</f>
        <v>0</v>
      </c>
      <c r="T15" s="697" t="n">
        <f aca="false">IFERROR(IF(AND(INDEX('Facility Master'!X:X,MATCH(RBL_TL_SNo,'Facility Master'!A:A,0))&lt;=B15,INDEX('Facility Master'!X:X,MATCH(RBL_TL_SNo,'Facility Master'!A:A,0))&gt;B14),INDEX('Facility Master'!K:K,MATCH(RBL_TL_SNo,'Facility Master'!A:A,0)),0),0)</f>
        <v>200</v>
      </c>
      <c r="U15" s="697" t="n">
        <f aca="false">IFERROR(IF(AND(RBL_TL_Maturity&lt;=B15,RBL_TL_Maturity&gt;B14),INDEX('Facility Master'!K:K,MATCH(RBL_TL_SNo,'Facility Master'!A:A,0)),0),0)</f>
        <v>0</v>
      </c>
      <c r="V15" s="697" t="n">
        <f aca="false">IFERROR((S15+(T15-U15)/2)*INDEX('Facility Master'!R:R,MATCH(RBL_TL_SNo,'Facility Master'!A:A,0))*(B15-B14)/DaysInYear,0)</f>
        <v>2.39452054794521</v>
      </c>
      <c r="W15" s="697" t="n">
        <f aca="false">IFERROR(ROUND(MAX(S15+T15-U15,0),6),0)</f>
        <v>200</v>
      </c>
      <c r="X15" s="500" t="n">
        <f aca="false">IFERROR(MAX(AB14,0),0)</f>
        <v>0</v>
      </c>
      <c r="Y15" s="500" t="n">
        <f aca="false">IFERROR(IF(AND(INDEX('Facility Master'!X:X,MATCH(YBL_TL_SNo,'Facility Master'!A:A,0))&lt;=B15,INDEX('Facility Master'!X:X,MATCH(YBL_TL_SNo,'Facility Master'!A:A,0))&gt;B14),INDEX('Facility Master'!K:K,MATCH(YBL_TL_SNo,'Facility Master'!A:A,0)),0),0)</f>
        <v>650</v>
      </c>
      <c r="Z15" s="500" t="n">
        <f aca="false">IFERROR(IF(B15&lt;YBL_TL_RepStart,0,IF(B15&gt;YBL_TL_Maturity,0,IF(COUNTIFS($B$5:$B15,"&gt;="&amp;YBL_TL_RepStart,$B$5:$B15,"&lt;="&amp;YBL_TL_Maturity)&lt;=8,INDEX('Facility Master'!K:K,MATCH(YBL_TL_SNo,'Facility Master'!A:A,0))*0.0125,IF(COUNTIFS($B$5:$B15,"&gt;="&amp;YBL_TL_RepStart,$B$5:$B15,"&lt;="&amp;YBL_TL_Maturity)&lt;=48,INDEX('Facility Master'!K:K,MATCH(YBL_TL_SNo,'Facility Master'!A:A,0))*0.0225,0)))),0)</f>
        <v>0</v>
      </c>
      <c r="AA15" s="500" t="n">
        <f aca="false">IFERROR((X15+(Y15-Z15)/2)*INDEX('Facility Master'!R:R,MATCH(YBL_TL_SNo,'Facility Master'!A:A,0))*(B15-B14)/DaysInYear,0)</f>
        <v>7.82315068493151</v>
      </c>
      <c r="AB15" s="500" t="n">
        <f aca="false">IFERROR(ROUND(MAX(X15+Y15-Z15,0),6),0)</f>
        <v>650</v>
      </c>
      <c r="AC15" s="500" t="n">
        <f aca="false">IFERROR(MAX(AG14,0),0)</f>
        <v>0</v>
      </c>
      <c r="AD15" s="500" t="n">
        <f aca="false">IFERROR(IF(AND(INDEX('Facility Master'!X:X,MATCH(IDFC_TL_SNo,'Facility Master'!A:A,0))&lt;=B15,INDEX('Facility Master'!X:X,MATCH(IDFC_TL_SNo,'Facility Master'!A:A,0))&gt;B14),INDEX('Facility Master'!K:K,MATCH(IDFC_TL_SNo,'Facility Master'!A:A,0)),0),0)</f>
        <v>0</v>
      </c>
      <c r="AE15" s="500" t="n">
        <f aca="false">IFERROR(IF(B15&lt;IDFC_TL_RepStart,0,IF(B15&gt;IDFC_TL_Maturity,0,IF(COUNTIFS($B$5:$B15,"&gt;="&amp;IDFC_TL_RepStart,$B$5:$B15,"&lt;="&amp;IDFC_TL_Maturity)&lt;=8,INDEX('Facility Master'!K:K,MATCH(IDFC_TL_SNo,'Facility Master'!A:A,0))*0.0125,IF(COUNTIFS($B$5:$B15,"&gt;="&amp;IDFC_TL_RepStart,$B$5:$B15,"&lt;="&amp;IDFC_TL_Maturity)&lt;=48,INDEX('Facility Master'!K:K,MATCH(IDFC_TL_SNo,'Facility Master'!A:A,0))*0.0225,0)))),0)</f>
        <v>0</v>
      </c>
      <c r="AF15" s="500" t="n">
        <f aca="false">IFERROR((AC15+(AD15-AE15)/2)*INDEX('Facility Master'!R:R,MATCH(IDFC_TL_SNo,'Facility Master'!A:A,0))*(B15-B14)/DaysInYear,0)</f>
        <v>0</v>
      </c>
      <c r="AG15" s="500" t="n">
        <f aca="false">IFERROR(ROUND(MAX(AC15+AD15-AE15,0),6),0)</f>
        <v>0</v>
      </c>
      <c r="AH15" s="698" t="n">
        <f aca="false">IFERROR(MAX(AL14,0),0)</f>
        <v>0</v>
      </c>
      <c r="AI15" s="698" t="n">
        <f aca="false">IFERROR(IF(AND(INDEX('Facility Master'!X:X,MATCH(ICICI_TL_SNo,'Facility Master'!A:A,0))&lt;=B15,INDEX('Facility Master'!X:X,MATCH(ICICI_TL_SNo,'Facility Master'!A:A,0))&gt;B14),INDEX('Facility Master'!K:K,MATCH(ICICI_TL_SNo,'Facility Master'!A:A,0)),0),0)</f>
        <v>0</v>
      </c>
      <c r="AJ15" s="698" t="n">
        <f aca="false">IFERROR(IF(B15&lt;ICICI_TL_RepStart,0,IF(B15&gt;ICICI_TL_Maturity,0,IF(COUNTIFS($B$5:$B15,"&gt;="&amp;ICICI_TL_RepStart,$B$5:$B15,"&lt;="&amp;ICICI_TL_Maturity)&lt;=8,INDEX('Facility Master'!K:K,MATCH(ICICI_TL_SNo,'Facility Master'!A:A,0))*0.0125,IF(COUNTIFS($B$5:$B15,"&gt;="&amp;ICICI_TL_RepStart,$B$5:$B15,"&lt;="&amp;ICICI_TL_Maturity)&lt;=48,INDEX('Facility Master'!K:K,MATCH(ICICI_TL_SNo,'Facility Master'!A:A,0))*0.0225,0)))),0)</f>
        <v>0</v>
      </c>
      <c r="AK15" s="698" t="n">
        <f aca="false">IFERROR((AH15+(AI15-AJ15)/2)*INDEX('Facility Master'!R:R,MATCH(ICICI_TL_SNo,'Facility Master'!A:A,0))*(B15-B14)/DaysInYear,0)</f>
        <v>0</v>
      </c>
      <c r="AL15" s="698" t="n">
        <f aca="false">IFERROR(ROUND(MAX(AH15+AI15-AJ15,0),6),0)</f>
        <v>0</v>
      </c>
      <c r="AM15" s="500" t="n">
        <f aca="false">F15+K15+P15+Z15+AE15+AJ15</f>
        <v>0</v>
      </c>
      <c r="AN15" s="500" t="n">
        <f aca="false">G15+L15+Q15+AA15+AF15+AK15</f>
        <v>45.4589643835616</v>
      </c>
      <c r="AO15" s="500" t="n">
        <f aca="false">AM15+AN15</f>
        <v>45.4589643835616</v>
      </c>
      <c r="AP15" s="500" t="n">
        <f aca="false">H15+M15+R15+AB15+AG15+AL15</f>
        <v>2246</v>
      </c>
    </row>
    <row r="16" customFormat="false" ht="15.75" hidden="false" customHeight="true" outlineLevel="0" collapsed="false">
      <c r="A16" s="699" t="n">
        <v>12</v>
      </c>
      <c r="B16" s="700" t="n">
        <v>46112</v>
      </c>
      <c r="C16" s="699" t="s">
        <v>676</v>
      </c>
      <c r="D16" s="701" t="n">
        <f aca="false">IFERROR(MAX(H15,0),0)</f>
        <v>1125</v>
      </c>
      <c r="E16" s="701" t="n">
        <f aca="false">IFERROR(IF(AND(INDEX('Facility Master'!X:X,MATCH(UBI_RTL1_SNo,'Facility Master'!A:A,0))&lt;=B16,INDEX('Facility Master'!X:X,MATCH(UBI_RTL1_SNo,'Facility Master'!A:A,0))&gt;B15),INDEX('Facility Master'!K:K,MATCH(UBI_RTL1_SNo,'Facility Master'!A:A,0)),0),0)</f>
        <v>0</v>
      </c>
      <c r="F16" s="701" t="n">
        <f aca="false">IFERROR(IF(B16&lt;UBI_RTL1_RepStart,0,IF(B16&gt;UBI_RTL1_Maturity,0,IF(COUNTIFS($B$5:$B16,"&gt;="&amp;UBI_RTL1_RepStart,$B$5:$B16,"&lt;="&amp;UBI_RTL1_Maturity)&lt;=8,INDEX('Facility Master'!K:K,MATCH(UBI_RTL1_SNo,'Facility Master'!A:A,0))*0.0125,IF(COUNTIFS($B$5:$B16,"&gt;="&amp;UBI_RTL1_RepStart,$B$5:$B16,"&lt;="&amp;UBI_RTL1_Maturity)&lt;=48,INDEX('Facility Master'!K:K,MATCH(UBI_RTL1_SNo,'Facility Master'!A:A,0))*0.0225,0)))),0)</f>
        <v>0</v>
      </c>
      <c r="G16" s="701" t="n">
        <f aca="false">IFERROR((D16+(E16-F16)/2)*INDEX('Facility Master'!R:R,MATCH(UBI_RTL1_SNo,'Facility Master'!A:A,0))*(B16-B15)/DaysInYear,0)</f>
        <v>26.0753424657534</v>
      </c>
      <c r="H16" s="701" t="n">
        <f aca="false">IFERROR(ROUND(MAX(D16+E16-F16,0),6),0)</f>
        <v>1125</v>
      </c>
      <c r="I16" s="701" t="n">
        <f aca="false">IFERROR(MAX(M15,0),0)</f>
        <v>236</v>
      </c>
      <c r="J16" s="701" t="n">
        <f aca="false">IFERROR(IF(AND(INDEX('Facility Master'!X:X,MATCH(UBI_RTL2_SNo,'Facility Master'!A:A,0))&lt;=B16,INDEX('Facility Master'!X:X,MATCH(UBI_RTL2_SNo,'Facility Master'!A:A,0))&gt;B15),INDEX('Facility Master'!K:K,MATCH(UBI_RTL2_SNo,'Facility Master'!A:A,0)),0),0)</f>
        <v>0</v>
      </c>
      <c r="K16" s="701" t="n">
        <f aca="false">IFERROR(IF(B16&lt;UBI_RTL2_RepStart,0,IF(B16&gt;UBI_RTL2_Maturity,0,IF(COUNTIFS($B$5:$B16,"&gt;="&amp;UBI_RTL2_RepStart,$B$5:$B16,"&lt;="&amp;UBI_RTL2_Maturity)&lt;=8,INDEX('Facility Master'!K:K,MATCH(UBI_RTL2_SNo,'Facility Master'!A:A,0))*0.0125,IF(COUNTIFS($B$5:$B16,"&gt;="&amp;UBI_RTL2_RepStart,$B$5:$B16,"&lt;="&amp;UBI_RTL2_Maturity)&lt;=48,INDEX('Facility Master'!K:K,MATCH(UBI_RTL2_SNo,'Facility Master'!A:A,0))*0.0225,0)))),0)</f>
        <v>0</v>
      </c>
      <c r="L16" s="701" t="n">
        <f aca="false">IFERROR((I16+(J16-K16)/2)*INDEX('Facility Master'!R:R,MATCH(UBI_RTL2_SNo,'Facility Master'!A:A,0))*(B16-B15)/DaysInYear,0)</f>
        <v>5.29545205479452</v>
      </c>
      <c r="M16" s="701" t="n">
        <f aca="false">IFERROR(ROUND(MAX(I16+J16-K16,0),6),0)</f>
        <v>236</v>
      </c>
      <c r="N16" s="701" t="n">
        <f aca="false">IFERROR(MAX(R15,0),0)</f>
        <v>235</v>
      </c>
      <c r="O16" s="701" t="n">
        <f aca="false">IFERROR(IF(AND(INDEX('Facility Master'!X:X,MATCH(IB_TL_SNo,'Facility Master'!A:A,0))&lt;=B16,INDEX('Facility Master'!X:X,MATCH(IB_TL_SNo,'Facility Master'!A:A,0))&gt;B15),INDEX('Facility Master'!K:K,MATCH(IB_TL_SNo,'Facility Master'!A:A,0)),0),0)</f>
        <v>0</v>
      </c>
      <c r="P16" s="701" t="n">
        <f aca="false">IFERROR(IF(B16&lt;IB_TL_RepStart,0,IF(B16&gt;IB_TL_Maturity,0,IF(COUNTIFS($B$5:$B16,"&gt;="&amp;IB_TL_RepStart,$B$5:$B16,"&lt;="&amp;IB_TL_Maturity)&lt;=8,INDEX('Facility Master'!K:K,MATCH(IB_TL_SNo,'Facility Master'!A:A,0))*0.0125,IF(COUNTIFS($B$5:$B16,"&gt;="&amp;IB_TL_RepStart,$B$5:$B16,"&lt;="&amp;IB_TL_Maturity)&lt;=48,INDEX('Facility Master'!K:K,MATCH(IB_TL_SNo,'Facility Master'!A:A,0))*0.0225,0)))),0)</f>
        <v>0</v>
      </c>
      <c r="Q16" s="701" t="n">
        <f aca="false">IFERROR((N16+(O16-P16)/2)*INDEX('Facility Master'!R:R,MATCH(IB_TL_SNo,'Facility Master'!A:A,0))*(B16-B15)/DaysInYear,0)</f>
        <v>5.44684931506849</v>
      </c>
      <c r="R16" s="701" t="n">
        <f aca="false">IFERROR(ROUND(MAX(N16+O16-P16,0),6),0)</f>
        <v>235</v>
      </c>
      <c r="S16" s="702" t="n">
        <f aca="false">IFERROR(MAX(W15,0),0)</f>
        <v>200</v>
      </c>
      <c r="T16" s="702" t="n">
        <f aca="false">IFERROR(IF(AND(INDEX('Facility Master'!X:X,MATCH(RBL_TL_SNo,'Facility Master'!A:A,0))&lt;=B16,INDEX('Facility Master'!X:X,MATCH(RBL_TL_SNo,'Facility Master'!A:A,0))&gt;B15),INDEX('Facility Master'!K:K,MATCH(RBL_TL_SNo,'Facility Master'!A:A,0)),0),0)</f>
        <v>0</v>
      </c>
      <c r="U16" s="702" t="n">
        <f aca="false">IFERROR(IF(AND(RBL_TL_Maturity&lt;=B16,RBL_TL_Maturity&gt;B15),INDEX('Facility Master'!K:K,MATCH(RBL_TL_SNo,'Facility Master'!A:A,0)),0),0)</f>
        <v>0</v>
      </c>
      <c r="V16" s="702" t="n">
        <f aca="false">IFERROR((S16+(T16-U16)/2)*INDEX('Facility Master'!R:R,MATCH(RBL_TL_SNo,'Facility Master'!A:A,0))*(B16-B15)/DaysInYear,0)</f>
        <v>4.68493150684932</v>
      </c>
      <c r="W16" s="702" t="n">
        <f aca="false">IFERROR(ROUND(MAX(S16+T16-U16,0),6),0)</f>
        <v>200</v>
      </c>
      <c r="X16" s="701" t="n">
        <f aca="false">IFERROR(MAX(AB15,0),0)</f>
        <v>650</v>
      </c>
      <c r="Y16" s="701" t="n">
        <f aca="false">IFERROR(IF(AND(INDEX('Facility Master'!X:X,MATCH(YBL_TL_SNo,'Facility Master'!A:A,0))&lt;=B16,INDEX('Facility Master'!X:X,MATCH(YBL_TL_SNo,'Facility Master'!A:A,0))&gt;B15),INDEX('Facility Master'!K:K,MATCH(YBL_TL_SNo,'Facility Master'!A:A,0)),0),0)</f>
        <v>0</v>
      </c>
      <c r="Z16" s="701" t="n">
        <f aca="false">IFERROR(IF(B16&lt;YBL_TL_RepStart,0,IF(B16&gt;YBL_TL_Maturity,0,IF(COUNTIFS($B$5:$B16,"&gt;="&amp;YBL_TL_RepStart,$B$5:$B16,"&lt;="&amp;YBL_TL_Maturity)&lt;=8,INDEX('Facility Master'!K:K,MATCH(YBL_TL_SNo,'Facility Master'!A:A,0))*0.0125,IF(COUNTIFS($B$5:$B16,"&gt;="&amp;YBL_TL_RepStart,$B$5:$B16,"&lt;="&amp;YBL_TL_Maturity)&lt;=48,INDEX('Facility Master'!K:K,MATCH(YBL_TL_SNo,'Facility Master'!A:A,0))*0.0225,0)))),0)</f>
        <v>0</v>
      </c>
      <c r="AA16" s="701" t="n">
        <f aca="false">IFERROR((X16+(Y16-Z16)/2)*INDEX('Facility Master'!R:R,MATCH(YBL_TL_SNo,'Facility Master'!A:A,0))*(B16-B15)/DaysInYear,0)</f>
        <v>15.3061643835616</v>
      </c>
      <c r="AB16" s="701" t="n">
        <f aca="false">IFERROR(ROUND(MAX(X16+Y16-Z16,0),6),0)</f>
        <v>650</v>
      </c>
      <c r="AC16" s="701" t="n">
        <f aca="false">IFERROR(MAX(AG15,0),0)</f>
        <v>0</v>
      </c>
      <c r="AD16" s="701" t="n">
        <f aca="false">IFERROR(IF(AND(INDEX('Facility Master'!X:X,MATCH(IDFC_TL_SNo,'Facility Master'!A:A,0))&lt;=B16,INDEX('Facility Master'!X:X,MATCH(IDFC_TL_SNo,'Facility Master'!A:A,0))&gt;B15),INDEX('Facility Master'!K:K,MATCH(IDFC_TL_SNo,'Facility Master'!A:A,0)),0),0)</f>
        <v>530</v>
      </c>
      <c r="AE16" s="701" t="n">
        <f aca="false">IFERROR(IF(B16&lt;IDFC_TL_RepStart,0,IF(B16&gt;IDFC_TL_Maturity,0,IF(COUNTIFS($B$5:$B16,"&gt;="&amp;IDFC_TL_RepStart,$B$5:$B16,"&lt;="&amp;IDFC_TL_Maturity)&lt;=8,INDEX('Facility Master'!K:K,MATCH(IDFC_TL_SNo,'Facility Master'!A:A,0))*0.0125,IF(COUNTIFS($B$5:$B16,"&gt;="&amp;IDFC_TL_RepStart,$B$5:$B16,"&lt;="&amp;IDFC_TL_Maturity)&lt;=48,INDEX('Facility Master'!K:K,MATCH(IDFC_TL_SNo,'Facility Master'!A:A,0))*0.0225,0)))),0)</f>
        <v>0</v>
      </c>
      <c r="AF16" s="701" t="n">
        <f aca="false">IFERROR((AC16+(AD16-AE16)/2)*INDEX('Facility Master'!R:R,MATCH(IDFC_TL_SNo,'Facility Master'!A:A,0))*(B16-B15)/DaysInYear,0)</f>
        <v>5.75013698630137</v>
      </c>
      <c r="AG16" s="701" t="n">
        <f aca="false">IFERROR(ROUND(MAX(AC16+AD16-AE16,0),6),0)</f>
        <v>530</v>
      </c>
      <c r="AH16" s="703" t="n">
        <f aca="false">IFERROR(MAX(AL15,0),0)</f>
        <v>0</v>
      </c>
      <c r="AI16" s="703" t="n">
        <f aca="false">IFERROR(IF(AND(INDEX('Facility Master'!X:X,MATCH(ICICI_TL_SNo,'Facility Master'!A:A,0))&lt;=B16,INDEX('Facility Master'!X:X,MATCH(ICICI_TL_SNo,'Facility Master'!A:A,0))&gt;B15),INDEX('Facility Master'!K:K,MATCH(ICICI_TL_SNo,'Facility Master'!A:A,0)),0),0)</f>
        <v>840</v>
      </c>
      <c r="AJ16" s="703" t="n">
        <f aca="false">IFERROR(IF(B16&lt;ICICI_TL_RepStart,0,IF(B16&gt;ICICI_TL_Maturity,0,IF(COUNTIFS($B$5:$B16,"&gt;="&amp;ICICI_TL_RepStart,$B$5:$B16,"&lt;="&amp;ICICI_TL_Maturity)&lt;=8,INDEX('Facility Master'!K:K,MATCH(ICICI_TL_SNo,'Facility Master'!A:A,0))*0.0125,IF(COUNTIFS($B$5:$B16,"&gt;="&amp;ICICI_TL_RepStart,$B$5:$B16,"&lt;="&amp;ICICI_TL_Maturity)&lt;=48,INDEX('Facility Master'!K:K,MATCH(ICICI_TL_SNo,'Facility Master'!A:A,0))*0.0225,0)))),0)</f>
        <v>0</v>
      </c>
      <c r="AK16" s="703" t="n">
        <f aca="false">IFERROR((AH16+(AI16-AJ16)/2)*INDEX('Facility Master'!R:R,MATCH(ICICI_TL_SNo,'Facility Master'!A:A,0))*(B16-B15)/DaysInYear,0)</f>
        <v>9.00986301369863</v>
      </c>
      <c r="AL16" s="703" t="n">
        <f aca="false">IFERROR(ROUND(MAX(AH16+AI16-AJ16,0),6),0)</f>
        <v>840</v>
      </c>
      <c r="AM16" s="701" t="n">
        <f aca="false">F16+K16+P16+Z16+AE16+AJ16</f>
        <v>0</v>
      </c>
      <c r="AN16" s="701" t="n">
        <f aca="false">G16+L16+Q16+AA16+AF16+AK16</f>
        <v>66.8838082191781</v>
      </c>
      <c r="AO16" s="701" t="n">
        <f aca="false">AM16+AN16</f>
        <v>66.8838082191781</v>
      </c>
      <c r="AP16" s="701" t="n">
        <f aca="false">H16+M16+R16+AB16+AG16+AL16</f>
        <v>3616</v>
      </c>
    </row>
    <row r="17" customFormat="false" ht="15.75" hidden="false" customHeight="true" outlineLevel="0" collapsed="false">
      <c r="A17" s="496" t="n">
        <v>13</v>
      </c>
      <c r="B17" s="696" t="n">
        <v>46203</v>
      </c>
      <c r="C17" s="496" t="s">
        <v>677</v>
      </c>
      <c r="D17" s="500" t="n">
        <f aca="false">IFERROR(MAX(H16,0),0)</f>
        <v>1125</v>
      </c>
      <c r="E17" s="500" t="n">
        <f aca="false">IFERROR(IF(AND(INDEX('Facility Master'!X:X,MATCH(UBI_RTL1_SNo,'Facility Master'!A:A,0))&lt;=B17,INDEX('Facility Master'!X:X,MATCH(UBI_RTL1_SNo,'Facility Master'!A:A,0))&gt;B16),INDEX('Facility Master'!K:K,MATCH(UBI_RTL1_SNo,'Facility Master'!A:A,0)),0),0)</f>
        <v>0</v>
      </c>
      <c r="F17" s="500" t="n">
        <f aca="false">IFERROR(IF(B17&lt;UBI_RTL1_RepStart,0,IF(B17&gt;UBI_RTL1_Maturity,0,IF(COUNTIFS($B$5:$B17,"&gt;="&amp;UBI_RTL1_RepStart,$B$5:$B17,"&lt;="&amp;UBI_RTL1_Maturity)&lt;=8,INDEX('Facility Master'!K:K,MATCH(UBI_RTL1_SNo,'Facility Master'!A:A,0))*0.0125,IF(COUNTIFS($B$5:$B17,"&gt;="&amp;UBI_RTL1_RepStart,$B$5:$B17,"&lt;="&amp;UBI_RTL1_Maturity)&lt;=48,INDEX('Facility Master'!K:K,MATCH(UBI_RTL1_SNo,'Facility Master'!A:A,0))*0.0225,0)))),0)</f>
        <v>0</v>
      </c>
      <c r="G17" s="500" t="n">
        <f aca="false">IFERROR((D17+(E17-F17)/2)*INDEX('Facility Master'!R:R,MATCH(UBI_RTL1_SNo,'Facility Master'!A:A,0))*(B17-B16)/DaysInYear,0)</f>
        <v>26.3650684931507</v>
      </c>
      <c r="H17" s="500" t="n">
        <f aca="false">IFERROR(ROUND(MAX(D17+E17-F17,0),6),0)</f>
        <v>1125</v>
      </c>
      <c r="I17" s="500" t="n">
        <f aca="false">IFERROR(MAX(M16,0),0)</f>
        <v>236</v>
      </c>
      <c r="J17" s="500" t="n">
        <f aca="false">IFERROR(IF(AND(INDEX('Facility Master'!X:X,MATCH(UBI_RTL2_SNo,'Facility Master'!A:A,0))&lt;=B17,INDEX('Facility Master'!X:X,MATCH(UBI_RTL2_SNo,'Facility Master'!A:A,0))&gt;B16),INDEX('Facility Master'!K:K,MATCH(UBI_RTL2_SNo,'Facility Master'!A:A,0)),0),0)</f>
        <v>0</v>
      </c>
      <c r="K17" s="500" t="n">
        <f aca="false">IFERROR(IF(B17&lt;UBI_RTL2_RepStart,0,IF(B17&gt;UBI_RTL2_Maturity,0,IF(COUNTIFS($B$5:$B17,"&gt;="&amp;UBI_RTL2_RepStart,$B$5:$B17,"&lt;="&amp;UBI_RTL2_Maturity)&lt;=8,INDEX('Facility Master'!K:K,MATCH(UBI_RTL2_SNo,'Facility Master'!A:A,0))*0.0125,IF(COUNTIFS($B$5:$B17,"&gt;="&amp;UBI_RTL2_RepStart,$B$5:$B17,"&lt;="&amp;UBI_RTL2_Maturity)&lt;=48,INDEX('Facility Master'!K:K,MATCH(UBI_RTL2_SNo,'Facility Master'!A:A,0))*0.0225,0)))),0)</f>
        <v>0</v>
      </c>
      <c r="L17" s="500" t="n">
        <f aca="false">IFERROR((I17+(J17-K17)/2)*INDEX('Facility Master'!R:R,MATCH(UBI_RTL2_SNo,'Facility Master'!A:A,0))*(B17-B16)/DaysInYear,0)</f>
        <v>5.3542904109589</v>
      </c>
      <c r="M17" s="500" t="n">
        <f aca="false">IFERROR(ROUND(MAX(I17+J17-K17,0),6),0)</f>
        <v>236</v>
      </c>
      <c r="N17" s="500" t="n">
        <f aca="false">IFERROR(MAX(R16,0),0)</f>
        <v>235</v>
      </c>
      <c r="O17" s="500" t="n">
        <f aca="false">IFERROR(IF(AND(INDEX('Facility Master'!X:X,MATCH(IB_TL_SNo,'Facility Master'!A:A,0))&lt;=B17,INDEX('Facility Master'!X:X,MATCH(IB_TL_SNo,'Facility Master'!A:A,0))&gt;B16),INDEX('Facility Master'!K:K,MATCH(IB_TL_SNo,'Facility Master'!A:A,0)),0),0)</f>
        <v>0</v>
      </c>
      <c r="P17" s="500" t="n">
        <f aca="false">IFERROR(IF(B17&lt;IB_TL_RepStart,0,IF(B17&gt;IB_TL_Maturity,0,IF(COUNTIFS($B$5:$B17,"&gt;="&amp;IB_TL_RepStart,$B$5:$B17,"&lt;="&amp;IB_TL_Maturity)&lt;=8,INDEX('Facility Master'!K:K,MATCH(IB_TL_SNo,'Facility Master'!A:A,0))*0.0125,IF(COUNTIFS($B$5:$B17,"&gt;="&amp;IB_TL_RepStart,$B$5:$B17,"&lt;="&amp;IB_TL_Maturity)&lt;=48,INDEX('Facility Master'!K:K,MATCH(IB_TL_SNo,'Facility Master'!A:A,0))*0.0225,0)))),0)</f>
        <v>0</v>
      </c>
      <c r="Q17" s="500" t="n">
        <f aca="false">IFERROR((N17+(O17-P17)/2)*INDEX('Facility Master'!R:R,MATCH(IB_TL_SNo,'Facility Master'!A:A,0))*(B17-B16)/DaysInYear,0)</f>
        <v>5.5073698630137</v>
      </c>
      <c r="R17" s="500" t="n">
        <f aca="false">IFERROR(ROUND(MAX(N17+O17-P17,0),6),0)</f>
        <v>235</v>
      </c>
      <c r="S17" s="697" t="n">
        <f aca="false">IFERROR(MAX(W16,0),0)</f>
        <v>200</v>
      </c>
      <c r="T17" s="697" t="n">
        <f aca="false">IFERROR(IF(AND(INDEX('Facility Master'!X:X,MATCH(RBL_TL_SNo,'Facility Master'!A:A,0))&lt;=B17,INDEX('Facility Master'!X:X,MATCH(RBL_TL_SNo,'Facility Master'!A:A,0))&gt;B16),INDEX('Facility Master'!K:K,MATCH(RBL_TL_SNo,'Facility Master'!A:A,0)),0),0)</f>
        <v>0</v>
      </c>
      <c r="U17" s="697" t="n">
        <f aca="false">IFERROR(IF(AND(RBL_TL_Maturity&lt;=B17,RBL_TL_Maturity&gt;B16),INDEX('Facility Master'!K:K,MATCH(RBL_TL_SNo,'Facility Master'!A:A,0)),0),0)</f>
        <v>0</v>
      </c>
      <c r="V17" s="697" t="n">
        <f aca="false">IFERROR((S17+(T17-U17)/2)*INDEX('Facility Master'!R:R,MATCH(RBL_TL_SNo,'Facility Master'!A:A,0))*(B17-B16)/DaysInYear,0)</f>
        <v>4.73698630136986</v>
      </c>
      <c r="W17" s="697" t="n">
        <f aca="false">IFERROR(ROUND(MAX(S17+T17-U17,0),6),0)</f>
        <v>200</v>
      </c>
      <c r="X17" s="500" t="n">
        <f aca="false">IFERROR(MAX(AB16,0),0)</f>
        <v>650</v>
      </c>
      <c r="Y17" s="500" t="n">
        <f aca="false">IFERROR(IF(AND(INDEX('Facility Master'!X:X,MATCH(YBL_TL_SNo,'Facility Master'!A:A,0))&lt;=B17,INDEX('Facility Master'!X:X,MATCH(YBL_TL_SNo,'Facility Master'!A:A,0))&gt;B16),INDEX('Facility Master'!K:K,MATCH(YBL_TL_SNo,'Facility Master'!A:A,0)),0),0)</f>
        <v>0</v>
      </c>
      <c r="Z17" s="500" t="n">
        <f aca="false">IFERROR(IF(B17&lt;YBL_TL_RepStart,0,IF(B17&gt;YBL_TL_Maturity,0,IF(COUNTIFS($B$5:$B17,"&gt;="&amp;YBL_TL_RepStart,$B$5:$B17,"&lt;="&amp;YBL_TL_Maturity)&lt;=8,INDEX('Facility Master'!K:K,MATCH(YBL_TL_SNo,'Facility Master'!A:A,0))*0.0125,IF(COUNTIFS($B$5:$B17,"&gt;="&amp;YBL_TL_RepStart,$B$5:$B17,"&lt;="&amp;YBL_TL_Maturity)&lt;=48,INDEX('Facility Master'!K:K,MATCH(YBL_TL_SNo,'Facility Master'!A:A,0))*0.0225,0)))),0)</f>
        <v>0</v>
      </c>
      <c r="AA17" s="500" t="n">
        <f aca="false">IFERROR((X17+(Y17-Z17)/2)*INDEX('Facility Master'!R:R,MATCH(YBL_TL_SNo,'Facility Master'!A:A,0))*(B17-B16)/DaysInYear,0)</f>
        <v>15.4762328767123</v>
      </c>
      <c r="AB17" s="500" t="n">
        <f aca="false">IFERROR(ROUND(MAX(X17+Y17-Z17,0),6),0)</f>
        <v>650</v>
      </c>
      <c r="AC17" s="500" t="n">
        <f aca="false">IFERROR(MAX(AG16,0),0)</f>
        <v>530</v>
      </c>
      <c r="AD17" s="500" t="n">
        <f aca="false">IFERROR(IF(AND(INDEX('Facility Master'!X:X,MATCH(IDFC_TL_SNo,'Facility Master'!A:A,0))&lt;=B17,INDEX('Facility Master'!X:X,MATCH(IDFC_TL_SNo,'Facility Master'!A:A,0))&gt;B16),INDEX('Facility Master'!K:K,MATCH(IDFC_TL_SNo,'Facility Master'!A:A,0)),0),0)</f>
        <v>0</v>
      </c>
      <c r="AE17" s="500" t="n">
        <f aca="false">IFERROR(IF(B17&lt;IDFC_TL_RepStart,0,IF(B17&gt;IDFC_TL_Maturity,0,IF(COUNTIFS($B$5:$B17,"&gt;="&amp;IDFC_TL_RepStart,$B$5:$B17,"&lt;="&amp;IDFC_TL_Maturity)&lt;=8,INDEX('Facility Master'!K:K,MATCH(IDFC_TL_SNo,'Facility Master'!A:A,0))*0.0125,IF(COUNTIFS($B$5:$B17,"&gt;="&amp;IDFC_TL_RepStart,$B$5:$B17,"&lt;="&amp;IDFC_TL_Maturity)&lt;=48,INDEX('Facility Master'!K:K,MATCH(IDFC_TL_SNo,'Facility Master'!A:A,0))*0.0225,0)))),0)</f>
        <v>0</v>
      </c>
      <c r="AF17" s="500" t="n">
        <f aca="false">IFERROR((AC17+(AD17-AE17)/2)*INDEX('Facility Master'!R:R,MATCH(IDFC_TL_SNo,'Facility Master'!A:A,0))*(B17-B16)/DaysInYear,0)</f>
        <v>11.6280547945205</v>
      </c>
      <c r="AG17" s="500" t="n">
        <f aca="false">IFERROR(ROUND(MAX(AC17+AD17-AE17,0),6),0)</f>
        <v>530</v>
      </c>
      <c r="AH17" s="698" t="n">
        <f aca="false">IFERROR(MAX(AL16,0),0)</f>
        <v>840</v>
      </c>
      <c r="AI17" s="698" t="n">
        <f aca="false">IFERROR(IF(AND(INDEX('Facility Master'!X:X,MATCH(ICICI_TL_SNo,'Facility Master'!A:A,0))&lt;=B17,INDEX('Facility Master'!X:X,MATCH(ICICI_TL_SNo,'Facility Master'!A:A,0))&gt;B16),INDEX('Facility Master'!K:K,MATCH(ICICI_TL_SNo,'Facility Master'!A:A,0)),0),0)</f>
        <v>0</v>
      </c>
      <c r="AJ17" s="698" t="n">
        <f aca="false">IFERROR(IF(B17&lt;ICICI_TL_RepStart,0,IF(B17&gt;ICICI_TL_Maturity,0,IF(COUNTIFS($B$5:$B17,"&gt;="&amp;ICICI_TL_RepStart,$B$5:$B17,"&lt;="&amp;ICICI_TL_Maturity)&lt;=8,INDEX('Facility Master'!K:K,MATCH(ICICI_TL_SNo,'Facility Master'!A:A,0))*0.0125,IF(COUNTIFS($B$5:$B17,"&gt;="&amp;ICICI_TL_RepStart,$B$5:$B17,"&lt;="&amp;ICICI_TL_Maturity)&lt;=48,INDEX('Facility Master'!K:K,MATCH(ICICI_TL_SNo,'Facility Master'!A:A,0))*0.0225,0)))),0)</f>
        <v>0</v>
      </c>
      <c r="AK17" s="698" t="n">
        <f aca="false">IFERROR((AH17+(AI17-AJ17)/2)*INDEX('Facility Master'!R:R,MATCH(ICICI_TL_SNo,'Facility Master'!A:A,0))*(B17-B16)/DaysInYear,0)</f>
        <v>18.2199452054795</v>
      </c>
      <c r="AL17" s="698" t="n">
        <f aca="false">IFERROR(ROUND(MAX(AH17+AI17-AJ17,0),6),0)</f>
        <v>840</v>
      </c>
      <c r="AM17" s="500" t="n">
        <f aca="false">F17+K17+P17+Z17+AE17+AJ17</f>
        <v>0</v>
      </c>
      <c r="AN17" s="500" t="n">
        <f aca="false">G17+L17+Q17+AA17+AF17+AK17</f>
        <v>82.5509616438356</v>
      </c>
      <c r="AO17" s="500" t="n">
        <f aca="false">AM17+AN17</f>
        <v>82.5509616438356</v>
      </c>
      <c r="AP17" s="500" t="n">
        <f aca="false">H17+M17+R17+AB17+AG17+AL17</f>
        <v>3616</v>
      </c>
    </row>
    <row r="18" customFormat="false" ht="15.75" hidden="false" customHeight="true" outlineLevel="0" collapsed="false">
      <c r="A18" s="699" t="n">
        <v>14</v>
      </c>
      <c r="B18" s="700" t="n">
        <v>46295</v>
      </c>
      <c r="C18" s="699" t="s">
        <v>678</v>
      </c>
      <c r="D18" s="701" t="n">
        <f aca="false">IFERROR(MAX(H17,0),0)</f>
        <v>1125</v>
      </c>
      <c r="E18" s="701" t="n">
        <f aca="false">IFERROR(IF(AND(INDEX('Facility Master'!X:X,MATCH(UBI_RTL1_SNo,'Facility Master'!A:A,0))&lt;=B18,INDEX('Facility Master'!X:X,MATCH(UBI_RTL1_SNo,'Facility Master'!A:A,0))&gt;B17),INDEX('Facility Master'!K:K,MATCH(UBI_RTL1_SNo,'Facility Master'!A:A,0)),0),0)</f>
        <v>0</v>
      </c>
      <c r="F18" s="701" t="n">
        <f aca="false">IFERROR(IF(B18&lt;UBI_RTL1_RepStart,0,IF(B18&gt;UBI_RTL1_Maturity,0,IF(COUNTIFS($B$5:$B18,"&gt;="&amp;UBI_RTL1_RepStart,$B$5:$B18,"&lt;="&amp;UBI_RTL1_Maturity)&lt;=8,INDEX('Facility Master'!K:K,MATCH(UBI_RTL1_SNo,'Facility Master'!A:A,0))*0.0125,IF(COUNTIFS($B$5:$B18,"&gt;="&amp;UBI_RTL1_RepStart,$B$5:$B18,"&lt;="&amp;UBI_RTL1_Maturity)&lt;=48,INDEX('Facility Master'!K:K,MATCH(UBI_RTL1_SNo,'Facility Master'!A:A,0))*0.0225,0)))),0)</f>
        <v>0</v>
      </c>
      <c r="G18" s="701" t="n">
        <f aca="false">IFERROR((D18+(E18-F18)/2)*INDEX('Facility Master'!R:R,MATCH(UBI_RTL1_SNo,'Facility Master'!A:A,0))*(B18-B17)/DaysInYear,0)</f>
        <v>26.6547945205479</v>
      </c>
      <c r="H18" s="701" t="n">
        <f aca="false">IFERROR(ROUND(MAX(D18+E18-F18,0),6),0)</f>
        <v>1125</v>
      </c>
      <c r="I18" s="701" t="n">
        <f aca="false">IFERROR(MAX(M17,0),0)</f>
        <v>236</v>
      </c>
      <c r="J18" s="701" t="n">
        <f aca="false">IFERROR(IF(AND(INDEX('Facility Master'!X:X,MATCH(UBI_RTL2_SNo,'Facility Master'!A:A,0))&lt;=B18,INDEX('Facility Master'!X:X,MATCH(UBI_RTL2_SNo,'Facility Master'!A:A,0))&gt;B17),INDEX('Facility Master'!K:K,MATCH(UBI_RTL2_SNo,'Facility Master'!A:A,0)),0),0)</f>
        <v>0</v>
      </c>
      <c r="K18" s="701" t="n">
        <f aca="false">IFERROR(IF(B18&lt;UBI_RTL2_RepStart,0,IF(B18&gt;UBI_RTL2_Maturity,0,IF(COUNTIFS($B$5:$B18,"&gt;="&amp;UBI_RTL2_RepStart,$B$5:$B18,"&lt;="&amp;UBI_RTL2_Maturity)&lt;=8,INDEX('Facility Master'!K:K,MATCH(UBI_RTL2_SNo,'Facility Master'!A:A,0))*0.0125,IF(COUNTIFS($B$5:$B18,"&gt;="&amp;UBI_RTL2_RepStart,$B$5:$B18,"&lt;="&amp;UBI_RTL2_Maturity)&lt;=48,INDEX('Facility Master'!K:K,MATCH(UBI_RTL2_SNo,'Facility Master'!A:A,0))*0.0225,0)))),0)</f>
        <v>0</v>
      </c>
      <c r="L18" s="701" t="n">
        <f aca="false">IFERROR((I18+(J18-K18)/2)*INDEX('Facility Master'!R:R,MATCH(UBI_RTL2_SNo,'Facility Master'!A:A,0))*(B18-B17)/DaysInYear,0)</f>
        <v>5.41312876712329</v>
      </c>
      <c r="M18" s="701" t="n">
        <f aca="false">IFERROR(ROUND(MAX(I18+J18-K18,0),6),0)</f>
        <v>236</v>
      </c>
      <c r="N18" s="701" t="n">
        <f aca="false">IFERROR(MAX(R17,0),0)</f>
        <v>235</v>
      </c>
      <c r="O18" s="701" t="n">
        <f aca="false">IFERROR(IF(AND(INDEX('Facility Master'!X:X,MATCH(IB_TL_SNo,'Facility Master'!A:A,0))&lt;=B18,INDEX('Facility Master'!X:X,MATCH(IB_TL_SNo,'Facility Master'!A:A,0))&gt;B17),INDEX('Facility Master'!K:K,MATCH(IB_TL_SNo,'Facility Master'!A:A,0)),0),0)</f>
        <v>0</v>
      </c>
      <c r="P18" s="701" t="n">
        <f aca="false">IFERROR(IF(B18&lt;IB_TL_RepStart,0,IF(B18&gt;IB_TL_Maturity,0,IF(COUNTIFS($B$5:$B18,"&gt;="&amp;IB_TL_RepStart,$B$5:$B18,"&lt;="&amp;IB_TL_Maturity)&lt;=8,INDEX('Facility Master'!K:K,MATCH(IB_TL_SNo,'Facility Master'!A:A,0))*0.0125,IF(COUNTIFS($B$5:$B18,"&gt;="&amp;IB_TL_RepStart,$B$5:$B18,"&lt;="&amp;IB_TL_Maturity)&lt;=48,INDEX('Facility Master'!K:K,MATCH(IB_TL_SNo,'Facility Master'!A:A,0))*0.0225,0)))),0)</f>
        <v>0</v>
      </c>
      <c r="Q18" s="701" t="n">
        <f aca="false">IFERROR((N18+(O18-P18)/2)*INDEX('Facility Master'!R:R,MATCH(IB_TL_SNo,'Facility Master'!A:A,0))*(B18-B17)/DaysInYear,0)</f>
        <v>5.5678904109589</v>
      </c>
      <c r="R18" s="701" t="n">
        <f aca="false">IFERROR(ROUND(MAX(N18+O18-P18,0),6),0)</f>
        <v>235</v>
      </c>
      <c r="S18" s="702" t="n">
        <f aca="false">IFERROR(MAX(W17,0),0)</f>
        <v>200</v>
      </c>
      <c r="T18" s="702" t="n">
        <f aca="false">IFERROR(IF(AND(INDEX('Facility Master'!X:X,MATCH(RBL_TL_SNo,'Facility Master'!A:A,0))&lt;=B18,INDEX('Facility Master'!X:X,MATCH(RBL_TL_SNo,'Facility Master'!A:A,0))&gt;B17),INDEX('Facility Master'!K:K,MATCH(RBL_TL_SNo,'Facility Master'!A:A,0)),0),0)</f>
        <v>0</v>
      </c>
      <c r="U18" s="702" t="n">
        <f aca="false">IFERROR(IF(AND(RBL_TL_Maturity&lt;=B18,RBL_TL_Maturity&gt;B17),INDEX('Facility Master'!K:K,MATCH(RBL_TL_SNo,'Facility Master'!A:A,0)),0),0)</f>
        <v>0</v>
      </c>
      <c r="V18" s="702" t="n">
        <f aca="false">IFERROR((S18+(T18-U18)/2)*INDEX('Facility Master'!R:R,MATCH(RBL_TL_SNo,'Facility Master'!A:A,0))*(B18-B17)/DaysInYear,0)</f>
        <v>4.78904109589041</v>
      </c>
      <c r="W18" s="702" t="n">
        <f aca="false">IFERROR(ROUND(MAX(S18+T18-U18,0),6),0)</f>
        <v>200</v>
      </c>
      <c r="X18" s="701" t="n">
        <f aca="false">IFERROR(MAX(AB17,0),0)</f>
        <v>650</v>
      </c>
      <c r="Y18" s="701" t="n">
        <f aca="false">IFERROR(IF(AND(INDEX('Facility Master'!X:X,MATCH(YBL_TL_SNo,'Facility Master'!A:A,0))&lt;=B18,INDEX('Facility Master'!X:X,MATCH(YBL_TL_SNo,'Facility Master'!A:A,0))&gt;B17),INDEX('Facility Master'!K:K,MATCH(YBL_TL_SNo,'Facility Master'!A:A,0)),0),0)</f>
        <v>0</v>
      </c>
      <c r="Z18" s="701" t="n">
        <f aca="false">IFERROR(IF(B18&lt;YBL_TL_RepStart,0,IF(B18&gt;YBL_TL_Maturity,0,IF(COUNTIFS($B$5:$B18,"&gt;="&amp;YBL_TL_RepStart,$B$5:$B18,"&lt;="&amp;YBL_TL_Maturity)&lt;=8,INDEX('Facility Master'!K:K,MATCH(YBL_TL_SNo,'Facility Master'!A:A,0))*0.0125,IF(COUNTIFS($B$5:$B18,"&gt;="&amp;YBL_TL_RepStart,$B$5:$B18,"&lt;="&amp;YBL_TL_Maturity)&lt;=48,INDEX('Facility Master'!K:K,MATCH(YBL_TL_SNo,'Facility Master'!A:A,0))*0.0225,0)))),0)</f>
        <v>0</v>
      </c>
      <c r="AA18" s="701" t="n">
        <f aca="false">IFERROR((X18+(Y18-Z18)/2)*INDEX('Facility Master'!R:R,MATCH(YBL_TL_SNo,'Facility Master'!A:A,0))*(B18-B17)/DaysInYear,0)</f>
        <v>15.646301369863</v>
      </c>
      <c r="AB18" s="701" t="n">
        <f aca="false">IFERROR(ROUND(MAX(X18+Y18-Z18,0),6),0)</f>
        <v>650</v>
      </c>
      <c r="AC18" s="701" t="n">
        <f aca="false">IFERROR(MAX(AG17,0),0)</f>
        <v>530</v>
      </c>
      <c r="AD18" s="701" t="n">
        <f aca="false">IFERROR(IF(AND(INDEX('Facility Master'!X:X,MATCH(IDFC_TL_SNo,'Facility Master'!A:A,0))&lt;=B18,INDEX('Facility Master'!X:X,MATCH(IDFC_TL_SNo,'Facility Master'!A:A,0))&gt;B17),INDEX('Facility Master'!K:K,MATCH(IDFC_TL_SNo,'Facility Master'!A:A,0)),0),0)</f>
        <v>0</v>
      </c>
      <c r="AE18" s="701" t="n">
        <f aca="false">IFERROR(IF(B18&lt;IDFC_TL_RepStart,0,IF(B18&gt;IDFC_TL_Maturity,0,IF(COUNTIFS($B$5:$B18,"&gt;="&amp;IDFC_TL_RepStart,$B$5:$B18,"&lt;="&amp;IDFC_TL_Maturity)&lt;=8,INDEX('Facility Master'!K:K,MATCH(IDFC_TL_SNo,'Facility Master'!A:A,0))*0.0125,IF(COUNTIFS($B$5:$B18,"&gt;="&amp;IDFC_TL_RepStart,$B$5:$B18,"&lt;="&amp;IDFC_TL_Maturity)&lt;=48,INDEX('Facility Master'!K:K,MATCH(IDFC_TL_SNo,'Facility Master'!A:A,0))*0.0225,0)))),0)</f>
        <v>0</v>
      </c>
      <c r="AF18" s="701" t="n">
        <f aca="false">IFERROR((AC18+(AD18-AE18)/2)*INDEX('Facility Master'!R:R,MATCH(IDFC_TL_SNo,'Facility Master'!A:A,0))*(B18-B17)/DaysInYear,0)</f>
        <v>11.7558356164384</v>
      </c>
      <c r="AG18" s="701" t="n">
        <f aca="false">IFERROR(ROUND(MAX(AC18+AD18-AE18,0),6),0)</f>
        <v>530</v>
      </c>
      <c r="AH18" s="703" t="n">
        <f aca="false">IFERROR(MAX(AL17,0),0)</f>
        <v>840</v>
      </c>
      <c r="AI18" s="703" t="n">
        <f aca="false">IFERROR(IF(AND(INDEX('Facility Master'!X:X,MATCH(ICICI_TL_SNo,'Facility Master'!A:A,0))&lt;=B18,INDEX('Facility Master'!X:X,MATCH(ICICI_TL_SNo,'Facility Master'!A:A,0))&gt;B17),INDEX('Facility Master'!K:K,MATCH(ICICI_TL_SNo,'Facility Master'!A:A,0)),0),0)</f>
        <v>0</v>
      </c>
      <c r="AJ18" s="703" t="n">
        <f aca="false">IFERROR(IF(B18&lt;ICICI_TL_RepStart,0,IF(B18&gt;ICICI_TL_Maturity,0,IF(COUNTIFS($B$5:$B18,"&gt;="&amp;ICICI_TL_RepStart,$B$5:$B18,"&lt;="&amp;ICICI_TL_Maturity)&lt;=8,INDEX('Facility Master'!K:K,MATCH(ICICI_TL_SNo,'Facility Master'!A:A,0))*0.0125,IF(COUNTIFS($B$5:$B18,"&gt;="&amp;ICICI_TL_RepStart,$B$5:$B18,"&lt;="&amp;ICICI_TL_Maturity)&lt;=48,INDEX('Facility Master'!K:K,MATCH(ICICI_TL_SNo,'Facility Master'!A:A,0))*0.0225,0)))),0)</f>
        <v>0</v>
      </c>
      <c r="AK18" s="703" t="n">
        <f aca="false">IFERROR((AH18+(AI18-AJ18)/2)*INDEX('Facility Master'!R:R,MATCH(ICICI_TL_SNo,'Facility Master'!A:A,0))*(B18-B17)/DaysInYear,0)</f>
        <v>18.4201643835616</v>
      </c>
      <c r="AL18" s="703" t="n">
        <f aca="false">IFERROR(ROUND(MAX(AH18+AI18-AJ18,0),6),0)</f>
        <v>840</v>
      </c>
      <c r="AM18" s="701" t="n">
        <f aca="false">F18+K18+P18+Z18+AE18+AJ18</f>
        <v>0</v>
      </c>
      <c r="AN18" s="701" t="n">
        <f aca="false">G18+L18+Q18+AA18+AF18+AK18</f>
        <v>83.4581150684932</v>
      </c>
      <c r="AO18" s="701" t="n">
        <f aca="false">AM18+AN18</f>
        <v>83.4581150684932</v>
      </c>
      <c r="AP18" s="701" t="n">
        <f aca="false">H18+M18+R18+AB18+AG18+AL18</f>
        <v>3616</v>
      </c>
    </row>
    <row r="19" customFormat="false" ht="15.75" hidden="false" customHeight="true" outlineLevel="0" collapsed="false">
      <c r="A19" s="562" t="n">
        <v>15</v>
      </c>
      <c r="B19" s="704" t="n">
        <v>46387</v>
      </c>
      <c r="C19" s="705" t="s">
        <v>679</v>
      </c>
      <c r="D19" s="566" t="n">
        <f aca="false">IFERROR(MAX(H18,0),0)</f>
        <v>1125</v>
      </c>
      <c r="E19" s="566" t="n">
        <f aca="false">IFERROR(IF(AND(INDEX('Facility Master'!X:X,MATCH(UBI_RTL1_SNo,'Facility Master'!A:A,0))&lt;=B19,INDEX('Facility Master'!X:X,MATCH(UBI_RTL1_SNo,'Facility Master'!A:A,0))&gt;B18),INDEX('Facility Master'!K:K,MATCH(UBI_RTL1_SNo,'Facility Master'!A:A,0)),0),0)</f>
        <v>0</v>
      </c>
      <c r="F19" s="566" t="n">
        <f aca="false">IFERROR(IF(B19&lt;UBI_RTL1_RepStart,0,IF(B19&gt;UBI_RTL1_Maturity,0,IF(COUNTIFS($B$5:$B19,"&gt;="&amp;UBI_RTL1_RepStart,$B$5:$B19,"&lt;="&amp;UBI_RTL1_Maturity)&lt;=8,INDEX('Facility Master'!K:K,MATCH(UBI_RTL1_SNo,'Facility Master'!A:A,0))*0.0125,IF(COUNTIFS($B$5:$B19,"&gt;="&amp;UBI_RTL1_RepStart,$B$5:$B19,"&lt;="&amp;UBI_RTL1_Maturity)&lt;=48,INDEX('Facility Master'!K:K,MATCH(UBI_RTL1_SNo,'Facility Master'!A:A,0))*0.0225,0)))),0)</f>
        <v>0</v>
      </c>
      <c r="G19" s="566" t="n">
        <f aca="false">IFERROR((D19+(E19-F19)/2)*INDEX('Facility Master'!R:R,MATCH(UBI_RTL1_SNo,'Facility Master'!A:A,0))*(B19-B18)/DaysInYear,0)</f>
        <v>26.6547945205479</v>
      </c>
      <c r="H19" s="566" t="n">
        <f aca="false">IFERROR(ROUND(MAX(D19+E19-F19,0),6),0)</f>
        <v>1125</v>
      </c>
      <c r="I19" s="566" t="n">
        <f aca="false">IFERROR(MAX(M18,0),0)</f>
        <v>236</v>
      </c>
      <c r="J19" s="566" t="n">
        <f aca="false">IFERROR(IF(AND(INDEX('Facility Master'!X:X,MATCH(UBI_RTL2_SNo,'Facility Master'!A:A,0))&lt;=B19,INDEX('Facility Master'!X:X,MATCH(UBI_RTL2_SNo,'Facility Master'!A:A,0))&gt;B18),INDEX('Facility Master'!K:K,MATCH(UBI_RTL2_SNo,'Facility Master'!A:A,0)),0),0)</f>
        <v>0</v>
      </c>
      <c r="K19" s="566" t="n">
        <f aca="false">IFERROR(IF(B19&lt;UBI_RTL2_RepStart,0,IF(B19&gt;UBI_RTL2_Maturity,0,IF(COUNTIFS($B$5:$B19,"&gt;="&amp;UBI_RTL2_RepStart,$B$5:$B19,"&lt;="&amp;UBI_RTL2_Maturity)&lt;=8,INDEX('Facility Master'!K:K,MATCH(UBI_RTL2_SNo,'Facility Master'!A:A,0))*0.0125,IF(COUNTIFS($B$5:$B19,"&gt;="&amp;UBI_RTL2_RepStart,$B$5:$B19,"&lt;="&amp;UBI_RTL2_Maturity)&lt;=48,INDEX('Facility Master'!K:K,MATCH(UBI_RTL2_SNo,'Facility Master'!A:A,0))*0.0225,0)))),0)</f>
        <v>0</v>
      </c>
      <c r="L19" s="566" t="n">
        <f aca="false">IFERROR((I19+(J19-K19)/2)*INDEX('Facility Master'!R:R,MATCH(UBI_RTL2_SNo,'Facility Master'!A:A,0))*(B19-B18)/DaysInYear,0)</f>
        <v>5.41312876712329</v>
      </c>
      <c r="M19" s="566" t="n">
        <f aca="false">IFERROR(ROUND(MAX(I19+J19-K19,0),6),0)</f>
        <v>236</v>
      </c>
      <c r="N19" s="566" t="n">
        <f aca="false">IFERROR(MAX(R18,0),0)</f>
        <v>235</v>
      </c>
      <c r="O19" s="566" t="n">
        <f aca="false">IFERROR(IF(AND(INDEX('Facility Master'!X:X,MATCH(IB_TL_SNo,'Facility Master'!A:A,0))&lt;=B19,INDEX('Facility Master'!X:X,MATCH(IB_TL_SNo,'Facility Master'!A:A,0))&gt;B18),INDEX('Facility Master'!K:K,MATCH(IB_TL_SNo,'Facility Master'!A:A,0)),0),0)</f>
        <v>0</v>
      </c>
      <c r="P19" s="566" t="n">
        <f aca="false">IFERROR(IF(B19&lt;IB_TL_RepStart,0,IF(B19&gt;IB_TL_Maturity,0,IF(COUNTIFS($B$5:$B19,"&gt;="&amp;IB_TL_RepStart,$B$5:$B19,"&lt;="&amp;IB_TL_Maturity)&lt;=8,INDEX('Facility Master'!K:K,MATCH(IB_TL_SNo,'Facility Master'!A:A,0))*0.0125,IF(COUNTIFS($B$5:$B19,"&gt;="&amp;IB_TL_RepStart,$B$5:$B19,"&lt;="&amp;IB_TL_Maturity)&lt;=48,INDEX('Facility Master'!K:K,MATCH(IB_TL_SNo,'Facility Master'!A:A,0))*0.0225,0)))),0)</f>
        <v>0</v>
      </c>
      <c r="Q19" s="566" t="n">
        <f aca="false">IFERROR((N19+(O19-P19)/2)*INDEX('Facility Master'!R:R,MATCH(IB_TL_SNo,'Facility Master'!A:A,0))*(B19-B18)/DaysInYear,0)</f>
        <v>5.5678904109589</v>
      </c>
      <c r="R19" s="566" t="n">
        <f aca="false">IFERROR(ROUND(MAX(N19+O19-P19,0),6),0)</f>
        <v>235</v>
      </c>
      <c r="S19" s="706" t="n">
        <f aca="false">IFERROR(MAX(W18,0),0)</f>
        <v>200</v>
      </c>
      <c r="T19" s="706" t="n">
        <f aca="false">IFERROR(IF(AND(INDEX('Facility Master'!X:X,MATCH(RBL_TL_SNo,'Facility Master'!A:A,0))&lt;=B19,INDEX('Facility Master'!X:X,MATCH(RBL_TL_SNo,'Facility Master'!A:A,0))&gt;B18),INDEX('Facility Master'!K:K,MATCH(RBL_TL_SNo,'Facility Master'!A:A,0)),0),0)</f>
        <v>0</v>
      </c>
      <c r="U19" s="706" t="n">
        <f aca="false">IFERROR(IF(AND(RBL_TL_Maturity&lt;=B19,RBL_TL_Maturity&gt;B18),INDEX('Facility Master'!K:K,MATCH(RBL_TL_SNo,'Facility Master'!A:A,0)),0),0)</f>
        <v>200</v>
      </c>
      <c r="V19" s="706" t="n">
        <f aca="false">IFERROR((S19+(T19-U19)/2)*INDEX('Facility Master'!R:R,MATCH(RBL_TL_SNo,'Facility Master'!A:A,0))*(B19-B18)/DaysInYear,0)</f>
        <v>2.39452054794521</v>
      </c>
      <c r="W19" s="706" t="n">
        <f aca="false">IFERROR(ROUND(MAX(S19+T19-U19,0),6),0)</f>
        <v>0</v>
      </c>
      <c r="X19" s="566" t="n">
        <f aca="false">IFERROR(MAX(AB18,0),0)</f>
        <v>650</v>
      </c>
      <c r="Y19" s="566" t="n">
        <f aca="false">IFERROR(IF(AND(INDEX('Facility Master'!X:X,MATCH(YBL_TL_SNo,'Facility Master'!A:A,0))&lt;=B19,INDEX('Facility Master'!X:X,MATCH(YBL_TL_SNo,'Facility Master'!A:A,0))&gt;B18),INDEX('Facility Master'!K:K,MATCH(YBL_TL_SNo,'Facility Master'!A:A,0)),0),0)</f>
        <v>0</v>
      </c>
      <c r="Z19" s="566" t="n">
        <f aca="false">IFERROR(IF(B19&lt;YBL_TL_RepStart,0,IF(B19&gt;YBL_TL_Maturity,0,IF(COUNTIFS($B$5:$B19,"&gt;="&amp;YBL_TL_RepStart,$B$5:$B19,"&lt;="&amp;YBL_TL_Maturity)&lt;=8,INDEX('Facility Master'!K:K,MATCH(YBL_TL_SNo,'Facility Master'!A:A,0))*0.0125,IF(COUNTIFS($B$5:$B19,"&gt;="&amp;YBL_TL_RepStart,$B$5:$B19,"&lt;="&amp;YBL_TL_Maturity)&lt;=48,INDEX('Facility Master'!K:K,MATCH(YBL_TL_SNo,'Facility Master'!A:A,0))*0.0225,0)))),0)</f>
        <v>0</v>
      </c>
      <c r="AA19" s="566" t="n">
        <f aca="false">IFERROR((X19+(Y19-Z19)/2)*INDEX('Facility Master'!R:R,MATCH(YBL_TL_SNo,'Facility Master'!A:A,0))*(B19-B18)/DaysInYear,0)</f>
        <v>15.646301369863</v>
      </c>
      <c r="AB19" s="566" t="n">
        <f aca="false">IFERROR(ROUND(MAX(X19+Y19-Z19,0),6),0)</f>
        <v>650</v>
      </c>
      <c r="AC19" s="566" t="n">
        <f aca="false">IFERROR(MAX(AG18,0),0)</f>
        <v>530</v>
      </c>
      <c r="AD19" s="566" t="n">
        <f aca="false">IFERROR(IF(AND(INDEX('Facility Master'!X:X,MATCH(IDFC_TL_SNo,'Facility Master'!A:A,0))&lt;=B19,INDEX('Facility Master'!X:X,MATCH(IDFC_TL_SNo,'Facility Master'!A:A,0))&gt;B18),INDEX('Facility Master'!K:K,MATCH(IDFC_TL_SNo,'Facility Master'!A:A,0)),0),0)</f>
        <v>0</v>
      </c>
      <c r="AE19" s="566" t="n">
        <f aca="false">IFERROR(IF(B19&lt;IDFC_TL_RepStart,0,IF(B19&gt;IDFC_TL_Maturity,0,IF(COUNTIFS($B$5:$B19,"&gt;="&amp;IDFC_TL_RepStart,$B$5:$B19,"&lt;="&amp;IDFC_TL_Maturity)&lt;=8,INDEX('Facility Master'!K:K,MATCH(IDFC_TL_SNo,'Facility Master'!A:A,0))*0.0125,IF(COUNTIFS($B$5:$B19,"&gt;="&amp;IDFC_TL_RepStart,$B$5:$B19,"&lt;="&amp;IDFC_TL_Maturity)&lt;=48,INDEX('Facility Master'!K:K,MATCH(IDFC_TL_SNo,'Facility Master'!A:A,0))*0.0225,0)))),0)</f>
        <v>0</v>
      </c>
      <c r="AF19" s="566" t="n">
        <f aca="false">IFERROR((AC19+(AD19-AE19)/2)*INDEX('Facility Master'!R:R,MATCH(IDFC_TL_SNo,'Facility Master'!A:A,0))*(B19-B18)/DaysInYear,0)</f>
        <v>11.7558356164384</v>
      </c>
      <c r="AG19" s="566" t="n">
        <f aca="false">IFERROR(ROUND(MAX(AC19+AD19-AE19,0),6),0)</f>
        <v>530</v>
      </c>
      <c r="AH19" s="698" t="n">
        <f aca="false">IFERROR(MAX(AL18,0),0)</f>
        <v>840</v>
      </c>
      <c r="AI19" s="698" t="n">
        <f aca="false">IFERROR(IF(AND(INDEX('Facility Master'!X:X,MATCH(ICICI_TL_SNo,'Facility Master'!A:A,0))&lt;=B19,INDEX('Facility Master'!X:X,MATCH(ICICI_TL_SNo,'Facility Master'!A:A,0))&gt;B18),INDEX('Facility Master'!K:K,MATCH(ICICI_TL_SNo,'Facility Master'!A:A,0)),0),0)</f>
        <v>0</v>
      </c>
      <c r="AJ19" s="698" t="n">
        <f aca="false">IFERROR(IF(B19&lt;ICICI_TL_RepStart,0,IF(B19&gt;ICICI_TL_Maturity,0,IF(COUNTIFS($B$5:$B19,"&gt;="&amp;ICICI_TL_RepStart,$B$5:$B19,"&lt;="&amp;ICICI_TL_Maturity)&lt;=8,INDEX('Facility Master'!K:K,MATCH(ICICI_TL_SNo,'Facility Master'!A:A,0))*0.0125,IF(COUNTIFS($B$5:$B19,"&gt;="&amp;ICICI_TL_RepStart,$B$5:$B19,"&lt;="&amp;ICICI_TL_Maturity)&lt;=48,INDEX('Facility Master'!K:K,MATCH(ICICI_TL_SNo,'Facility Master'!A:A,0))*0.0225,0)))),0)</f>
        <v>0</v>
      </c>
      <c r="AK19" s="698" t="n">
        <f aca="false">IFERROR((AH19+(AI19-AJ19)/2)*INDEX('Facility Master'!R:R,MATCH(ICICI_TL_SNo,'Facility Master'!A:A,0))*(B19-B18)/DaysInYear,0)</f>
        <v>18.4201643835616</v>
      </c>
      <c r="AL19" s="698" t="n">
        <f aca="false">IFERROR(ROUND(MAX(AH19+AI19-AJ19,0),6),0)</f>
        <v>840</v>
      </c>
      <c r="AM19" s="566" t="n">
        <f aca="false">F19+K19+P19+Z19+AE19+AJ19</f>
        <v>0</v>
      </c>
      <c r="AN19" s="566" t="n">
        <f aca="false">G19+L19+Q19+AA19+AF19+AK19</f>
        <v>83.4581150684932</v>
      </c>
      <c r="AO19" s="566" t="n">
        <f aca="false">AM19+AN19</f>
        <v>83.4581150684932</v>
      </c>
      <c r="AP19" s="566" t="n">
        <f aca="false">H19+M19+R19+AB19+AG19+AL19</f>
        <v>3616</v>
      </c>
    </row>
    <row r="20" customFormat="false" ht="15.75" hidden="false" customHeight="true" outlineLevel="0" collapsed="false">
      <c r="A20" s="699" t="n">
        <v>16</v>
      </c>
      <c r="B20" s="700" t="n">
        <v>46477</v>
      </c>
      <c r="C20" s="699" t="s">
        <v>680</v>
      </c>
      <c r="D20" s="701" t="n">
        <f aca="false">IFERROR(MAX(H19,0),0)</f>
        <v>1125</v>
      </c>
      <c r="E20" s="701" t="n">
        <f aca="false">IFERROR(IF(AND(INDEX('Facility Master'!X:X,MATCH(UBI_RTL1_SNo,'Facility Master'!A:A,0))&lt;=B20,INDEX('Facility Master'!X:X,MATCH(UBI_RTL1_SNo,'Facility Master'!A:A,0))&gt;B19),INDEX('Facility Master'!K:K,MATCH(UBI_RTL1_SNo,'Facility Master'!A:A,0)),0),0)</f>
        <v>0</v>
      </c>
      <c r="F20" s="701" t="n">
        <f aca="false">IFERROR(IF(B20&lt;UBI_RTL1_RepStart,0,IF(B20&gt;UBI_RTL1_Maturity,0,IF(COUNTIFS($B$5:$B20,"&gt;="&amp;UBI_RTL1_RepStart,$B$5:$B20,"&lt;="&amp;UBI_RTL1_Maturity)&lt;=8,INDEX('Facility Master'!K:K,MATCH(UBI_RTL1_SNo,'Facility Master'!A:A,0))*0.0125,IF(COUNTIFS($B$5:$B20,"&gt;="&amp;UBI_RTL1_RepStart,$B$5:$B20,"&lt;="&amp;UBI_RTL1_Maturity)&lt;=48,INDEX('Facility Master'!K:K,MATCH(UBI_RTL1_SNo,'Facility Master'!A:A,0))*0.0225,0)))),0)</f>
        <v>0</v>
      </c>
      <c r="G20" s="701" t="n">
        <f aca="false">IFERROR((D20+(E20-F20)/2)*INDEX('Facility Master'!R:R,MATCH(UBI_RTL1_SNo,'Facility Master'!A:A,0))*(B20-B19)/DaysInYear,0)</f>
        <v>26.0753424657534</v>
      </c>
      <c r="H20" s="701" t="n">
        <f aca="false">IFERROR(ROUND(MAX(D20+E20-F20,0),6),0)</f>
        <v>1125</v>
      </c>
      <c r="I20" s="701" t="n">
        <f aca="false">IFERROR(MAX(M19,0),0)</f>
        <v>236</v>
      </c>
      <c r="J20" s="701" t="n">
        <f aca="false">IFERROR(IF(AND(INDEX('Facility Master'!X:X,MATCH(UBI_RTL2_SNo,'Facility Master'!A:A,0))&lt;=B20,INDEX('Facility Master'!X:X,MATCH(UBI_RTL2_SNo,'Facility Master'!A:A,0))&gt;B19),INDEX('Facility Master'!K:K,MATCH(UBI_RTL2_SNo,'Facility Master'!A:A,0)),0),0)</f>
        <v>0</v>
      </c>
      <c r="K20" s="701" t="n">
        <f aca="false">IFERROR(IF(B20&lt;UBI_RTL2_RepStart,0,IF(B20&gt;UBI_RTL2_Maturity,0,IF(COUNTIFS($B$5:$B20,"&gt;="&amp;UBI_RTL2_RepStart,$B$5:$B20,"&lt;="&amp;UBI_RTL2_Maturity)&lt;=8,INDEX('Facility Master'!K:K,MATCH(UBI_RTL2_SNo,'Facility Master'!A:A,0))*0.0125,IF(COUNTIFS($B$5:$B20,"&gt;="&amp;UBI_RTL2_RepStart,$B$5:$B20,"&lt;="&amp;UBI_RTL2_Maturity)&lt;=48,INDEX('Facility Master'!K:K,MATCH(UBI_RTL2_SNo,'Facility Master'!A:A,0))*0.0225,0)))),0)</f>
        <v>0</v>
      </c>
      <c r="L20" s="701" t="n">
        <f aca="false">IFERROR((I20+(J20-K20)/2)*INDEX('Facility Master'!R:R,MATCH(UBI_RTL2_SNo,'Facility Master'!A:A,0))*(B20-B19)/DaysInYear,0)</f>
        <v>5.29545205479452</v>
      </c>
      <c r="M20" s="701" t="n">
        <f aca="false">IFERROR(ROUND(MAX(I20+J20-K20,0),6),0)</f>
        <v>236</v>
      </c>
      <c r="N20" s="701" t="n">
        <f aca="false">IFERROR(MAX(R19,0),0)</f>
        <v>235</v>
      </c>
      <c r="O20" s="701" t="n">
        <f aca="false">IFERROR(IF(AND(INDEX('Facility Master'!X:X,MATCH(IB_TL_SNo,'Facility Master'!A:A,0))&lt;=B20,INDEX('Facility Master'!X:X,MATCH(IB_TL_SNo,'Facility Master'!A:A,0))&gt;B19),INDEX('Facility Master'!K:K,MATCH(IB_TL_SNo,'Facility Master'!A:A,0)),0),0)</f>
        <v>0</v>
      </c>
      <c r="P20" s="701" t="n">
        <f aca="false">IFERROR(IF(B20&lt;IB_TL_RepStart,0,IF(B20&gt;IB_TL_Maturity,0,IF(COUNTIFS($B$5:$B20,"&gt;="&amp;IB_TL_RepStart,$B$5:$B20,"&lt;="&amp;IB_TL_Maturity)&lt;=8,INDEX('Facility Master'!K:K,MATCH(IB_TL_SNo,'Facility Master'!A:A,0))*0.0125,IF(COUNTIFS($B$5:$B20,"&gt;="&amp;IB_TL_RepStart,$B$5:$B20,"&lt;="&amp;IB_TL_Maturity)&lt;=48,INDEX('Facility Master'!K:K,MATCH(IB_TL_SNo,'Facility Master'!A:A,0))*0.0225,0)))),0)</f>
        <v>2.9375</v>
      </c>
      <c r="Q20" s="701" t="n">
        <f aca="false">IFERROR((N20+(O20-P20)/2)*INDEX('Facility Master'!R:R,MATCH(IB_TL_SNo,'Facility Master'!A:A,0))*(B20-B19)/DaysInYear,0)</f>
        <v>5.41280650684932</v>
      </c>
      <c r="R20" s="701" t="n">
        <f aca="false">IFERROR(ROUND(MAX(N20+O20-P20,0),6),0)</f>
        <v>232.0625</v>
      </c>
      <c r="S20" s="702" t="n">
        <f aca="false">IFERROR(MAX(W19,0),0)</f>
        <v>0</v>
      </c>
      <c r="T20" s="702" t="n">
        <f aca="false">IFERROR(IF(AND(INDEX('Facility Master'!X:X,MATCH(RBL_TL_SNo,'Facility Master'!A:A,0))&lt;=B20,INDEX('Facility Master'!X:X,MATCH(RBL_TL_SNo,'Facility Master'!A:A,0))&gt;B19),INDEX('Facility Master'!K:K,MATCH(RBL_TL_SNo,'Facility Master'!A:A,0)),0),0)</f>
        <v>0</v>
      </c>
      <c r="U20" s="702" t="n">
        <f aca="false">IFERROR(IF(AND(RBL_TL_Maturity&lt;=B20,RBL_TL_Maturity&gt;B19),INDEX('Facility Master'!K:K,MATCH(RBL_TL_SNo,'Facility Master'!A:A,0)),0),0)</f>
        <v>0</v>
      </c>
      <c r="V20" s="702" t="n">
        <f aca="false">IFERROR((S20+(T20-U20)/2)*INDEX('Facility Master'!R:R,MATCH(RBL_TL_SNo,'Facility Master'!A:A,0))*(B20-B19)/DaysInYear,0)</f>
        <v>0</v>
      </c>
      <c r="W20" s="702" t="n">
        <f aca="false">IFERROR(ROUND(MAX(S20+T20-U20,0),6),0)</f>
        <v>0</v>
      </c>
      <c r="X20" s="701" t="n">
        <f aca="false">IFERROR(MAX(AB19,0),0)</f>
        <v>650</v>
      </c>
      <c r="Y20" s="701" t="n">
        <f aca="false">IFERROR(IF(AND(INDEX('Facility Master'!X:X,MATCH(YBL_TL_SNo,'Facility Master'!A:A,0))&lt;=B20,INDEX('Facility Master'!X:X,MATCH(YBL_TL_SNo,'Facility Master'!A:A,0))&gt;B19),INDEX('Facility Master'!K:K,MATCH(YBL_TL_SNo,'Facility Master'!A:A,0)),0),0)</f>
        <v>0</v>
      </c>
      <c r="Z20" s="701" t="n">
        <f aca="false">IFERROR(IF(B20&lt;YBL_TL_RepStart,0,IF(B20&gt;YBL_TL_Maturity,0,IF(COUNTIFS($B$5:$B20,"&gt;="&amp;YBL_TL_RepStart,$B$5:$B20,"&lt;="&amp;YBL_TL_Maturity)&lt;=8,INDEX('Facility Master'!K:K,MATCH(YBL_TL_SNo,'Facility Master'!A:A,0))*0.0125,IF(COUNTIFS($B$5:$B20,"&gt;="&amp;YBL_TL_RepStart,$B$5:$B20,"&lt;="&amp;YBL_TL_Maturity)&lt;=48,INDEX('Facility Master'!K:K,MATCH(YBL_TL_SNo,'Facility Master'!A:A,0))*0.0225,0)))),0)</f>
        <v>0</v>
      </c>
      <c r="AA20" s="701" t="n">
        <f aca="false">IFERROR((X20+(Y20-Z20)/2)*INDEX('Facility Master'!R:R,MATCH(YBL_TL_SNo,'Facility Master'!A:A,0))*(B20-B19)/DaysInYear,0)</f>
        <v>15.3061643835616</v>
      </c>
      <c r="AB20" s="701" t="n">
        <f aca="false">IFERROR(ROUND(MAX(X20+Y20-Z20,0),6),0)</f>
        <v>650</v>
      </c>
      <c r="AC20" s="701" t="n">
        <f aca="false">IFERROR(MAX(AG19,0),0)</f>
        <v>530</v>
      </c>
      <c r="AD20" s="701" t="n">
        <f aca="false">IFERROR(IF(AND(INDEX('Facility Master'!X:X,MATCH(IDFC_TL_SNo,'Facility Master'!A:A,0))&lt;=B20,INDEX('Facility Master'!X:X,MATCH(IDFC_TL_SNo,'Facility Master'!A:A,0))&gt;B19),INDEX('Facility Master'!K:K,MATCH(IDFC_TL_SNo,'Facility Master'!A:A,0)),0),0)</f>
        <v>0</v>
      </c>
      <c r="AE20" s="701" t="n">
        <f aca="false">IFERROR(IF(B20&lt;IDFC_TL_RepStart,0,IF(B20&gt;IDFC_TL_Maturity,0,IF(COUNTIFS($B$5:$B20,"&gt;="&amp;IDFC_TL_RepStart,$B$5:$B20,"&lt;="&amp;IDFC_TL_Maturity)&lt;=8,INDEX('Facility Master'!K:K,MATCH(IDFC_TL_SNo,'Facility Master'!A:A,0))*0.0125,IF(COUNTIFS($B$5:$B20,"&gt;="&amp;IDFC_TL_RepStart,$B$5:$B20,"&lt;="&amp;IDFC_TL_Maturity)&lt;=48,INDEX('Facility Master'!K:K,MATCH(IDFC_TL_SNo,'Facility Master'!A:A,0))*0.0225,0)))),0)</f>
        <v>0</v>
      </c>
      <c r="AF20" s="701" t="n">
        <f aca="false">IFERROR((AC20+(AD20-AE20)/2)*INDEX('Facility Master'!R:R,MATCH(IDFC_TL_SNo,'Facility Master'!A:A,0))*(B20-B19)/DaysInYear,0)</f>
        <v>11.5002739726027</v>
      </c>
      <c r="AG20" s="701" t="n">
        <f aca="false">IFERROR(ROUND(MAX(AC20+AD20-AE20,0),6),0)</f>
        <v>530</v>
      </c>
      <c r="AH20" s="703" t="n">
        <f aca="false">IFERROR(MAX(AL19,0),0)</f>
        <v>840</v>
      </c>
      <c r="AI20" s="703" t="n">
        <f aca="false">IFERROR(IF(AND(INDEX('Facility Master'!X:X,MATCH(ICICI_TL_SNo,'Facility Master'!A:A,0))&lt;=B20,INDEX('Facility Master'!X:X,MATCH(ICICI_TL_SNo,'Facility Master'!A:A,0))&gt;B19),INDEX('Facility Master'!K:K,MATCH(ICICI_TL_SNo,'Facility Master'!A:A,0)),0),0)</f>
        <v>0</v>
      </c>
      <c r="AJ20" s="703" t="n">
        <f aca="false">IFERROR(IF(B20&lt;ICICI_TL_RepStart,0,IF(B20&gt;ICICI_TL_Maturity,0,IF(COUNTIFS($B$5:$B20,"&gt;="&amp;ICICI_TL_RepStart,$B$5:$B20,"&lt;="&amp;ICICI_TL_Maturity)&lt;=8,INDEX('Facility Master'!K:K,MATCH(ICICI_TL_SNo,'Facility Master'!A:A,0))*0.0125,IF(COUNTIFS($B$5:$B20,"&gt;="&amp;ICICI_TL_RepStart,$B$5:$B20,"&lt;="&amp;ICICI_TL_Maturity)&lt;=48,INDEX('Facility Master'!K:K,MATCH(ICICI_TL_SNo,'Facility Master'!A:A,0))*0.0225,0)))),0)</f>
        <v>0</v>
      </c>
      <c r="AK20" s="703" t="n">
        <f aca="false">IFERROR((AH20+(AI20-AJ20)/2)*INDEX('Facility Master'!R:R,MATCH(ICICI_TL_SNo,'Facility Master'!A:A,0))*(B20-B19)/DaysInYear,0)</f>
        <v>18.0197260273973</v>
      </c>
      <c r="AL20" s="703" t="n">
        <f aca="false">IFERROR(ROUND(MAX(AH20+AI20-AJ20,0),6),0)</f>
        <v>840</v>
      </c>
      <c r="AM20" s="701" t="n">
        <f aca="false">F20+K20+P20+Z20+AE20+AJ20</f>
        <v>2.9375</v>
      </c>
      <c r="AN20" s="701" t="n">
        <f aca="false">G20+L20+Q20+AA20+AF20+AK20</f>
        <v>81.6097654109589</v>
      </c>
      <c r="AO20" s="701" t="n">
        <f aca="false">AM20+AN20</f>
        <v>84.5472654109589</v>
      </c>
      <c r="AP20" s="701" t="n">
        <f aca="false">H20+M20+R20+AB20+AG20+AL20</f>
        <v>3613.0625</v>
      </c>
    </row>
    <row r="21" customFormat="false" ht="15.75" hidden="false" customHeight="true" outlineLevel="0" collapsed="false">
      <c r="A21" s="496" t="n">
        <v>17</v>
      </c>
      <c r="B21" s="696" t="n">
        <v>46568</v>
      </c>
      <c r="C21" s="496" t="s">
        <v>681</v>
      </c>
      <c r="D21" s="500" t="n">
        <f aca="false">IFERROR(MAX(H20,0),0)</f>
        <v>1125</v>
      </c>
      <c r="E21" s="500" t="n">
        <f aca="false">IFERROR(IF(AND(INDEX('Facility Master'!X:X,MATCH(UBI_RTL1_SNo,'Facility Master'!A:A,0))&lt;=B21,INDEX('Facility Master'!X:X,MATCH(UBI_RTL1_SNo,'Facility Master'!A:A,0))&gt;B20),INDEX('Facility Master'!K:K,MATCH(UBI_RTL1_SNo,'Facility Master'!A:A,0)),0),0)</f>
        <v>0</v>
      </c>
      <c r="F21" s="500" t="n">
        <f aca="false">IFERROR(IF(B21&lt;UBI_RTL1_RepStart,0,IF(B21&gt;UBI_RTL1_Maturity,0,IF(COUNTIFS($B$5:$B21,"&gt;="&amp;UBI_RTL1_RepStart,$B$5:$B21,"&lt;="&amp;UBI_RTL1_Maturity)&lt;=8,INDEX('Facility Master'!K:K,MATCH(UBI_RTL1_SNo,'Facility Master'!A:A,0))*0.0125,IF(COUNTIFS($B$5:$B21,"&gt;="&amp;UBI_RTL1_RepStart,$B$5:$B21,"&lt;="&amp;UBI_RTL1_Maturity)&lt;=48,INDEX('Facility Master'!K:K,MATCH(UBI_RTL1_SNo,'Facility Master'!A:A,0))*0.0225,0)))),0)</f>
        <v>14.0625</v>
      </c>
      <c r="G21" s="500" t="n">
        <f aca="false">IFERROR((D21+(E21-F21)/2)*INDEX('Facility Master'!R:R,MATCH(UBI_RTL1_SNo,'Facility Master'!A:A,0))*(B21-B20)/DaysInYear,0)</f>
        <v>26.2002868150685</v>
      </c>
      <c r="H21" s="500" t="n">
        <f aca="false">IFERROR(ROUND(MAX(D21+E21-F21,0),6),0)</f>
        <v>1110.9375</v>
      </c>
      <c r="I21" s="500" t="n">
        <f aca="false">IFERROR(MAX(M20,0),0)</f>
        <v>236</v>
      </c>
      <c r="J21" s="500" t="n">
        <f aca="false">IFERROR(IF(AND(INDEX('Facility Master'!X:X,MATCH(UBI_RTL2_SNo,'Facility Master'!A:A,0))&lt;=B21,INDEX('Facility Master'!X:X,MATCH(UBI_RTL2_SNo,'Facility Master'!A:A,0))&gt;B20),INDEX('Facility Master'!K:K,MATCH(UBI_RTL2_SNo,'Facility Master'!A:A,0)),0),0)</f>
        <v>0</v>
      </c>
      <c r="K21" s="500" t="n">
        <f aca="false">IFERROR(IF(B21&lt;UBI_RTL2_RepStart,0,IF(B21&gt;UBI_RTL2_Maturity,0,IF(COUNTIFS($B$5:$B21,"&gt;="&amp;UBI_RTL2_RepStart,$B$5:$B21,"&lt;="&amp;UBI_RTL2_Maturity)&lt;=8,INDEX('Facility Master'!K:K,MATCH(UBI_RTL2_SNo,'Facility Master'!A:A,0))*0.0125,IF(COUNTIFS($B$5:$B21,"&gt;="&amp;UBI_RTL2_RepStart,$B$5:$B21,"&lt;="&amp;UBI_RTL2_Maturity)&lt;=48,INDEX('Facility Master'!K:K,MATCH(UBI_RTL2_SNo,'Facility Master'!A:A,0))*0.0225,0)))),0)</f>
        <v>2.95</v>
      </c>
      <c r="L21" s="500" t="n">
        <f aca="false">IFERROR((I21+(J21-K21)/2)*INDEX('Facility Master'!R:R,MATCH(UBI_RTL2_SNo,'Facility Master'!A:A,0))*(B21-B20)/DaysInYear,0)</f>
        <v>5.32082609589041</v>
      </c>
      <c r="M21" s="500" t="n">
        <f aca="false">IFERROR(ROUND(MAX(I21+J21-K21,0),6),0)</f>
        <v>233.05</v>
      </c>
      <c r="N21" s="500" t="n">
        <f aca="false">IFERROR(MAX(R20,0),0)</f>
        <v>232.0625</v>
      </c>
      <c r="O21" s="500" t="n">
        <f aca="false">IFERROR(IF(AND(INDEX('Facility Master'!X:X,MATCH(IB_TL_SNo,'Facility Master'!A:A,0))&lt;=B21,INDEX('Facility Master'!X:X,MATCH(IB_TL_SNo,'Facility Master'!A:A,0))&gt;B20),INDEX('Facility Master'!K:K,MATCH(IB_TL_SNo,'Facility Master'!A:A,0)),0),0)</f>
        <v>0</v>
      </c>
      <c r="P21" s="500" t="n">
        <f aca="false">IFERROR(IF(B21&lt;IB_TL_RepStart,0,IF(B21&gt;IB_TL_Maturity,0,IF(COUNTIFS($B$5:$B21,"&gt;="&amp;IB_TL_RepStart,$B$5:$B21,"&lt;="&amp;IB_TL_Maturity)&lt;=8,INDEX('Facility Master'!K:K,MATCH(IB_TL_SNo,'Facility Master'!A:A,0))*0.0125,IF(COUNTIFS($B$5:$B21,"&gt;="&amp;IB_TL_RepStart,$B$5:$B21,"&lt;="&amp;IB_TL_Maturity)&lt;=48,INDEX('Facility Master'!K:K,MATCH(IB_TL_SNo,'Facility Master'!A:A,0))*0.0225,0)))),0)</f>
        <v>2.9375</v>
      </c>
      <c r="Q21" s="500" t="n">
        <f aca="false">IFERROR((N21+(O21-P21)/2)*INDEX('Facility Master'!R:R,MATCH(IB_TL_SNo,'Facility Master'!A:A,0))*(B21-B20)/DaysInYear,0)</f>
        <v>5.40410667808219</v>
      </c>
      <c r="R21" s="500" t="n">
        <f aca="false">IFERROR(ROUND(MAX(N21+O21-P21,0),6),0)</f>
        <v>229.125</v>
      </c>
      <c r="S21" s="697" t="n">
        <f aca="false">IFERROR(MAX(W20,0),0)</f>
        <v>0</v>
      </c>
      <c r="T21" s="697" t="n">
        <f aca="false">IFERROR(IF(AND(INDEX('Facility Master'!X:X,MATCH(RBL_TL_SNo,'Facility Master'!A:A,0))&lt;=B21,INDEX('Facility Master'!X:X,MATCH(RBL_TL_SNo,'Facility Master'!A:A,0))&gt;B20),INDEX('Facility Master'!K:K,MATCH(RBL_TL_SNo,'Facility Master'!A:A,0)),0),0)</f>
        <v>0</v>
      </c>
      <c r="U21" s="697" t="n">
        <f aca="false">IFERROR(IF(AND(RBL_TL_Maturity&lt;=B21,RBL_TL_Maturity&gt;B20),INDEX('Facility Master'!K:K,MATCH(RBL_TL_SNo,'Facility Master'!A:A,0)),0),0)</f>
        <v>0</v>
      </c>
      <c r="V21" s="697" t="n">
        <f aca="false">IFERROR((S21+(T21-U21)/2)*INDEX('Facility Master'!R:R,MATCH(RBL_TL_SNo,'Facility Master'!A:A,0))*(B21-B20)/DaysInYear,0)</f>
        <v>0</v>
      </c>
      <c r="W21" s="697" t="n">
        <f aca="false">IFERROR(ROUND(MAX(S21+T21-U21,0),6),0)</f>
        <v>0</v>
      </c>
      <c r="X21" s="500" t="n">
        <f aca="false">IFERROR(MAX(AB20,0),0)</f>
        <v>650</v>
      </c>
      <c r="Y21" s="500" t="n">
        <f aca="false">IFERROR(IF(AND(INDEX('Facility Master'!X:X,MATCH(YBL_TL_SNo,'Facility Master'!A:A,0))&lt;=B21,INDEX('Facility Master'!X:X,MATCH(YBL_TL_SNo,'Facility Master'!A:A,0))&gt;B20),INDEX('Facility Master'!K:K,MATCH(YBL_TL_SNo,'Facility Master'!A:A,0)),0),0)</f>
        <v>0</v>
      </c>
      <c r="Z21" s="500" t="n">
        <f aca="false">IFERROR(IF(B21&lt;YBL_TL_RepStart,0,IF(B21&gt;YBL_TL_Maturity,0,IF(COUNTIFS($B$5:$B21,"&gt;="&amp;YBL_TL_RepStart,$B$5:$B21,"&lt;="&amp;YBL_TL_Maturity)&lt;=8,INDEX('Facility Master'!K:K,MATCH(YBL_TL_SNo,'Facility Master'!A:A,0))*0.0125,IF(COUNTIFS($B$5:$B21,"&gt;="&amp;YBL_TL_RepStart,$B$5:$B21,"&lt;="&amp;YBL_TL_Maturity)&lt;=48,INDEX('Facility Master'!K:K,MATCH(YBL_TL_SNo,'Facility Master'!A:A,0))*0.0225,0)))),0)</f>
        <v>8.125</v>
      </c>
      <c r="AA21" s="500" t="n">
        <f aca="false">IFERROR((X21+(Y21-Z21)/2)*INDEX('Facility Master'!R:R,MATCH(YBL_TL_SNo,'Facility Master'!A:A,0))*(B21-B20)/DaysInYear,0)</f>
        <v>15.3795064212329</v>
      </c>
      <c r="AB21" s="500" t="n">
        <f aca="false">IFERROR(ROUND(MAX(X21+Y21-Z21,0),6),0)</f>
        <v>641.875</v>
      </c>
      <c r="AC21" s="500" t="n">
        <f aca="false">IFERROR(MAX(AG20,0),0)</f>
        <v>530</v>
      </c>
      <c r="AD21" s="500" t="n">
        <f aca="false">IFERROR(IF(AND(INDEX('Facility Master'!X:X,MATCH(IDFC_TL_SNo,'Facility Master'!A:A,0))&lt;=B21,INDEX('Facility Master'!X:X,MATCH(IDFC_TL_SNo,'Facility Master'!A:A,0))&gt;B20),INDEX('Facility Master'!K:K,MATCH(IDFC_TL_SNo,'Facility Master'!A:A,0)),0),0)</f>
        <v>0</v>
      </c>
      <c r="AE21" s="500" t="n">
        <f aca="false">IFERROR(IF(B21&lt;IDFC_TL_RepStart,0,IF(B21&gt;IDFC_TL_Maturity,0,IF(COUNTIFS($B$5:$B21,"&gt;="&amp;IDFC_TL_RepStart,$B$5:$B21,"&lt;="&amp;IDFC_TL_Maturity)&lt;=8,INDEX('Facility Master'!K:K,MATCH(IDFC_TL_SNo,'Facility Master'!A:A,0))*0.0125,IF(COUNTIFS($B$5:$B21,"&gt;="&amp;IDFC_TL_RepStart,$B$5:$B21,"&lt;="&amp;IDFC_TL_Maturity)&lt;=48,INDEX('Facility Master'!K:K,MATCH(IDFC_TL_SNo,'Facility Master'!A:A,0))*0.0225,0)))),0)</f>
        <v>6.625</v>
      </c>
      <c r="AF21" s="500" t="n">
        <f aca="false">IFERROR((AC21+(AD21-AE21)/2)*INDEX('Facility Master'!R:R,MATCH(IDFC_TL_SNo,'Facility Master'!A:A,0))*(B21-B20)/DaysInYear,0)</f>
        <v>11.5553794520548</v>
      </c>
      <c r="AG21" s="500" t="n">
        <f aca="false">IFERROR(ROUND(MAX(AC21+AD21-AE21,0),6),0)</f>
        <v>523.375</v>
      </c>
      <c r="AH21" s="698" t="n">
        <f aca="false">IFERROR(MAX(AL20,0),0)</f>
        <v>840</v>
      </c>
      <c r="AI21" s="698" t="n">
        <f aca="false">IFERROR(IF(AND(INDEX('Facility Master'!X:X,MATCH(ICICI_TL_SNo,'Facility Master'!A:A,0))&lt;=B21,INDEX('Facility Master'!X:X,MATCH(ICICI_TL_SNo,'Facility Master'!A:A,0))&gt;B20),INDEX('Facility Master'!K:K,MATCH(ICICI_TL_SNo,'Facility Master'!A:A,0)),0),0)</f>
        <v>0</v>
      </c>
      <c r="AJ21" s="698" t="n">
        <f aca="false">IFERROR(IF(B21&lt;ICICI_TL_RepStart,0,IF(B21&gt;ICICI_TL_Maturity,0,IF(COUNTIFS($B$5:$B21,"&gt;="&amp;ICICI_TL_RepStart,$B$5:$B21,"&lt;="&amp;ICICI_TL_Maturity)&lt;=8,INDEX('Facility Master'!K:K,MATCH(ICICI_TL_SNo,'Facility Master'!A:A,0))*0.0125,IF(COUNTIFS($B$5:$B21,"&gt;="&amp;ICICI_TL_RepStart,$B$5:$B21,"&lt;="&amp;ICICI_TL_Maturity)&lt;=48,INDEX('Facility Master'!K:K,MATCH(ICICI_TL_SNo,'Facility Master'!A:A,0))*0.0225,0)))),0)</f>
        <v>10.5</v>
      </c>
      <c r="AK21" s="698" t="n">
        <f aca="false">IFERROR((AH21+(AI21-AJ21)/2)*INDEX('Facility Master'!R:R,MATCH(ICICI_TL_SNo,'Facility Master'!A:A,0))*(B21-B20)/DaysInYear,0)</f>
        <v>18.1060705479452</v>
      </c>
      <c r="AL21" s="698" t="n">
        <f aca="false">IFERROR(ROUND(MAX(AH21+AI21-AJ21,0),6),0)</f>
        <v>829.5</v>
      </c>
      <c r="AM21" s="500" t="n">
        <f aca="false">F21+K21+P21+Z21+AE21+AJ21</f>
        <v>45.2</v>
      </c>
      <c r="AN21" s="500" t="n">
        <f aca="false">G21+L21+Q21+AA21+AF21+AK21</f>
        <v>81.966176010274</v>
      </c>
      <c r="AO21" s="500" t="n">
        <f aca="false">AM21+AN21</f>
        <v>127.166176010274</v>
      </c>
      <c r="AP21" s="500" t="n">
        <f aca="false">H21+M21+R21+AB21+AG21+AL21</f>
        <v>3567.8625</v>
      </c>
    </row>
    <row r="22" customFormat="false" ht="15.75" hidden="false" customHeight="true" outlineLevel="0" collapsed="false">
      <c r="A22" s="699" t="n">
        <v>18</v>
      </c>
      <c r="B22" s="700" t="n">
        <v>46660</v>
      </c>
      <c r="C22" s="699" t="s">
        <v>682</v>
      </c>
      <c r="D22" s="701" t="n">
        <f aca="false">IFERROR(MAX(H21,0),0)</f>
        <v>1110.9375</v>
      </c>
      <c r="E22" s="701" t="n">
        <f aca="false">IFERROR(IF(AND(INDEX('Facility Master'!X:X,MATCH(UBI_RTL1_SNo,'Facility Master'!A:A,0))&lt;=B22,INDEX('Facility Master'!X:X,MATCH(UBI_RTL1_SNo,'Facility Master'!A:A,0))&gt;B21),INDEX('Facility Master'!K:K,MATCH(UBI_RTL1_SNo,'Facility Master'!A:A,0)),0),0)</f>
        <v>0</v>
      </c>
      <c r="F22" s="701" t="n">
        <f aca="false">IFERROR(IF(B22&lt;UBI_RTL1_RepStart,0,IF(B22&gt;UBI_RTL1_Maturity,0,IF(COUNTIFS($B$5:$B22,"&gt;="&amp;UBI_RTL1_RepStart,$B$5:$B22,"&lt;="&amp;UBI_RTL1_Maturity)&lt;=8,INDEX('Facility Master'!K:K,MATCH(UBI_RTL1_SNo,'Facility Master'!A:A,0))*0.0125,IF(COUNTIFS($B$5:$B22,"&gt;="&amp;UBI_RTL1_RepStart,$B$5:$B22,"&lt;="&amp;UBI_RTL1_Maturity)&lt;=48,INDEX('Facility Master'!K:K,MATCH(UBI_RTL1_SNo,'Facility Master'!A:A,0))*0.0225,0)))),0)</f>
        <v>14.0625</v>
      </c>
      <c r="G22" s="701" t="n">
        <f aca="false">IFERROR((D22+(E22-F22)/2)*INDEX('Facility Master'!R:R,MATCH(UBI_RTL1_SNo,'Facility Master'!A:A,0))*(B22-B21)/DaysInYear,0)</f>
        <v>26.1550171232877</v>
      </c>
      <c r="H22" s="701" t="n">
        <f aca="false">IFERROR(ROUND(MAX(D22+E22-F22,0),6),0)</f>
        <v>1096.875</v>
      </c>
      <c r="I22" s="701" t="n">
        <f aca="false">IFERROR(MAX(M21,0),0)</f>
        <v>233.05</v>
      </c>
      <c r="J22" s="701" t="n">
        <f aca="false">IFERROR(IF(AND(INDEX('Facility Master'!X:X,MATCH(UBI_RTL2_SNo,'Facility Master'!A:A,0))&lt;=B22,INDEX('Facility Master'!X:X,MATCH(UBI_RTL2_SNo,'Facility Master'!A:A,0))&gt;B21),INDEX('Facility Master'!K:K,MATCH(UBI_RTL2_SNo,'Facility Master'!A:A,0)),0),0)</f>
        <v>0</v>
      </c>
      <c r="K22" s="701" t="n">
        <f aca="false">IFERROR(IF(B22&lt;UBI_RTL2_RepStart,0,IF(B22&gt;UBI_RTL2_Maturity,0,IF(COUNTIFS($B$5:$B22,"&gt;="&amp;UBI_RTL2_RepStart,$B$5:$B22,"&lt;="&amp;UBI_RTL2_Maturity)&lt;=8,INDEX('Facility Master'!K:K,MATCH(UBI_RTL2_SNo,'Facility Master'!A:A,0))*0.0125,IF(COUNTIFS($B$5:$B22,"&gt;="&amp;UBI_RTL2_RepStart,$B$5:$B22,"&lt;="&amp;UBI_RTL2_Maturity)&lt;=48,INDEX('Facility Master'!K:K,MATCH(UBI_RTL2_SNo,'Facility Master'!A:A,0))*0.0225,0)))),0)</f>
        <v>2.95</v>
      </c>
      <c r="L22" s="701" t="n">
        <f aca="false">IFERROR((I22+(J22-K22)/2)*INDEX('Facility Master'!R:R,MATCH(UBI_RTL2_SNo,'Facility Master'!A:A,0))*(B22-B21)/DaysInYear,0)</f>
        <v>5.31163260273973</v>
      </c>
      <c r="M22" s="701" t="n">
        <f aca="false">IFERROR(ROUND(MAX(I22+J22-K22,0),6),0)</f>
        <v>230.1</v>
      </c>
      <c r="N22" s="701" t="n">
        <f aca="false">IFERROR(MAX(R21,0),0)</f>
        <v>229.125</v>
      </c>
      <c r="O22" s="701" t="n">
        <f aca="false">IFERROR(IF(AND(INDEX('Facility Master'!X:X,MATCH(IB_TL_SNo,'Facility Master'!A:A,0))&lt;=B22,INDEX('Facility Master'!X:X,MATCH(IB_TL_SNo,'Facility Master'!A:A,0))&gt;B21),INDEX('Facility Master'!K:K,MATCH(IB_TL_SNo,'Facility Master'!A:A,0)),0),0)</f>
        <v>0</v>
      </c>
      <c r="P22" s="701" t="n">
        <f aca="false">IFERROR(IF(B22&lt;IB_TL_RepStart,0,IF(B22&gt;IB_TL_Maturity,0,IF(COUNTIFS($B$5:$B22,"&gt;="&amp;IB_TL_RepStart,$B$5:$B22,"&lt;="&amp;IB_TL_Maturity)&lt;=8,INDEX('Facility Master'!K:K,MATCH(IB_TL_SNo,'Facility Master'!A:A,0))*0.0125,IF(COUNTIFS($B$5:$B22,"&gt;="&amp;IB_TL_RepStart,$B$5:$B22,"&lt;="&amp;IB_TL_Maturity)&lt;=48,INDEX('Facility Master'!K:K,MATCH(IB_TL_SNo,'Facility Master'!A:A,0))*0.0225,0)))),0)</f>
        <v>2.9375</v>
      </c>
      <c r="Q22" s="701" t="n">
        <f aca="false">IFERROR((N22+(O22-P22)/2)*INDEX('Facility Master'!R:R,MATCH(IB_TL_SNo,'Facility Master'!A:A,0))*(B22-B21)/DaysInYear,0)</f>
        <v>5.39389383561644</v>
      </c>
      <c r="R22" s="701" t="n">
        <f aca="false">IFERROR(ROUND(MAX(N22+O22-P22,0),6),0)</f>
        <v>226.1875</v>
      </c>
      <c r="S22" s="702" t="n">
        <f aca="false">IFERROR(MAX(W21,0),0)</f>
        <v>0</v>
      </c>
      <c r="T22" s="702" t="n">
        <f aca="false">IFERROR(IF(AND(INDEX('Facility Master'!X:X,MATCH(RBL_TL_SNo,'Facility Master'!A:A,0))&lt;=B22,INDEX('Facility Master'!X:X,MATCH(RBL_TL_SNo,'Facility Master'!A:A,0))&gt;B21),INDEX('Facility Master'!K:K,MATCH(RBL_TL_SNo,'Facility Master'!A:A,0)),0),0)</f>
        <v>0</v>
      </c>
      <c r="U22" s="702" t="n">
        <f aca="false">IFERROR(IF(AND(RBL_TL_Maturity&lt;=B22,RBL_TL_Maturity&gt;B21),INDEX('Facility Master'!K:K,MATCH(RBL_TL_SNo,'Facility Master'!A:A,0)),0),0)</f>
        <v>0</v>
      </c>
      <c r="V22" s="702" t="n">
        <f aca="false">IFERROR((S22+(T22-U22)/2)*INDEX('Facility Master'!R:R,MATCH(RBL_TL_SNo,'Facility Master'!A:A,0))*(B22-B21)/DaysInYear,0)</f>
        <v>0</v>
      </c>
      <c r="W22" s="702" t="n">
        <f aca="false">IFERROR(ROUND(MAX(S22+T22-U22,0),6),0)</f>
        <v>0</v>
      </c>
      <c r="X22" s="701" t="n">
        <f aca="false">IFERROR(MAX(AB21,0),0)</f>
        <v>641.875</v>
      </c>
      <c r="Y22" s="701" t="n">
        <f aca="false">IFERROR(IF(AND(INDEX('Facility Master'!X:X,MATCH(YBL_TL_SNo,'Facility Master'!A:A,0))&lt;=B22,INDEX('Facility Master'!X:X,MATCH(YBL_TL_SNo,'Facility Master'!A:A,0))&gt;B21),INDEX('Facility Master'!K:K,MATCH(YBL_TL_SNo,'Facility Master'!A:A,0)),0),0)</f>
        <v>0</v>
      </c>
      <c r="Z22" s="701" t="n">
        <f aca="false">IFERROR(IF(B22&lt;YBL_TL_RepStart,0,IF(B22&gt;YBL_TL_Maturity,0,IF(COUNTIFS($B$5:$B22,"&gt;="&amp;YBL_TL_RepStart,$B$5:$B22,"&lt;="&amp;YBL_TL_Maturity)&lt;=8,INDEX('Facility Master'!K:K,MATCH(YBL_TL_SNo,'Facility Master'!A:A,0))*0.0125,IF(COUNTIFS($B$5:$B22,"&gt;="&amp;YBL_TL_RepStart,$B$5:$B22,"&lt;="&amp;YBL_TL_Maturity)&lt;=48,INDEX('Facility Master'!K:K,MATCH(YBL_TL_SNo,'Facility Master'!A:A,0))*0.0225,0)))),0)</f>
        <v>8.125</v>
      </c>
      <c r="AA22" s="701" t="n">
        <f aca="false">IFERROR((X22+(Y22-Z22)/2)*INDEX('Facility Master'!R:R,MATCH(YBL_TL_SNo,'Facility Master'!A:A,0))*(B22-B21)/DaysInYear,0)</f>
        <v>15.3529332191781</v>
      </c>
      <c r="AB22" s="701" t="n">
        <f aca="false">IFERROR(ROUND(MAX(X22+Y22-Z22,0),6),0)</f>
        <v>633.75</v>
      </c>
      <c r="AC22" s="701" t="n">
        <f aca="false">IFERROR(MAX(AG21,0),0)</f>
        <v>523.375</v>
      </c>
      <c r="AD22" s="701" t="n">
        <f aca="false">IFERROR(IF(AND(INDEX('Facility Master'!X:X,MATCH(IDFC_TL_SNo,'Facility Master'!A:A,0))&lt;=B22,INDEX('Facility Master'!X:X,MATCH(IDFC_TL_SNo,'Facility Master'!A:A,0))&gt;B21),INDEX('Facility Master'!K:K,MATCH(IDFC_TL_SNo,'Facility Master'!A:A,0)),0),0)</f>
        <v>0</v>
      </c>
      <c r="AE22" s="701" t="n">
        <f aca="false">IFERROR(IF(B22&lt;IDFC_TL_RepStart,0,IF(B22&gt;IDFC_TL_Maturity,0,IF(COUNTIFS($B$5:$B22,"&gt;="&amp;IDFC_TL_RepStart,$B$5:$B22,"&lt;="&amp;IDFC_TL_Maturity)&lt;=8,INDEX('Facility Master'!K:K,MATCH(IDFC_TL_SNo,'Facility Master'!A:A,0))*0.0125,IF(COUNTIFS($B$5:$B22,"&gt;="&amp;IDFC_TL_RepStart,$B$5:$B22,"&lt;="&amp;IDFC_TL_Maturity)&lt;=48,INDEX('Facility Master'!K:K,MATCH(IDFC_TL_SNo,'Facility Master'!A:A,0))*0.0225,0)))),0)</f>
        <v>6.625</v>
      </c>
      <c r="AF22" s="701" t="n">
        <f aca="false">IFERROR((AC22+(AD22-AE22)/2)*INDEX('Facility Master'!R:R,MATCH(IDFC_TL_SNo,'Facility Master'!A:A,0))*(B22-B21)/DaysInYear,0)</f>
        <v>11.5354136986301</v>
      </c>
      <c r="AG22" s="701" t="n">
        <f aca="false">IFERROR(ROUND(MAX(AC22+AD22-AE22,0),6),0)</f>
        <v>516.75</v>
      </c>
      <c r="AH22" s="703" t="n">
        <f aca="false">IFERROR(MAX(AL21,0),0)</f>
        <v>829.5</v>
      </c>
      <c r="AI22" s="703" t="n">
        <f aca="false">IFERROR(IF(AND(INDEX('Facility Master'!X:X,MATCH(ICICI_TL_SNo,'Facility Master'!A:A,0))&lt;=B22,INDEX('Facility Master'!X:X,MATCH(ICICI_TL_SNo,'Facility Master'!A:A,0))&gt;B21),INDEX('Facility Master'!K:K,MATCH(ICICI_TL_SNo,'Facility Master'!A:A,0)),0),0)</f>
        <v>0</v>
      </c>
      <c r="AJ22" s="703" t="n">
        <f aca="false">IFERROR(IF(B22&lt;ICICI_TL_RepStart,0,IF(B22&gt;ICICI_TL_Maturity,0,IF(COUNTIFS($B$5:$B22,"&gt;="&amp;ICICI_TL_RepStart,$B$5:$B22,"&lt;="&amp;ICICI_TL_Maturity)&lt;=8,INDEX('Facility Master'!K:K,MATCH(ICICI_TL_SNo,'Facility Master'!A:A,0))*0.0125,IF(COUNTIFS($B$5:$B22,"&gt;="&amp;ICICI_TL_RepStart,$B$5:$B22,"&lt;="&amp;ICICI_TL_Maturity)&lt;=48,INDEX('Facility Master'!K:K,MATCH(ICICI_TL_SNo,'Facility Master'!A:A,0))*0.0225,0)))),0)</f>
        <v>10.5</v>
      </c>
      <c r="AK22" s="703" t="n">
        <f aca="false">IFERROR((AH22+(AI22-AJ22)/2)*INDEX('Facility Master'!R:R,MATCH(ICICI_TL_SNo,'Facility Master'!A:A,0))*(B22-B21)/DaysInYear,0)</f>
        <v>18.0747863013699</v>
      </c>
      <c r="AL22" s="703" t="n">
        <f aca="false">IFERROR(ROUND(MAX(AH22+AI22-AJ22,0),6),0)</f>
        <v>819</v>
      </c>
      <c r="AM22" s="701" t="n">
        <f aca="false">F22+K22+P22+Z22+AE22+AJ22</f>
        <v>45.2</v>
      </c>
      <c r="AN22" s="701" t="n">
        <f aca="false">G22+L22+Q22+AA22+AF22+AK22</f>
        <v>81.8236767808219</v>
      </c>
      <c r="AO22" s="701" t="n">
        <f aca="false">AM22+AN22</f>
        <v>127.023676780822</v>
      </c>
      <c r="AP22" s="701" t="n">
        <f aca="false">H22+M22+R22+AB22+AG22+AL22</f>
        <v>3522.6625</v>
      </c>
    </row>
    <row r="23" customFormat="false" ht="15.75" hidden="false" customHeight="true" outlineLevel="0" collapsed="false">
      <c r="A23" s="496" t="n">
        <v>19</v>
      </c>
      <c r="B23" s="696" t="n">
        <v>46752</v>
      </c>
      <c r="C23" s="496" t="s">
        <v>683</v>
      </c>
      <c r="D23" s="500" t="n">
        <f aca="false">IFERROR(MAX(H22,0),0)</f>
        <v>1096.875</v>
      </c>
      <c r="E23" s="500" t="n">
        <f aca="false">IFERROR(IF(AND(INDEX('Facility Master'!X:X,MATCH(UBI_RTL1_SNo,'Facility Master'!A:A,0))&lt;=B23,INDEX('Facility Master'!X:X,MATCH(UBI_RTL1_SNo,'Facility Master'!A:A,0))&gt;B22),INDEX('Facility Master'!K:K,MATCH(UBI_RTL1_SNo,'Facility Master'!A:A,0)),0),0)</f>
        <v>0</v>
      </c>
      <c r="F23" s="500" t="n">
        <f aca="false">IFERROR(IF(B23&lt;UBI_RTL1_RepStart,0,IF(B23&gt;UBI_RTL1_Maturity,0,IF(COUNTIFS($B$5:$B23,"&gt;="&amp;UBI_RTL1_RepStart,$B$5:$B23,"&lt;="&amp;UBI_RTL1_Maturity)&lt;=8,INDEX('Facility Master'!K:K,MATCH(UBI_RTL1_SNo,'Facility Master'!A:A,0))*0.0125,IF(COUNTIFS($B$5:$B23,"&gt;="&amp;UBI_RTL1_RepStart,$B$5:$B23,"&lt;="&amp;UBI_RTL1_Maturity)&lt;=48,INDEX('Facility Master'!K:K,MATCH(UBI_RTL1_SNo,'Facility Master'!A:A,0))*0.0225,0)))),0)</f>
        <v>14.0625</v>
      </c>
      <c r="G23" s="500" t="n">
        <f aca="false">IFERROR((D23+(E23-F23)/2)*INDEX('Facility Master'!R:R,MATCH(UBI_RTL1_SNo,'Facility Master'!A:A,0))*(B23-B22)/DaysInYear,0)</f>
        <v>25.8218321917808</v>
      </c>
      <c r="H23" s="500" t="n">
        <f aca="false">IFERROR(ROUND(MAX(D23+E23-F23,0),6),0)</f>
        <v>1082.8125</v>
      </c>
      <c r="I23" s="500" t="n">
        <f aca="false">IFERROR(MAX(M22,0),0)</f>
        <v>230.1</v>
      </c>
      <c r="J23" s="500" t="n">
        <f aca="false">IFERROR(IF(AND(INDEX('Facility Master'!X:X,MATCH(UBI_RTL2_SNo,'Facility Master'!A:A,0))&lt;=B23,INDEX('Facility Master'!X:X,MATCH(UBI_RTL2_SNo,'Facility Master'!A:A,0))&gt;B22),INDEX('Facility Master'!K:K,MATCH(UBI_RTL2_SNo,'Facility Master'!A:A,0)),0),0)</f>
        <v>0</v>
      </c>
      <c r="K23" s="500" t="n">
        <f aca="false">IFERROR(IF(B23&lt;UBI_RTL2_RepStart,0,IF(B23&gt;UBI_RTL2_Maturity,0,IF(COUNTIFS($B$5:$B23,"&gt;="&amp;UBI_RTL2_RepStart,$B$5:$B23,"&lt;="&amp;UBI_RTL2_Maturity)&lt;=8,INDEX('Facility Master'!K:K,MATCH(UBI_RTL2_SNo,'Facility Master'!A:A,0))*0.0125,IF(COUNTIFS($B$5:$B23,"&gt;="&amp;UBI_RTL2_RepStart,$B$5:$B23,"&lt;="&amp;UBI_RTL2_Maturity)&lt;=48,INDEX('Facility Master'!K:K,MATCH(UBI_RTL2_SNo,'Facility Master'!A:A,0))*0.0225,0)))),0)</f>
        <v>2.95</v>
      </c>
      <c r="L23" s="500" t="n">
        <f aca="false">IFERROR((I23+(J23-K23)/2)*INDEX('Facility Master'!R:R,MATCH(UBI_RTL2_SNo,'Facility Master'!A:A,0))*(B23-B22)/DaysInYear,0)</f>
        <v>5.24396849315068</v>
      </c>
      <c r="M23" s="500" t="n">
        <f aca="false">IFERROR(ROUND(MAX(I23+J23-K23,0),6),0)</f>
        <v>227.15</v>
      </c>
      <c r="N23" s="500" t="n">
        <f aca="false">IFERROR(MAX(R22,0),0)</f>
        <v>226.1875</v>
      </c>
      <c r="O23" s="500" t="n">
        <f aca="false">IFERROR(IF(AND(INDEX('Facility Master'!X:X,MATCH(IB_TL_SNo,'Facility Master'!A:A,0))&lt;=B23,INDEX('Facility Master'!X:X,MATCH(IB_TL_SNo,'Facility Master'!A:A,0))&gt;B22),INDEX('Facility Master'!K:K,MATCH(IB_TL_SNo,'Facility Master'!A:A,0)),0),0)</f>
        <v>0</v>
      </c>
      <c r="P23" s="500" t="n">
        <f aca="false">IFERROR(IF(B23&lt;IB_TL_RepStart,0,IF(B23&gt;IB_TL_Maturity,0,IF(COUNTIFS($B$5:$B23,"&gt;="&amp;IB_TL_RepStart,$B$5:$B23,"&lt;="&amp;IB_TL_Maturity)&lt;=8,INDEX('Facility Master'!K:K,MATCH(IB_TL_SNo,'Facility Master'!A:A,0))*0.0125,IF(COUNTIFS($B$5:$B23,"&gt;="&amp;IB_TL_RepStart,$B$5:$B23,"&lt;="&amp;IB_TL_Maturity)&lt;=48,INDEX('Facility Master'!K:K,MATCH(IB_TL_SNo,'Facility Master'!A:A,0))*0.0225,0)))),0)</f>
        <v>2.9375</v>
      </c>
      <c r="Q23" s="500" t="n">
        <f aca="false">IFERROR((N23+(O23-P23)/2)*INDEX('Facility Master'!R:R,MATCH(IB_TL_SNo,'Facility Master'!A:A,0))*(B23-B22)/DaysInYear,0)</f>
        <v>5.32429520547945</v>
      </c>
      <c r="R23" s="500" t="n">
        <f aca="false">IFERROR(ROUND(MAX(N23+O23-P23,0),6),0)</f>
        <v>223.25</v>
      </c>
      <c r="S23" s="697" t="n">
        <f aca="false">IFERROR(MAX(W22,0),0)</f>
        <v>0</v>
      </c>
      <c r="T23" s="697" t="n">
        <f aca="false">IFERROR(IF(AND(INDEX('Facility Master'!X:X,MATCH(RBL_TL_SNo,'Facility Master'!A:A,0))&lt;=B23,INDEX('Facility Master'!X:X,MATCH(RBL_TL_SNo,'Facility Master'!A:A,0))&gt;B22),INDEX('Facility Master'!K:K,MATCH(RBL_TL_SNo,'Facility Master'!A:A,0)),0),0)</f>
        <v>0</v>
      </c>
      <c r="U23" s="697" t="n">
        <f aca="false">IFERROR(IF(AND(RBL_TL_Maturity&lt;=B23,RBL_TL_Maturity&gt;B22),INDEX('Facility Master'!K:K,MATCH(RBL_TL_SNo,'Facility Master'!A:A,0)),0),0)</f>
        <v>0</v>
      </c>
      <c r="V23" s="697" t="n">
        <f aca="false">IFERROR((S23+(T23-U23)/2)*INDEX('Facility Master'!R:R,MATCH(RBL_TL_SNo,'Facility Master'!A:A,0))*(B23-B22)/DaysInYear,0)</f>
        <v>0</v>
      </c>
      <c r="W23" s="697" t="n">
        <f aca="false">IFERROR(ROUND(MAX(S23+T23-U23,0),6),0)</f>
        <v>0</v>
      </c>
      <c r="X23" s="500" t="n">
        <f aca="false">IFERROR(MAX(AB22,0),0)</f>
        <v>633.75</v>
      </c>
      <c r="Y23" s="500" t="n">
        <f aca="false">IFERROR(IF(AND(INDEX('Facility Master'!X:X,MATCH(YBL_TL_SNo,'Facility Master'!A:A,0))&lt;=B23,INDEX('Facility Master'!X:X,MATCH(YBL_TL_SNo,'Facility Master'!A:A,0))&gt;B22),INDEX('Facility Master'!K:K,MATCH(YBL_TL_SNo,'Facility Master'!A:A,0)),0),0)</f>
        <v>0</v>
      </c>
      <c r="Z23" s="500" t="n">
        <f aca="false">IFERROR(IF(B23&lt;YBL_TL_RepStart,0,IF(B23&gt;YBL_TL_Maturity,0,IF(COUNTIFS($B$5:$B23,"&gt;="&amp;YBL_TL_RepStart,$B$5:$B23,"&lt;="&amp;YBL_TL_Maturity)&lt;=8,INDEX('Facility Master'!K:K,MATCH(YBL_TL_SNo,'Facility Master'!A:A,0))*0.0125,IF(COUNTIFS($B$5:$B23,"&gt;="&amp;YBL_TL_RepStart,$B$5:$B23,"&lt;="&amp;YBL_TL_Maturity)&lt;=48,INDEX('Facility Master'!K:K,MATCH(YBL_TL_SNo,'Facility Master'!A:A,0))*0.0225,0)))),0)</f>
        <v>8.125</v>
      </c>
      <c r="AA23" s="500" t="n">
        <f aca="false">IFERROR((X23+(Y23-Z23)/2)*INDEX('Facility Master'!R:R,MATCH(YBL_TL_SNo,'Facility Master'!A:A,0))*(B23-B22)/DaysInYear,0)</f>
        <v>15.1573544520548</v>
      </c>
      <c r="AB23" s="500" t="n">
        <f aca="false">IFERROR(ROUND(MAX(X23+Y23-Z23,0),6),0)</f>
        <v>625.625</v>
      </c>
      <c r="AC23" s="500" t="n">
        <f aca="false">IFERROR(MAX(AG22,0),0)</f>
        <v>516.75</v>
      </c>
      <c r="AD23" s="500" t="n">
        <f aca="false">IFERROR(IF(AND(INDEX('Facility Master'!X:X,MATCH(IDFC_TL_SNo,'Facility Master'!A:A,0))&lt;=B23,INDEX('Facility Master'!X:X,MATCH(IDFC_TL_SNo,'Facility Master'!A:A,0))&gt;B22),INDEX('Facility Master'!K:K,MATCH(IDFC_TL_SNo,'Facility Master'!A:A,0)),0),0)</f>
        <v>0</v>
      </c>
      <c r="AE23" s="500" t="n">
        <f aca="false">IFERROR(IF(B23&lt;IDFC_TL_RepStart,0,IF(B23&gt;IDFC_TL_Maturity,0,IF(COUNTIFS($B$5:$B23,"&gt;="&amp;IDFC_TL_RepStart,$B$5:$B23,"&lt;="&amp;IDFC_TL_Maturity)&lt;=8,INDEX('Facility Master'!K:K,MATCH(IDFC_TL_SNo,'Facility Master'!A:A,0))*0.0125,IF(COUNTIFS($B$5:$B23,"&gt;="&amp;IDFC_TL_RepStart,$B$5:$B23,"&lt;="&amp;IDFC_TL_Maturity)&lt;=48,INDEX('Facility Master'!K:K,MATCH(IDFC_TL_SNo,'Facility Master'!A:A,0))*0.0225,0)))),0)</f>
        <v>6.625</v>
      </c>
      <c r="AF23" s="500" t="n">
        <f aca="false">IFERROR((AC23+(AD23-AE23)/2)*INDEX('Facility Master'!R:R,MATCH(IDFC_TL_SNo,'Facility Master'!A:A,0))*(B23-B22)/DaysInYear,0)</f>
        <v>11.3884657534247</v>
      </c>
      <c r="AG23" s="500" t="n">
        <f aca="false">IFERROR(ROUND(MAX(AC23+AD23-AE23,0),6),0)</f>
        <v>510.125</v>
      </c>
      <c r="AH23" s="698" t="n">
        <f aca="false">IFERROR(MAX(AL22,0),0)</f>
        <v>819</v>
      </c>
      <c r="AI23" s="698" t="n">
        <f aca="false">IFERROR(IF(AND(INDEX('Facility Master'!X:X,MATCH(ICICI_TL_SNo,'Facility Master'!A:A,0))&lt;=B23,INDEX('Facility Master'!X:X,MATCH(ICICI_TL_SNo,'Facility Master'!A:A,0))&gt;B22),INDEX('Facility Master'!K:K,MATCH(ICICI_TL_SNo,'Facility Master'!A:A,0)),0),0)</f>
        <v>0</v>
      </c>
      <c r="AJ23" s="698" t="n">
        <f aca="false">IFERROR(IF(B23&lt;ICICI_TL_RepStart,0,IF(B23&gt;ICICI_TL_Maturity,0,IF(COUNTIFS($B$5:$B23,"&gt;="&amp;ICICI_TL_RepStart,$B$5:$B23,"&lt;="&amp;ICICI_TL_Maturity)&lt;=8,INDEX('Facility Master'!K:K,MATCH(ICICI_TL_SNo,'Facility Master'!A:A,0))*0.0125,IF(COUNTIFS($B$5:$B23,"&gt;="&amp;ICICI_TL_RepStart,$B$5:$B23,"&lt;="&amp;ICICI_TL_Maturity)&lt;=48,INDEX('Facility Master'!K:K,MATCH(ICICI_TL_SNo,'Facility Master'!A:A,0))*0.0225,0)))),0)</f>
        <v>10.5</v>
      </c>
      <c r="AK23" s="698" t="n">
        <f aca="false">IFERROR((AH23+(AI23-AJ23)/2)*INDEX('Facility Master'!R:R,MATCH(ICICI_TL_SNo,'Facility Master'!A:A,0))*(B23-B22)/DaysInYear,0)</f>
        <v>17.8445342465753</v>
      </c>
      <c r="AL23" s="698" t="n">
        <f aca="false">IFERROR(ROUND(MAX(AH23+AI23-AJ23,0),6),0)</f>
        <v>808.5</v>
      </c>
      <c r="AM23" s="500" t="n">
        <f aca="false">F23+K23+P23+Z23+AE23+AJ23</f>
        <v>45.2</v>
      </c>
      <c r="AN23" s="500" t="n">
        <f aca="false">G23+L23+Q23+AA23+AF23+AK23</f>
        <v>80.7804503424657</v>
      </c>
      <c r="AO23" s="500" t="n">
        <f aca="false">AM23+AN23</f>
        <v>125.980450342466</v>
      </c>
      <c r="AP23" s="500" t="n">
        <f aca="false">H23+M23+R23+AB23+AG23+AL23</f>
        <v>3477.4625</v>
      </c>
    </row>
    <row r="24" customFormat="false" ht="15.75" hidden="false" customHeight="true" outlineLevel="0" collapsed="false">
      <c r="A24" s="699" t="n">
        <v>20</v>
      </c>
      <c r="B24" s="700" t="n">
        <v>46843</v>
      </c>
      <c r="C24" s="699" t="s">
        <v>684</v>
      </c>
      <c r="D24" s="701" t="n">
        <f aca="false">IFERROR(MAX(H23,0),0)</f>
        <v>1082.8125</v>
      </c>
      <c r="E24" s="701" t="n">
        <f aca="false">IFERROR(IF(AND(INDEX('Facility Master'!X:X,MATCH(UBI_RTL1_SNo,'Facility Master'!A:A,0))&lt;=B24,INDEX('Facility Master'!X:X,MATCH(UBI_RTL1_SNo,'Facility Master'!A:A,0))&gt;B23),INDEX('Facility Master'!K:K,MATCH(UBI_RTL1_SNo,'Facility Master'!A:A,0)),0),0)</f>
        <v>0</v>
      </c>
      <c r="F24" s="701" t="n">
        <f aca="false">IFERROR(IF(B24&lt;UBI_RTL1_RepStart,0,IF(B24&gt;UBI_RTL1_Maturity,0,IF(COUNTIFS($B$5:$B24,"&gt;="&amp;UBI_RTL1_RepStart,$B$5:$B24,"&lt;="&amp;UBI_RTL1_Maturity)&lt;=8,INDEX('Facility Master'!K:K,MATCH(UBI_RTL1_SNo,'Facility Master'!A:A,0))*0.0125,IF(COUNTIFS($B$5:$B24,"&gt;="&amp;UBI_RTL1_RepStart,$B$5:$B24,"&lt;="&amp;UBI_RTL1_Maturity)&lt;=48,INDEX('Facility Master'!K:K,MATCH(UBI_RTL1_SNo,'Facility Master'!A:A,0))*0.0225,0)))),0)</f>
        <v>14.0625</v>
      </c>
      <c r="G24" s="701" t="n">
        <f aca="false">IFERROR((D24+(E24-F24)/2)*INDEX('Facility Master'!R:R,MATCH(UBI_RTL1_SNo,'Facility Master'!A:A,0))*(B24-B23)/DaysInYear,0)</f>
        <v>25.2115967465753</v>
      </c>
      <c r="H24" s="701" t="n">
        <f aca="false">IFERROR(ROUND(MAX(D24+E24-F24,0),6),0)</f>
        <v>1068.75</v>
      </c>
      <c r="I24" s="701" t="n">
        <f aca="false">IFERROR(MAX(M23,0),0)</f>
        <v>227.15</v>
      </c>
      <c r="J24" s="701" t="n">
        <f aca="false">IFERROR(IF(AND(INDEX('Facility Master'!X:X,MATCH(UBI_RTL2_SNo,'Facility Master'!A:A,0))&lt;=B24,INDEX('Facility Master'!X:X,MATCH(UBI_RTL2_SNo,'Facility Master'!A:A,0))&gt;B23),INDEX('Facility Master'!K:K,MATCH(UBI_RTL2_SNo,'Facility Master'!A:A,0)),0),0)</f>
        <v>0</v>
      </c>
      <c r="K24" s="701" t="n">
        <f aca="false">IFERROR(IF(B24&lt;UBI_RTL2_RepStart,0,IF(B24&gt;UBI_RTL2_Maturity,0,IF(COUNTIFS($B$5:$B24,"&gt;="&amp;UBI_RTL2_RepStart,$B$5:$B24,"&lt;="&amp;UBI_RTL2_Maturity)&lt;=8,INDEX('Facility Master'!K:K,MATCH(UBI_RTL2_SNo,'Facility Master'!A:A,0))*0.0125,IF(COUNTIFS($B$5:$B24,"&gt;="&amp;UBI_RTL2_RepStart,$B$5:$B24,"&lt;="&amp;UBI_RTL2_Maturity)&lt;=48,INDEX('Facility Master'!K:K,MATCH(UBI_RTL2_SNo,'Facility Master'!A:A,0))*0.0225,0)))),0)</f>
        <v>2.95</v>
      </c>
      <c r="L24" s="701" t="n">
        <f aca="false">IFERROR((I24+(J24-K24)/2)*INDEX('Facility Master'!R:R,MATCH(UBI_RTL2_SNo,'Facility Master'!A:A,0))*(B24-B23)/DaysInYear,0)</f>
        <v>5.12004020547945</v>
      </c>
      <c r="M24" s="701" t="n">
        <f aca="false">IFERROR(ROUND(MAX(I24+J24-K24,0),6),0)</f>
        <v>224.2</v>
      </c>
      <c r="N24" s="701" t="n">
        <f aca="false">IFERROR(MAX(R23,0),0)</f>
        <v>223.25</v>
      </c>
      <c r="O24" s="701" t="n">
        <f aca="false">IFERROR(IF(AND(INDEX('Facility Master'!X:X,MATCH(IB_TL_SNo,'Facility Master'!A:A,0))&lt;=B24,INDEX('Facility Master'!X:X,MATCH(IB_TL_SNo,'Facility Master'!A:A,0))&gt;B23),INDEX('Facility Master'!K:K,MATCH(IB_TL_SNo,'Facility Master'!A:A,0)),0),0)</f>
        <v>0</v>
      </c>
      <c r="P24" s="701" t="n">
        <f aca="false">IFERROR(IF(B24&lt;IB_TL_RepStart,0,IF(B24&gt;IB_TL_Maturity,0,IF(COUNTIFS($B$5:$B24,"&gt;="&amp;IB_TL_RepStart,$B$5:$B24,"&lt;="&amp;IB_TL_Maturity)&lt;=8,INDEX('Facility Master'!K:K,MATCH(IB_TL_SNo,'Facility Master'!A:A,0))*0.0125,IF(COUNTIFS($B$5:$B24,"&gt;="&amp;IB_TL_RepStart,$B$5:$B24,"&lt;="&amp;IB_TL_Maturity)&lt;=48,INDEX('Facility Master'!K:K,MATCH(IB_TL_SNo,'Facility Master'!A:A,0))*0.0225,0)))),0)</f>
        <v>2.9375</v>
      </c>
      <c r="Q24" s="701" t="n">
        <f aca="false">IFERROR((N24+(O24-P24)/2)*INDEX('Facility Master'!R:R,MATCH(IB_TL_SNo,'Facility Master'!A:A,0))*(B24-B23)/DaysInYear,0)</f>
        <v>5.19758030821918</v>
      </c>
      <c r="R24" s="701" t="n">
        <f aca="false">IFERROR(ROUND(MAX(N24+O24-P24,0),6),0)</f>
        <v>220.3125</v>
      </c>
      <c r="S24" s="702" t="n">
        <f aca="false">IFERROR(MAX(W23,0),0)</f>
        <v>0</v>
      </c>
      <c r="T24" s="702" t="n">
        <f aca="false">IFERROR(IF(AND(INDEX('Facility Master'!X:X,MATCH(RBL_TL_SNo,'Facility Master'!A:A,0))&lt;=B24,INDEX('Facility Master'!X:X,MATCH(RBL_TL_SNo,'Facility Master'!A:A,0))&gt;B23),INDEX('Facility Master'!K:K,MATCH(RBL_TL_SNo,'Facility Master'!A:A,0)),0),0)</f>
        <v>0</v>
      </c>
      <c r="U24" s="702" t="n">
        <f aca="false">IFERROR(IF(AND(RBL_TL_Maturity&lt;=B24,RBL_TL_Maturity&gt;B23),INDEX('Facility Master'!K:K,MATCH(RBL_TL_SNo,'Facility Master'!A:A,0)),0),0)</f>
        <v>0</v>
      </c>
      <c r="V24" s="702" t="n">
        <f aca="false">IFERROR((S24+(T24-U24)/2)*INDEX('Facility Master'!R:R,MATCH(RBL_TL_SNo,'Facility Master'!A:A,0))*(B24-B23)/DaysInYear,0)</f>
        <v>0</v>
      </c>
      <c r="W24" s="702" t="n">
        <f aca="false">IFERROR(ROUND(MAX(S24+T24-U24,0),6),0)</f>
        <v>0</v>
      </c>
      <c r="X24" s="701" t="n">
        <f aca="false">IFERROR(MAX(AB23,0),0)</f>
        <v>625.625</v>
      </c>
      <c r="Y24" s="701" t="n">
        <f aca="false">IFERROR(IF(AND(INDEX('Facility Master'!X:X,MATCH(YBL_TL_SNo,'Facility Master'!A:A,0))&lt;=B24,INDEX('Facility Master'!X:X,MATCH(YBL_TL_SNo,'Facility Master'!A:A,0))&gt;B23),INDEX('Facility Master'!K:K,MATCH(YBL_TL_SNo,'Facility Master'!A:A,0)),0),0)</f>
        <v>0</v>
      </c>
      <c r="Z24" s="701" t="n">
        <f aca="false">IFERROR(IF(B24&lt;YBL_TL_RepStart,0,IF(B24&gt;YBL_TL_Maturity,0,IF(COUNTIFS($B$5:$B24,"&gt;="&amp;YBL_TL_RepStart,$B$5:$B24,"&lt;="&amp;YBL_TL_Maturity)&lt;=8,INDEX('Facility Master'!K:K,MATCH(YBL_TL_SNo,'Facility Master'!A:A,0))*0.0125,IF(COUNTIFS($B$5:$B24,"&gt;="&amp;YBL_TL_RepStart,$B$5:$B24,"&lt;="&amp;YBL_TL_Maturity)&lt;=48,INDEX('Facility Master'!K:K,MATCH(YBL_TL_SNo,'Facility Master'!A:A,0))*0.0225,0)))),0)</f>
        <v>8.125</v>
      </c>
      <c r="AA24" s="701" t="n">
        <f aca="false">IFERROR((X24+(Y24-Z24)/2)*INDEX('Facility Master'!R:R,MATCH(YBL_TL_SNo,'Facility Master'!A:A,0))*(B24-B23)/DaysInYear,0)</f>
        <v>14.7991476883562</v>
      </c>
      <c r="AB24" s="701" t="n">
        <f aca="false">IFERROR(ROUND(MAX(X24+Y24-Z24,0),6),0)</f>
        <v>617.5</v>
      </c>
      <c r="AC24" s="701" t="n">
        <f aca="false">IFERROR(MAX(AG23,0),0)</f>
        <v>510.125</v>
      </c>
      <c r="AD24" s="701" t="n">
        <f aca="false">IFERROR(IF(AND(INDEX('Facility Master'!X:X,MATCH(IDFC_TL_SNo,'Facility Master'!A:A,0))&lt;=B24,INDEX('Facility Master'!X:X,MATCH(IDFC_TL_SNo,'Facility Master'!A:A,0))&gt;B23),INDEX('Facility Master'!K:K,MATCH(IDFC_TL_SNo,'Facility Master'!A:A,0)),0),0)</f>
        <v>0</v>
      </c>
      <c r="AE24" s="701" t="n">
        <f aca="false">IFERROR(IF(B24&lt;IDFC_TL_RepStart,0,IF(B24&gt;IDFC_TL_Maturity,0,IF(COUNTIFS($B$5:$B24,"&gt;="&amp;IDFC_TL_RepStart,$B$5:$B24,"&lt;="&amp;IDFC_TL_Maturity)&lt;=8,INDEX('Facility Master'!K:K,MATCH(IDFC_TL_SNo,'Facility Master'!A:A,0))*0.0125,IF(COUNTIFS($B$5:$B24,"&gt;="&amp;IDFC_TL_RepStart,$B$5:$B24,"&lt;="&amp;IDFC_TL_Maturity)&lt;=48,INDEX('Facility Master'!K:K,MATCH(IDFC_TL_SNo,'Facility Master'!A:A,0))*0.0225,0)))),0)</f>
        <v>6.625</v>
      </c>
      <c r="AF24" s="701" t="n">
        <f aca="false">IFERROR((AC24+(AD24-AE24)/2)*INDEX('Facility Master'!R:R,MATCH(IDFC_TL_SNo,'Facility Master'!A:A,0))*(B24-B23)/DaysInYear,0)</f>
        <v>11.1193273972603</v>
      </c>
      <c r="AG24" s="701" t="n">
        <f aca="false">IFERROR(ROUND(MAX(AC24+AD24-AE24,0),6),0)</f>
        <v>503.5</v>
      </c>
      <c r="AH24" s="703" t="n">
        <f aca="false">IFERROR(MAX(AL23,0),0)</f>
        <v>808.5</v>
      </c>
      <c r="AI24" s="703" t="n">
        <f aca="false">IFERROR(IF(AND(INDEX('Facility Master'!X:X,MATCH(ICICI_TL_SNo,'Facility Master'!A:A,0))&lt;=B24,INDEX('Facility Master'!X:X,MATCH(ICICI_TL_SNo,'Facility Master'!A:A,0))&gt;B23),INDEX('Facility Master'!K:K,MATCH(ICICI_TL_SNo,'Facility Master'!A:A,0)),0),0)</f>
        <v>0</v>
      </c>
      <c r="AJ24" s="703" t="n">
        <f aca="false">IFERROR(IF(B24&lt;ICICI_TL_RepStart,0,IF(B24&gt;ICICI_TL_Maturity,0,IF(COUNTIFS($B$5:$B24,"&gt;="&amp;ICICI_TL_RepStart,$B$5:$B24,"&lt;="&amp;ICICI_TL_Maturity)&lt;=8,INDEX('Facility Master'!K:K,MATCH(ICICI_TL_SNo,'Facility Master'!A:A,0))*0.0125,IF(COUNTIFS($B$5:$B24,"&gt;="&amp;ICICI_TL_RepStart,$B$5:$B24,"&lt;="&amp;ICICI_TL_Maturity)&lt;=48,INDEX('Facility Master'!K:K,MATCH(ICICI_TL_SNo,'Facility Master'!A:A,0))*0.0225,0)))),0)</f>
        <v>10.5</v>
      </c>
      <c r="AK24" s="703" t="n">
        <f aca="false">IFERROR((AH24+(AI24-AJ24)/2)*INDEX('Facility Master'!R:R,MATCH(ICICI_TL_SNo,'Facility Master'!A:A,0))*(B24-B23)/DaysInYear,0)</f>
        <v>17.4228226027397</v>
      </c>
      <c r="AL24" s="703" t="n">
        <f aca="false">IFERROR(ROUND(MAX(AH24+AI24-AJ24,0),6),0)</f>
        <v>798</v>
      </c>
      <c r="AM24" s="701" t="n">
        <f aca="false">F24+K24+P24+Z24+AE24+AJ24</f>
        <v>45.2</v>
      </c>
      <c r="AN24" s="701" t="n">
        <f aca="false">G24+L24+Q24+AA24+AF24+AK24</f>
        <v>78.8705149486301</v>
      </c>
      <c r="AO24" s="701" t="n">
        <f aca="false">AM24+AN24</f>
        <v>124.07051494863</v>
      </c>
      <c r="AP24" s="701" t="n">
        <f aca="false">H24+M24+R24+AB24+AG24+AL24</f>
        <v>3432.2625</v>
      </c>
    </row>
    <row r="25" customFormat="false" ht="15.75" hidden="false" customHeight="true" outlineLevel="0" collapsed="false">
      <c r="A25" s="707" t="n">
        <v>21</v>
      </c>
      <c r="B25" s="708" t="n">
        <v>46934</v>
      </c>
      <c r="C25" s="709" t="s">
        <v>685</v>
      </c>
      <c r="D25" s="710" t="n">
        <f aca="false">IFERROR(MAX(H24,0),0)</f>
        <v>1068.75</v>
      </c>
      <c r="E25" s="710" t="n">
        <f aca="false">IFERROR(IF(AND(INDEX('Facility Master'!X:X,MATCH(UBI_RTL1_SNo,'Facility Master'!A:A,0))&lt;=B25,INDEX('Facility Master'!X:X,MATCH(UBI_RTL1_SNo,'Facility Master'!A:A,0))&gt;B24),INDEX('Facility Master'!K:K,MATCH(UBI_RTL1_SNo,'Facility Master'!A:A,0)),0),0)</f>
        <v>0</v>
      </c>
      <c r="F25" s="710" t="n">
        <f aca="false">IFERROR(IF(B25&lt;UBI_RTL1_RepStart,0,IF(B25&gt;UBI_RTL1_Maturity,0,IF(COUNTIFS($B$5:$B25,"&gt;="&amp;UBI_RTL1_RepStart,$B$5:$B25,"&lt;="&amp;UBI_RTL1_Maturity)&lt;=8,INDEX('Facility Master'!K:K,MATCH(UBI_RTL1_SNo,'Facility Master'!A:A,0))*0.0125,IF(COUNTIFS($B$5:$B25,"&gt;="&amp;UBI_RTL1_RepStart,$B$5:$B25,"&lt;="&amp;UBI_RTL1_Maturity)&lt;=48,INDEX('Facility Master'!K:K,MATCH(UBI_RTL1_SNo,'Facility Master'!A:A,0))*0.0225,0)))),0)</f>
        <v>14.0625</v>
      </c>
      <c r="G25" s="710" t="n">
        <f aca="false">IFERROR((D25+(E25-F25)/2)*INDEX('Facility Master'!R:R,MATCH(UBI_RTL1_SNo,'Facility Master'!A:A,0))*(B25-B24)/DaysInYear,0)</f>
        <v>24.882033390411</v>
      </c>
      <c r="H25" s="710" t="n">
        <f aca="false">IFERROR(ROUND(MAX(D25+E25-F25,0),6),0)</f>
        <v>1054.6875</v>
      </c>
      <c r="I25" s="710" t="n">
        <f aca="false">IFERROR(MAX(M24,0),0)</f>
        <v>224.2</v>
      </c>
      <c r="J25" s="710" t="n">
        <f aca="false">IFERROR(IF(AND(INDEX('Facility Master'!X:X,MATCH(UBI_RTL2_SNo,'Facility Master'!A:A,0))&lt;=B25,INDEX('Facility Master'!X:X,MATCH(UBI_RTL2_SNo,'Facility Master'!A:A,0))&gt;B24),INDEX('Facility Master'!K:K,MATCH(UBI_RTL2_SNo,'Facility Master'!A:A,0)),0),0)</f>
        <v>0</v>
      </c>
      <c r="K25" s="710" t="n">
        <f aca="false">IFERROR(IF(B25&lt;UBI_RTL2_RepStart,0,IF(B25&gt;UBI_RTL2_Maturity,0,IF(COUNTIFS($B$5:$B25,"&gt;="&amp;UBI_RTL2_RepStart,$B$5:$B25,"&lt;="&amp;UBI_RTL2_Maturity)&lt;=8,INDEX('Facility Master'!K:K,MATCH(UBI_RTL2_SNo,'Facility Master'!A:A,0))*0.0125,IF(COUNTIFS($B$5:$B25,"&gt;="&amp;UBI_RTL2_RepStart,$B$5:$B25,"&lt;="&amp;UBI_RTL2_Maturity)&lt;=48,INDEX('Facility Master'!K:K,MATCH(UBI_RTL2_SNo,'Facility Master'!A:A,0))*0.0225,0)))),0)</f>
        <v>2.95</v>
      </c>
      <c r="L25" s="710" t="n">
        <f aca="false">IFERROR((I25+(J25-K25)/2)*INDEX('Facility Master'!R:R,MATCH(UBI_RTL2_SNo,'Facility Master'!A:A,0))*(B25-B24)/DaysInYear,0)</f>
        <v>5.05311157534247</v>
      </c>
      <c r="M25" s="710" t="n">
        <f aca="false">IFERROR(ROUND(MAX(I25+J25-K25,0),6),0)</f>
        <v>221.25</v>
      </c>
      <c r="N25" s="710" t="n">
        <f aca="false">IFERROR(MAX(R24,0),0)</f>
        <v>220.3125</v>
      </c>
      <c r="O25" s="710" t="n">
        <f aca="false">IFERROR(IF(AND(INDEX('Facility Master'!X:X,MATCH(IB_TL_SNo,'Facility Master'!A:A,0))&lt;=B25,INDEX('Facility Master'!X:X,MATCH(IB_TL_SNo,'Facility Master'!A:A,0))&gt;B24),INDEX('Facility Master'!K:K,MATCH(IB_TL_SNo,'Facility Master'!A:A,0)),0),0)</f>
        <v>0</v>
      </c>
      <c r="P25" s="710" t="n">
        <f aca="false">IFERROR(IF(B25&lt;IB_TL_RepStart,0,IF(B25&gt;IB_TL_Maturity,0,IF(COUNTIFS($B$5:$B25,"&gt;="&amp;IB_TL_RepStart,$B$5:$B25,"&lt;="&amp;IB_TL_Maturity)&lt;=8,INDEX('Facility Master'!K:K,MATCH(IB_TL_SNo,'Facility Master'!A:A,0))*0.0125,IF(COUNTIFS($B$5:$B25,"&gt;="&amp;IB_TL_RepStart,$B$5:$B25,"&lt;="&amp;IB_TL_Maturity)&lt;=48,INDEX('Facility Master'!K:K,MATCH(IB_TL_SNo,'Facility Master'!A:A,0))*0.0225,0)))),0)</f>
        <v>2.9375</v>
      </c>
      <c r="Q25" s="710" t="n">
        <f aca="false">IFERROR((N25+(O25-P25)/2)*INDEX('Facility Master'!R:R,MATCH(IB_TL_SNo,'Facility Master'!A:A,0))*(B25-B24)/DaysInYear,0)</f>
        <v>5.12873818493151</v>
      </c>
      <c r="R25" s="710" t="n">
        <f aca="false">IFERROR(ROUND(MAX(N25+O25-P25,0),6),0)</f>
        <v>217.375</v>
      </c>
      <c r="S25" s="711" t="n">
        <f aca="false">IFERROR(MAX(W24,0),0)</f>
        <v>0</v>
      </c>
      <c r="T25" s="711" t="n">
        <f aca="false">IFERROR(IF(AND(INDEX('Facility Master'!X:X,MATCH(RBL_TL_SNo,'Facility Master'!A:A,0))&lt;=B25,INDEX('Facility Master'!X:X,MATCH(RBL_TL_SNo,'Facility Master'!A:A,0))&gt;B24),INDEX('Facility Master'!K:K,MATCH(RBL_TL_SNo,'Facility Master'!A:A,0)),0),0)</f>
        <v>0</v>
      </c>
      <c r="U25" s="711" t="n">
        <f aca="false">IFERROR(IF(AND(RBL_TL_Maturity&lt;=B25,RBL_TL_Maturity&gt;B24),INDEX('Facility Master'!K:K,MATCH(RBL_TL_SNo,'Facility Master'!A:A,0)),0),0)</f>
        <v>0</v>
      </c>
      <c r="V25" s="711" t="n">
        <f aca="false">IFERROR((S25+(T25-U25)/2)*INDEX('Facility Master'!R:R,MATCH(RBL_TL_SNo,'Facility Master'!A:A,0))*(B25-B24)/DaysInYear,0)</f>
        <v>0</v>
      </c>
      <c r="W25" s="711" t="n">
        <f aca="false">IFERROR(ROUND(MAX(S25+T25-U25,0),6),0)</f>
        <v>0</v>
      </c>
      <c r="X25" s="710" t="n">
        <f aca="false">IFERROR(MAX(AB24,0),0)</f>
        <v>617.5</v>
      </c>
      <c r="Y25" s="710" t="n">
        <f aca="false">IFERROR(IF(AND(INDEX('Facility Master'!X:X,MATCH(YBL_TL_SNo,'Facility Master'!A:A,0))&lt;=B25,INDEX('Facility Master'!X:X,MATCH(YBL_TL_SNo,'Facility Master'!A:A,0))&gt;B24),INDEX('Facility Master'!K:K,MATCH(YBL_TL_SNo,'Facility Master'!A:A,0)),0),0)</f>
        <v>0</v>
      </c>
      <c r="Z25" s="710" t="n">
        <f aca="false">IFERROR(IF(B25&lt;YBL_TL_RepStart,0,IF(B25&gt;YBL_TL_Maturity,0,IF(COUNTIFS($B$5:$B25,"&gt;="&amp;YBL_TL_RepStart,$B$5:$B25,"&lt;="&amp;YBL_TL_Maturity)&lt;=8,INDEX('Facility Master'!K:K,MATCH(YBL_TL_SNo,'Facility Master'!A:A,0))*0.0125,IF(COUNTIFS($B$5:$B25,"&gt;="&amp;YBL_TL_RepStart,$B$5:$B25,"&lt;="&amp;YBL_TL_Maturity)&lt;=48,INDEX('Facility Master'!K:K,MATCH(YBL_TL_SNo,'Facility Master'!A:A,0))*0.0225,0)))),0)</f>
        <v>8.125</v>
      </c>
      <c r="AA25" s="710" t="n">
        <f aca="false">IFERROR((X25+(Y25-Z25)/2)*INDEX('Facility Master'!R:R,MATCH(YBL_TL_SNo,'Facility Master'!A:A,0))*(B25-B24)/DaysInYear,0)</f>
        <v>14.6056947773973</v>
      </c>
      <c r="AB25" s="710" t="n">
        <f aca="false">IFERROR(ROUND(MAX(X25+Y25-Z25,0),6),0)</f>
        <v>609.375</v>
      </c>
      <c r="AC25" s="710" t="n">
        <f aca="false">IFERROR(MAX(AG24,0),0)</f>
        <v>503.5</v>
      </c>
      <c r="AD25" s="710" t="n">
        <f aca="false">IFERROR(IF(AND(INDEX('Facility Master'!X:X,MATCH(IDFC_TL_SNo,'Facility Master'!A:A,0))&lt;=B25,INDEX('Facility Master'!X:X,MATCH(IDFC_TL_SNo,'Facility Master'!A:A,0))&gt;B24),INDEX('Facility Master'!K:K,MATCH(IDFC_TL_SNo,'Facility Master'!A:A,0)),0),0)</f>
        <v>0</v>
      </c>
      <c r="AE25" s="710" t="n">
        <f aca="false">IFERROR(IF(B25&lt;IDFC_TL_RepStart,0,IF(B25&gt;IDFC_TL_Maturity,0,IF(COUNTIFS($B$5:$B25,"&gt;="&amp;IDFC_TL_RepStart,$B$5:$B25,"&lt;="&amp;IDFC_TL_Maturity)&lt;=8,INDEX('Facility Master'!K:K,MATCH(IDFC_TL_SNo,'Facility Master'!A:A,0))*0.0125,IF(COUNTIFS($B$5:$B25,"&gt;="&amp;IDFC_TL_RepStart,$B$5:$B25,"&lt;="&amp;IDFC_TL_Maturity)&lt;=48,INDEX('Facility Master'!K:K,MATCH(IDFC_TL_SNo,'Facility Master'!A:A,0))*0.0225,0)))),0)</f>
        <v>6.625</v>
      </c>
      <c r="AF25" s="710" t="n">
        <f aca="false">IFERROR((AC25+(AD25-AE25)/2)*INDEX('Facility Master'!R:R,MATCH(IDFC_TL_SNo,'Facility Master'!A:A,0))*(B25-B24)/DaysInYear,0)</f>
        <v>10.9739767123288</v>
      </c>
      <c r="AG25" s="710" t="n">
        <f aca="false">IFERROR(ROUND(MAX(AC25+AD25-AE25,0),6),0)</f>
        <v>496.875</v>
      </c>
      <c r="AH25" s="703" t="n">
        <f aca="false">IFERROR(MAX(AL24,0),0)</f>
        <v>798</v>
      </c>
      <c r="AI25" s="703" t="n">
        <f aca="false">IFERROR(IF(AND(INDEX('Facility Master'!X:X,MATCH(ICICI_TL_SNo,'Facility Master'!A:A,0))&lt;=B25,INDEX('Facility Master'!X:X,MATCH(ICICI_TL_SNo,'Facility Master'!A:A,0))&gt;B24),INDEX('Facility Master'!K:K,MATCH(ICICI_TL_SNo,'Facility Master'!A:A,0)),0),0)</f>
        <v>0</v>
      </c>
      <c r="AJ25" s="703" t="n">
        <f aca="false">IFERROR(IF(B25&lt;ICICI_TL_RepStart,0,IF(B25&gt;ICICI_TL_Maturity,0,IF(COUNTIFS($B$5:$B25,"&gt;="&amp;ICICI_TL_RepStart,$B$5:$B25,"&lt;="&amp;ICICI_TL_Maturity)&lt;=8,INDEX('Facility Master'!K:K,MATCH(ICICI_TL_SNo,'Facility Master'!A:A,0))*0.0125,IF(COUNTIFS($B$5:$B25,"&gt;="&amp;ICICI_TL_RepStart,$B$5:$B25,"&lt;="&amp;ICICI_TL_Maturity)&lt;=48,INDEX('Facility Master'!K:K,MATCH(ICICI_TL_SNo,'Facility Master'!A:A,0))*0.0225,0)))),0)</f>
        <v>10.5</v>
      </c>
      <c r="AK25" s="703" t="n">
        <f aca="false">IFERROR((AH25+(AI25-AJ25)/2)*INDEX('Facility Master'!R:R,MATCH(ICICI_TL_SNo,'Facility Master'!A:A,0))*(B25-B24)/DaysInYear,0)</f>
        <v>17.1950732876712</v>
      </c>
      <c r="AL25" s="703" t="n">
        <f aca="false">IFERROR(ROUND(MAX(AH25+AI25-AJ25,0),6),0)</f>
        <v>787.5</v>
      </c>
      <c r="AM25" s="712" t="n">
        <f aca="false">F25+K25+P25+Z25+AE25+AJ25</f>
        <v>45.2</v>
      </c>
      <c r="AN25" s="712" t="n">
        <f aca="false">G25+L25+Q25+AA25+AF25+AK25</f>
        <v>77.8386279280822</v>
      </c>
      <c r="AO25" s="712" t="n">
        <f aca="false">AM25+AN25</f>
        <v>123.038627928082</v>
      </c>
      <c r="AP25" s="712" t="n">
        <f aca="false">H25+M25+R25+AB25+AG25+AL25</f>
        <v>3387.0625</v>
      </c>
    </row>
    <row r="26" customFormat="false" ht="15.75" hidden="false" customHeight="true" outlineLevel="0" collapsed="false">
      <c r="A26" s="707" t="n">
        <v>22</v>
      </c>
      <c r="B26" s="708" t="n">
        <v>47026</v>
      </c>
      <c r="C26" s="709" t="s">
        <v>686</v>
      </c>
      <c r="D26" s="710" t="n">
        <f aca="false">IFERROR(MAX(H25,0),0)</f>
        <v>1054.6875</v>
      </c>
      <c r="E26" s="710" t="n">
        <f aca="false">IFERROR(IF(AND(INDEX('Facility Master'!X:X,MATCH(UBI_RTL1_SNo,'Facility Master'!A:A,0))&lt;=B26,INDEX('Facility Master'!X:X,MATCH(UBI_RTL1_SNo,'Facility Master'!A:A,0))&gt;B25),INDEX('Facility Master'!K:K,MATCH(UBI_RTL1_SNo,'Facility Master'!A:A,0)),0),0)</f>
        <v>0</v>
      </c>
      <c r="F26" s="710" t="n">
        <f aca="false">IFERROR(IF(B26&lt;UBI_RTL1_RepStart,0,IF(B26&gt;UBI_RTL1_Maturity,0,IF(COUNTIFS($B$5:$B26,"&gt;="&amp;UBI_RTL1_RepStart,$B$5:$B26,"&lt;="&amp;UBI_RTL1_Maturity)&lt;=8,INDEX('Facility Master'!K:K,MATCH(UBI_RTL1_SNo,'Facility Master'!A:A,0))*0.0125,IF(COUNTIFS($B$5:$B26,"&gt;="&amp;UBI_RTL1_RepStart,$B$5:$B26,"&lt;="&amp;UBI_RTL1_Maturity)&lt;=48,INDEX('Facility Master'!K:K,MATCH(UBI_RTL1_SNo,'Facility Master'!A:A,0))*0.0225,0)))),0)</f>
        <v>14.0625</v>
      </c>
      <c r="G26" s="710" t="n">
        <f aca="false">IFERROR((D26+(E26-F26)/2)*INDEX('Facility Master'!R:R,MATCH(UBI_RTL1_SNo,'Facility Master'!A:A,0))*(B26-B25)/DaysInYear,0)</f>
        <v>24.8222773972603</v>
      </c>
      <c r="H26" s="710" t="n">
        <f aca="false">IFERROR(ROUND(MAX(D26+E26-F26,0),6),0)</f>
        <v>1040.625</v>
      </c>
      <c r="I26" s="710" t="n">
        <f aca="false">IFERROR(MAX(M25,0),0)</f>
        <v>221.25</v>
      </c>
      <c r="J26" s="710" t="n">
        <f aca="false">IFERROR(IF(AND(INDEX('Facility Master'!X:X,MATCH(UBI_RTL2_SNo,'Facility Master'!A:A,0))&lt;=B26,INDEX('Facility Master'!X:X,MATCH(UBI_RTL2_SNo,'Facility Master'!A:A,0))&gt;B25),INDEX('Facility Master'!K:K,MATCH(UBI_RTL2_SNo,'Facility Master'!A:A,0)),0),0)</f>
        <v>0</v>
      </c>
      <c r="K26" s="710" t="n">
        <f aca="false">IFERROR(IF(B26&lt;UBI_RTL2_RepStart,0,IF(B26&gt;UBI_RTL2_Maturity,0,IF(COUNTIFS($B$5:$B26,"&gt;="&amp;UBI_RTL2_RepStart,$B$5:$B26,"&lt;="&amp;UBI_RTL2_Maturity)&lt;=8,INDEX('Facility Master'!K:K,MATCH(UBI_RTL2_SNo,'Facility Master'!A:A,0))*0.0125,IF(COUNTIFS($B$5:$B26,"&gt;="&amp;UBI_RTL2_RepStart,$B$5:$B26,"&lt;="&amp;UBI_RTL2_Maturity)&lt;=48,INDEX('Facility Master'!K:K,MATCH(UBI_RTL2_SNo,'Facility Master'!A:A,0))*0.0225,0)))),0)</f>
        <v>2.95</v>
      </c>
      <c r="L26" s="710" t="n">
        <f aca="false">IFERROR((I26+(J26-K26)/2)*INDEX('Facility Master'!R:R,MATCH(UBI_RTL2_SNo,'Facility Master'!A:A,0))*(B26-B25)/DaysInYear,0)</f>
        <v>5.04097616438356</v>
      </c>
      <c r="M26" s="710" t="n">
        <f aca="false">IFERROR(ROUND(MAX(I26+J26-K26,0),6),0)</f>
        <v>218.3</v>
      </c>
      <c r="N26" s="710" t="n">
        <f aca="false">IFERROR(MAX(R25,0),0)</f>
        <v>217.375</v>
      </c>
      <c r="O26" s="710" t="n">
        <f aca="false">IFERROR(IF(AND(INDEX('Facility Master'!X:X,MATCH(IB_TL_SNo,'Facility Master'!A:A,0))&lt;=B26,INDEX('Facility Master'!X:X,MATCH(IB_TL_SNo,'Facility Master'!A:A,0))&gt;B25),INDEX('Facility Master'!K:K,MATCH(IB_TL_SNo,'Facility Master'!A:A,0)),0),0)</f>
        <v>0</v>
      </c>
      <c r="P26" s="710" t="n">
        <f aca="false">IFERROR(IF(B26&lt;IB_TL_RepStart,0,IF(B26&gt;IB_TL_Maturity,0,IF(COUNTIFS($B$5:$B26,"&gt;="&amp;IB_TL_RepStart,$B$5:$B26,"&lt;="&amp;IB_TL_Maturity)&lt;=8,INDEX('Facility Master'!K:K,MATCH(IB_TL_SNo,'Facility Master'!A:A,0))*0.0125,IF(COUNTIFS($B$5:$B26,"&gt;="&amp;IB_TL_RepStart,$B$5:$B26,"&lt;="&amp;IB_TL_Maturity)&lt;=48,INDEX('Facility Master'!K:K,MATCH(IB_TL_SNo,'Facility Master'!A:A,0))*0.0225,0)))),0)</f>
        <v>2.9375</v>
      </c>
      <c r="Q26" s="710" t="n">
        <f aca="false">IFERROR((N26+(O26-P26)/2)*INDEX('Facility Master'!R:R,MATCH(IB_TL_SNo,'Facility Master'!A:A,0))*(B26-B25)/DaysInYear,0)</f>
        <v>5.11549931506849</v>
      </c>
      <c r="R26" s="710" t="n">
        <f aca="false">IFERROR(ROUND(MAX(N26+O26-P26,0),6),0)</f>
        <v>214.4375</v>
      </c>
      <c r="S26" s="711" t="n">
        <f aca="false">IFERROR(MAX(W25,0),0)</f>
        <v>0</v>
      </c>
      <c r="T26" s="711" t="n">
        <f aca="false">IFERROR(IF(AND(INDEX('Facility Master'!X:X,MATCH(RBL_TL_SNo,'Facility Master'!A:A,0))&lt;=B26,INDEX('Facility Master'!X:X,MATCH(RBL_TL_SNo,'Facility Master'!A:A,0))&gt;B25),INDEX('Facility Master'!K:K,MATCH(RBL_TL_SNo,'Facility Master'!A:A,0)),0),0)</f>
        <v>0</v>
      </c>
      <c r="U26" s="711" t="n">
        <f aca="false">IFERROR(IF(AND(RBL_TL_Maturity&lt;=B26,RBL_TL_Maturity&gt;B25),INDEX('Facility Master'!K:K,MATCH(RBL_TL_SNo,'Facility Master'!A:A,0)),0),0)</f>
        <v>0</v>
      </c>
      <c r="V26" s="711" t="n">
        <f aca="false">IFERROR((S26+(T26-U26)/2)*INDEX('Facility Master'!R:R,MATCH(RBL_TL_SNo,'Facility Master'!A:A,0))*(B26-B25)/DaysInYear,0)</f>
        <v>0</v>
      </c>
      <c r="W26" s="711" t="n">
        <f aca="false">IFERROR(ROUND(MAX(S26+T26-U26,0),6),0)</f>
        <v>0</v>
      </c>
      <c r="X26" s="710" t="n">
        <f aca="false">IFERROR(MAX(AB25,0),0)</f>
        <v>609.375</v>
      </c>
      <c r="Y26" s="710" t="n">
        <f aca="false">IFERROR(IF(AND(INDEX('Facility Master'!X:X,MATCH(YBL_TL_SNo,'Facility Master'!A:A,0))&lt;=B26,INDEX('Facility Master'!X:X,MATCH(YBL_TL_SNo,'Facility Master'!A:A,0))&gt;B25),INDEX('Facility Master'!K:K,MATCH(YBL_TL_SNo,'Facility Master'!A:A,0)),0),0)</f>
        <v>0</v>
      </c>
      <c r="Z26" s="710" t="n">
        <f aca="false">IFERROR(IF(B26&lt;YBL_TL_RepStart,0,IF(B26&gt;YBL_TL_Maturity,0,IF(COUNTIFS($B$5:$B26,"&gt;="&amp;YBL_TL_RepStart,$B$5:$B26,"&lt;="&amp;YBL_TL_Maturity)&lt;=8,INDEX('Facility Master'!K:K,MATCH(YBL_TL_SNo,'Facility Master'!A:A,0))*0.0125,IF(COUNTIFS($B$5:$B26,"&gt;="&amp;YBL_TL_RepStart,$B$5:$B26,"&lt;="&amp;YBL_TL_Maturity)&lt;=48,INDEX('Facility Master'!K:K,MATCH(YBL_TL_SNo,'Facility Master'!A:A,0))*0.0225,0)))),0)</f>
        <v>8.125</v>
      </c>
      <c r="AA26" s="710" t="n">
        <f aca="false">IFERROR((X26+(Y26-Z26)/2)*INDEX('Facility Master'!R:R,MATCH(YBL_TL_SNo,'Facility Master'!A:A,0))*(B26-B25)/DaysInYear,0)</f>
        <v>14.5706181506849</v>
      </c>
      <c r="AB26" s="710" t="n">
        <f aca="false">IFERROR(ROUND(MAX(X26+Y26-Z26,0),6),0)</f>
        <v>601.25</v>
      </c>
      <c r="AC26" s="710" t="n">
        <f aca="false">IFERROR(MAX(AG25,0),0)</f>
        <v>496.875</v>
      </c>
      <c r="AD26" s="710" t="n">
        <f aca="false">IFERROR(IF(AND(INDEX('Facility Master'!X:X,MATCH(IDFC_TL_SNo,'Facility Master'!A:A,0))&lt;=B26,INDEX('Facility Master'!X:X,MATCH(IDFC_TL_SNo,'Facility Master'!A:A,0))&gt;B25),INDEX('Facility Master'!K:K,MATCH(IDFC_TL_SNo,'Facility Master'!A:A,0)),0),0)</f>
        <v>0</v>
      </c>
      <c r="AE26" s="710" t="n">
        <f aca="false">IFERROR(IF(B26&lt;IDFC_TL_RepStart,0,IF(B26&gt;IDFC_TL_Maturity,0,IF(COUNTIFS($B$5:$B26,"&gt;="&amp;IDFC_TL_RepStart,$B$5:$B26,"&lt;="&amp;IDFC_TL_Maturity)&lt;=8,INDEX('Facility Master'!K:K,MATCH(IDFC_TL_SNo,'Facility Master'!A:A,0))*0.0125,IF(COUNTIFS($B$5:$B26,"&gt;="&amp;IDFC_TL_RepStart,$B$5:$B26,"&lt;="&amp;IDFC_TL_Maturity)&lt;=48,INDEX('Facility Master'!K:K,MATCH(IDFC_TL_SNo,'Facility Master'!A:A,0))*0.0225,0)))),0)</f>
        <v>6.625</v>
      </c>
      <c r="AF26" s="710" t="n">
        <f aca="false">IFERROR((AC26+(AD26-AE26)/2)*INDEX('Facility Master'!R:R,MATCH(IDFC_TL_SNo,'Facility Master'!A:A,0))*(B26-B25)/DaysInYear,0)</f>
        <v>10.9476219178082</v>
      </c>
      <c r="AG26" s="710" t="n">
        <f aca="false">IFERROR(ROUND(MAX(AC26+AD26-AE26,0),6),0)</f>
        <v>490.25</v>
      </c>
      <c r="AH26" s="703" t="n">
        <f aca="false">IFERROR(MAX(AL25,0),0)</f>
        <v>787.5</v>
      </c>
      <c r="AI26" s="703" t="n">
        <f aca="false">IFERROR(IF(AND(INDEX('Facility Master'!X:X,MATCH(ICICI_TL_SNo,'Facility Master'!A:A,0))&lt;=B26,INDEX('Facility Master'!X:X,MATCH(ICICI_TL_SNo,'Facility Master'!A:A,0))&gt;B25),INDEX('Facility Master'!K:K,MATCH(ICICI_TL_SNo,'Facility Master'!A:A,0)),0),0)</f>
        <v>0</v>
      </c>
      <c r="AJ26" s="703" t="n">
        <f aca="false">IFERROR(IF(B26&lt;ICICI_TL_RepStart,0,IF(B26&gt;ICICI_TL_Maturity,0,IF(COUNTIFS($B$5:$B26,"&gt;="&amp;ICICI_TL_RepStart,$B$5:$B26,"&lt;="&amp;ICICI_TL_Maturity)&lt;=8,INDEX('Facility Master'!K:K,MATCH(ICICI_TL_SNo,'Facility Master'!A:A,0))*0.0125,IF(COUNTIFS($B$5:$B26,"&gt;="&amp;ICICI_TL_RepStart,$B$5:$B26,"&lt;="&amp;ICICI_TL_Maturity)&lt;=48,INDEX('Facility Master'!K:K,MATCH(ICICI_TL_SNo,'Facility Master'!A:A,0))*0.0225,0)))),0)</f>
        <v>10.5</v>
      </c>
      <c r="AK26" s="703" t="n">
        <f aca="false">IFERROR((AH26+(AI26-AJ26)/2)*INDEX('Facility Master'!R:R,MATCH(ICICI_TL_SNo,'Facility Master'!A:A,0))*(B26-B25)/DaysInYear,0)</f>
        <v>17.1537780821918</v>
      </c>
      <c r="AL26" s="703" t="n">
        <f aca="false">IFERROR(ROUND(MAX(AH26+AI26-AJ26,0),6),0)</f>
        <v>777</v>
      </c>
      <c r="AM26" s="712" t="n">
        <f aca="false">F26+K26+P26+Z26+AE26+AJ26</f>
        <v>45.2</v>
      </c>
      <c r="AN26" s="712" t="n">
        <f aca="false">G26+L26+Q26+AA26+AF26+AK26</f>
        <v>77.6507710273973</v>
      </c>
      <c r="AO26" s="712" t="n">
        <f aca="false">AM26+AN26</f>
        <v>122.850771027397</v>
      </c>
      <c r="AP26" s="712" t="n">
        <f aca="false">H26+M26+R26+AB26+AG26+AL26</f>
        <v>3341.8625</v>
      </c>
    </row>
    <row r="27" customFormat="false" ht="15.75" hidden="false" customHeight="true" outlineLevel="0" collapsed="false">
      <c r="A27" s="707" t="n">
        <v>23</v>
      </c>
      <c r="B27" s="708" t="n">
        <v>47118</v>
      </c>
      <c r="C27" s="709" t="s">
        <v>687</v>
      </c>
      <c r="D27" s="710" t="n">
        <f aca="false">IFERROR(MAX(H26,0),0)</f>
        <v>1040.625</v>
      </c>
      <c r="E27" s="710" t="n">
        <f aca="false">IFERROR(IF(AND(INDEX('Facility Master'!X:X,MATCH(UBI_RTL1_SNo,'Facility Master'!A:A,0))&lt;=B27,INDEX('Facility Master'!X:X,MATCH(UBI_RTL1_SNo,'Facility Master'!A:A,0))&gt;B26),INDEX('Facility Master'!K:K,MATCH(UBI_RTL1_SNo,'Facility Master'!A:A,0)),0),0)</f>
        <v>0</v>
      </c>
      <c r="F27" s="710" t="n">
        <f aca="false">IFERROR(IF(B27&lt;UBI_RTL1_RepStart,0,IF(B27&gt;UBI_RTL1_Maturity,0,IF(COUNTIFS($B$5:$B27,"&gt;="&amp;UBI_RTL1_RepStart,$B$5:$B27,"&lt;="&amp;UBI_RTL1_Maturity)&lt;=8,INDEX('Facility Master'!K:K,MATCH(UBI_RTL1_SNo,'Facility Master'!A:A,0))*0.0125,IF(COUNTIFS($B$5:$B27,"&gt;="&amp;UBI_RTL1_RepStart,$B$5:$B27,"&lt;="&amp;UBI_RTL1_Maturity)&lt;=48,INDEX('Facility Master'!K:K,MATCH(UBI_RTL1_SNo,'Facility Master'!A:A,0))*0.0225,0)))),0)</f>
        <v>14.0625</v>
      </c>
      <c r="G27" s="710" t="n">
        <f aca="false">IFERROR((D27+(E27-F27)/2)*INDEX('Facility Master'!R:R,MATCH(UBI_RTL1_SNo,'Facility Master'!A:A,0))*(B27-B26)/DaysInYear,0)</f>
        <v>24.4890924657534</v>
      </c>
      <c r="H27" s="710" t="n">
        <f aca="false">IFERROR(ROUND(MAX(D27+E27-F27,0),6),0)</f>
        <v>1026.5625</v>
      </c>
      <c r="I27" s="710" t="n">
        <f aca="false">IFERROR(MAX(M26,0),0)</f>
        <v>218.3</v>
      </c>
      <c r="J27" s="710" t="n">
        <f aca="false">IFERROR(IF(AND(INDEX('Facility Master'!X:X,MATCH(UBI_RTL2_SNo,'Facility Master'!A:A,0))&lt;=B27,INDEX('Facility Master'!X:X,MATCH(UBI_RTL2_SNo,'Facility Master'!A:A,0))&gt;B26),INDEX('Facility Master'!K:K,MATCH(UBI_RTL2_SNo,'Facility Master'!A:A,0)),0),0)</f>
        <v>0</v>
      </c>
      <c r="K27" s="710" t="n">
        <f aca="false">IFERROR(IF(B27&lt;UBI_RTL2_RepStart,0,IF(B27&gt;UBI_RTL2_Maturity,0,IF(COUNTIFS($B$5:$B27,"&gt;="&amp;UBI_RTL2_RepStart,$B$5:$B27,"&lt;="&amp;UBI_RTL2_Maturity)&lt;=8,INDEX('Facility Master'!K:K,MATCH(UBI_RTL2_SNo,'Facility Master'!A:A,0))*0.0125,IF(COUNTIFS($B$5:$B27,"&gt;="&amp;UBI_RTL2_RepStart,$B$5:$B27,"&lt;="&amp;UBI_RTL2_Maturity)&lt;=48,INDEX('Facility Master'!K:K,MATCH(UBI_RTL2_SNo,'Facility Master'!A:A,0))*0.0225,0)))),0)</f>
        <v>2.95</v>
      </c>
      <c r="L27" s="710" t="n">
        <f aca="false">IFERROR((I27+(J27-K27)/2)*INDEX('Facility Master'!R:R,MATCH(UBI_RTL2_SNo,'Facility Master'!A:A,0))*(B27-B26)/DaysInYear,0)</f>
        <v>4.97331205479452</v>
      </c>
      <c r="M27" s="710" t="n">
        <f aca="false">IFERROR(ROUND(MAX(I27+J27-K27,0),6),0)</f>
        <v>215.35</v>
      </c>
      <c r="N27" s="710" t="n">
        <f aca="false">IFERROR(MAX(R26,0),0)</f>
        <v>214.4375</v>
      </c>
      <c r="O27" s="710" t="n">
        <f aca="false">IFERROR(IF(AND(INDEX('Facility Master'!X:X,MATCH(IB_TL_SNo,'Facility Master'!A:A,0))&lt;=B27,INDEX('Facility Master'!X:X,MATCH(IB_TL_SNo,'Facility Master'!A:A,0))&gt;B26),INDEX('Facility Master'!K:K,MATCH(IB_TL_SNo,'Facility Master'!A:A,0)),0),0)</f>
        <v>0</v>
      </c>
      <c r="P27" s="710" t="n">
        <f aca="false">IFERROR(IF(B27&lt;IB_TL_RepStart,0,IF(B27&gt;IB_TL_Maturity,0,IF(COUNTIFS($B$5:$B27,"&gt;="&amp;IB_TL_RepStart,$B$5:$B27,"&lt;="&amp;IB_TL_Maturity)&lt;=8,INDEX('Facility Master'!K:K,MATCH(IB_TL_SNo,'Facility Master'!A:A,0))*0.0125,IF(COUNTIFS($B$5:$B27,"&gt;="&amp;IB_TL_RepStart,$B$5:$B27,"&lt;="&amp;IB_TL_Maturity)&lt;=48,INDEX('Facility Master'!K:K,MATCH(IB_TL_SNo,'Facility Master'!A:A,0))*0.0225,0)))),0)</f>
        <v>2.9375</v>
      </c>
      <c r="Q27" s="710" t="n">
        <f aca="false">IFERROR((N27+(O27-P27)/2)*INDEX('Facility Master'!R:R,MATCH(IB_TL_SNo,'Facility Master'!A:A,0))*(B27-B26)/DaysInYear,0)</f>
        <v>5.04590068493151</v>
      </c>
      <c r="R27" s="710" t="n">
        <f aca="false">IFERROR(ROUND(MAX(N27+O27-P27,0),6),0)</f>
        <v>211.5</v>
      </c>
      <c r="S27" s="711" t="n">
        <f aca="false">IFERROR(MAX(W26,0),0)</f>
        <v>0</v>
      </c>
      <c r="T27" s="711" t="n">
        <f aca="false">IFERROR(IF(AND(INDEX('Facility Master'!X:X,MATCH(RBL_TL_SNo,'Facility Master'!A:A,0))&lt;=B27,INDEX('Facility Master'!X:X,MATCH(RBL_TL_SNo,'Facility Master'!A:A,0))&gt;B26),INDEX('Facility Master'!K:K,MATCH(RBL_TL_SNo,'Facility Master'!A:A,0)),0),0)</f>
        <v>0</v>
      </c>
      <c r="U27" s="711" t="n">
        <f aca="false">IFERROR(IF(AND(RBL_TL_Maturity&lt;=B27,RBL_TL_Maturity&gt;B26),INDEX('Facility Master'!K:K,MATCH(RBL_TL_SNo,'Facility Master'!A:A,0)),0),0)</f>
        <v>0</v>
      </c>
      <c r="V27" s="711" t="n">
        <f aca="false">IFERROR((S27+(T27-U27)/2)*INDEX('Facility Master'!R:R,MATCH(RBL_TL_SNo,'Facility Master'!A:A,0))*(B27-B26)/DaysInYear,0)</f>
        <v>0</v>
      </c>
      <c r="W27" s="711" t="n">
        <f aca="false">IFERROR(ROUND(MAX(S27+T27-U27,0),6),0)</f>
        <v>0</v>
      </c>
      <c r="X27" s="710" t="n">
        <f aca="false">IFERROR(MAX(AB26,0),0)</f>
        <v>601.25</v>
      </c>
      <c r="Y27" s="710" t="n">
        <f aca="false">IFERROR(IF(AND(INDEX('Facility Master'!X:X,MATCH(YBL_TL_SNo,'Facility Master'!A:A,0))&lt;=B27,INDEX('Facility Master'!X:X,MATCH(YBL_TL_SNo,'Facility Master'!A:A,0))&gt;B26),INDEX('Facility Master'!K:K,MATCH(YBL_TL_SNo,'Facility Master'!A:A,0)),0),0)</f>
        <v>0</v>
      </c>
      <c r="Z27" s="710" t="n">
        <f aca="false">IFERROR(IF(B27&lt;YBL_TL_RepStart,0,IF(B27&gt;YBL_TL_Maturity,0,IF(COUNTIFS($B$5:$B27,"&gt;="&amp;YBL_TL_RepStart,$B$5:$B27,"&lt;="&amp;YBL_TL_Maturity)&lt;=8,INDEX('Facility Master'!K:K,MATCH(YBL_TL_SNo,'Facility Master'!A:A,0))*0.0125,IF(COUNTIFS($B$5:$B27,"&gt;="&amp;YBL_TL_RepStart,$B$5:$B27,"&lt;="&amp;YBL_TL_Maturity)&lt;=48,INDEX('Facility Master'!K:K,MATCH(YBL_TL_SNo,'Facility Master'!A:A,0))*0.0225,0)))),0)</f>
        <v>8.125</v>
      </c>
      <c r="AA27" s="710" t="n">
        <f aca="false">IFERROR((X27+(Y27-Z27)/2)*INDEX('Facility Master'!R:R,MATCH(YBL_TL_SNo,'Facility Master'!A:A,0))*(B27-B26)/DaysInYear,0)</f>
        <v>14.3750393835616</v>
      </c>
      <c r="AB27" s="710" t="n">
        <f aca="false">IFERROR(ROUND(MAX(X27+Y27-Z27,0),6),0)</f>
        <v>593.125</v>
      </c>
      <c r="AC27" s="710" t="n">
        <f aca="false">IFERROR(MAX(AG26,0),0)</f>
        <v>490.25</v>
      </c>
      <c r="AD27" s="710" t="n">
        <f aca="false">IFERROR(IF(AND(INDEX('Facility Master'!X:X,MATCH(IDFC_TL_SNo,'Facility Master'!A:A,0))&lt;=B27,INDEX('Facility Master'!X:X,MATCH(IDFC_TL_SNo,'Facility Master'!A:A,0))&gt;B26),INDEX('Facility Master'!K:K,MATCH(IDFC_TL_SNo,'Facility Master'!A:A,0)),0),0)</f>
        <v>0</v>
      </c>
      <c r="AE27" s="710" t="n">
        <f aca="false">IFERROR(IF(B27&lt;IDFC_TL_RepStart,0,IF(B27&gt;IDFC_TL_Maturity,0,IF(COUNTIFS($B$5:$B27,"&gt;="&amp;IDFC_TL_RepStart,$B$5:$B27,"&lt;="&amp;IDFC_TL_Maturity)&lt;=8,INDEX('Facility Master'!K:K,MATCH(IDFC_TL_SNo,'Facility Master'!A:A,0))*0.0125,IF(COUNTIFS($B$5:$B27,"&gt;="&amp;IDFC_TL_RepStart,$B$5:$B27,"&lt;="&amp;IDFC_TL_Maturity)&lt;=48,INDEX('Facility Master'!K:K,MATCH(IDFC_TL_SNo,'Facility Master'!A:A,0))*0.0225,0)))),0)</f>
        <v>6.625</v>
      </c>
      <c r="AF27" s="710" t="n">
        <f aca="false">IFERROR((AC27+(AD27-AE27)/2)*INDEX('Facility Master'!R:R,MATCH(IDFC_TL_SNo,'Facility Master'!A:A,0))*(B27-B26)/DaysInYear,0)</f>
        <v>10.8006739726027</v>
      </c>
      <c r="AG27" s="710" t="n">
        <f aca="false">IFERROR(ROUND(MAX(AC27+AD27-AE27,0),6),0)</f>
        <v>483.625</v>
      </c>
      <c r="AH27" s="703" t="n">
        <f aca="false">IFERROR(MAX(AL26,0),0)</f>
        <v>777</v>
      </c>
      <c r="AI27" s="703" t="n">
        <f aca="false">IFERROR(IF(AND(INDEX('Facility Master'!X:X,MATCH(ICICI_TL_SNo,'Facility Master'!A:A,0))&lt;=B27,INDEX('Facility Master'!X:X,MATCH(ICICI_TL_SNo,'Facility Master'!A:A,0))&gt;B26),INDEX('Facility Master'!K:K,MATCH(ICICI_TL_SNo,'Facility Master'!A:A,0)),0),0)</f>
        <v>0</v>
      </c>
      <c r="AJ27" s="703" t="n">
        <f aca="false">IFERROR(IF(B27&lt;ICICI_TL_RepStart,0,IF(B27&gt;ICICI_TL_Maturity,0,IF(COUNTIFS($B$5:$B27,"&gt;="&amp;ICICI_TL_RepStart,$B$5:$B27,"&lt;="&amp;ICICI_TL_Maturity)&lt;=8,INDEX('Facility Master'!K:K,MATCH(ICICI_TL_SNo,'Facility Master'!A:A,0))*0.0125,IF(COUNTIFS($B$5:$B27,"&gt;="&amp;ICICI_TL_RepStart,$B$5:$B27,"&lt;="&amp;ICICI_TL_Maturity)&lt;=48,INDEX('Facility Master'!K:K,MATCH(ICICI_TL_SNo,'Facility Master'!A:A,0))*0.0225,0)))),0)</f>
        <v>10.5</v>
      </c>
      <c r="AK27" s="703" t="n">
        <f aca="false">IFERROR((AH27+(AI27-AJ27)/2)*INDEX('Facility Master'!R:R,MATCH(ICICI_TL_SNo,'Facility Master'!A:A,0))*(B27-B26)/DaysInYear,0)</f>
        <v>16.9235260273973</v>
      </c>
      <c r="AL27" s="703" t="n">
        <f aca="false">IFERROR(ROUND(MAX(AH27+AI27-AJ27,0),6),0)</f>
        <v>766.5</v>
      </c>
      <c r="AM27" s="712" t="n">
        <f aca="false">F27+K27+P27+Z27+AE27+AJ27</f>
        <v>45.2</v>
      </c>
      <c r="AN27" s="712" t="n">
        <f aca="false">G27+L27+Q27+AA27+AF27+AK27</f>
        <v>76.6075445890411</v>
      </c>
      <c r="AO27" s="712" t="n">
        <f aca="false">AM27+AN27</f>
        <v>121.807544589041</v>
      </c>
      <c r="AP27" s="712" t="n">
        <f aca="false">H27+M27+R27+AB27+AG27+AL27</f>
        <v>3296.6625</v>
      </c>
    </row>
    <row r="28" customFormat="false" ht="15.75" hidden="false" customHeight="true" outlineLevel="0" collapsed="false">
      <c r="A28" s="707" t="n">
        <v>24</v>
      </c>
      <c r="B28" s="708" t="n">
        <v>47208</v>
      </c>
      <c r="C28" s="709" t="s">
        <v>688</v>
      </c>
      <c r="D28" s="710" t="n">
        <f aca="false">IFERROR(MAX(H27,0),0)</f>
        <v>1026.5625</v>
      </c>
      <c r="E28" s="710" t="n">
        <f aca="false">IFERROR(IF(AND(INDEX('Facility Master'!X:X,MATCH(UBI_RTL1_SNo,'Facility Master'!A:A,0))&lt;=B28,INDEX('Facility Master'!X:X,MATCH(UBI_RTL1_SNo,'Facility Master'!A:A,0))&gt;B27),INDEX('Facility Master'!K:K,MATCH(UBI_RTL1_SNo,'Facility Master'!A:A,0)),0),0)</f>
        <v>0</v>
      </c>
      <c r="F28" s="710" t="n">
        <f aca="false">IFERROR(IF(B28&lt;UBI_RTL1_RepStart,0,IF(B28&gt;UBI_RTL1_Maturity,0,IF(COUNTIFS($B$5:$B28,"&gt;="&amp;UBI_RTL1_RepStart,$B$5:$B28,"&lt;="&amp;UBI_RTL1_Maturity)&lt;=8,INDEX('Facility Master'!K:K,MATCH(UBI_RTL1_SNo,'Facility Master'!A:A,0))*0.0125,IF(COUNTIFS($B$5:$B28,"&gt;="&amp;UBI_RTL1_RepStart,$B$5:$B28,"&lt;="&amp;UBI_RTL1_Maturity)&lt;=48,INDEX('Facility Master'!K:K,MATCH(UBI_RTL1_SNo,'Facility Master'!A:A,0))*0.0225,0)))),0)</f>
        <v>14.0625</v>
      </c>
      <c r="G28" s="710" t="n">
        <f aca="false">IFERROR((D28+(E28-F28)/2)*INDEX('Facility Master'!R:R,MATCH(UBI_RTL1_SNo,'Facility Master'!A:A,0))*(B28-B27)/DaysInYear,0)</f>
        <v>23.630779109589</v>
      </c>
      <c r="H28" s="710" t="n">
        <f aca="false">IFERROR(ROUND(MAX(D28+E28-F28,0),6),0)</f>
        <v>1012.5</v>
      </c>
      <c r="I28" s="710" t="n">
        <f aca="false">IFERROR(MAX(M27,0),0)</f>
        <v>215.35</v>
      </c>
      <c r="J28" s="710" t="n">
        <f aca="false">IFERROR(IF(AND(INDEX('Facility Master'!X:X,MATCH(UBI_RTL2_SNo,'Facility Master'!A:A,0))&lt;=B28,INDEX('Facility Master'!X:X,MATCH(UBI_RTL2_SNo,'Facility Master'!A:A,0))&gt;B27),INDEX('Facility Master'!K:K,MATCH(UBI_RTL2_SNo,'Facility Master'!A:A,0)),0),0)</f>
        <v>0</v>
      </c>
      <c r="K28" s="710" t="n">
        <f aca="false">IFERROR(IF(B28&lt;UBI_RTL2_RepStart,0,IF(B28&gt;UBI_RTL2_Maturity,0,IF(COUNTIFS($B$5:$B28,"&gt;="&amp;UBI_RTL2_RepStart,$B$5:$B28,"&lt;="&amp;UBI_RTL2_Maturity)&lt;=8,INDEX('Facility Master'!K:K,MATCH(UBI_RTL2_SNo,'Facility Master'!A:A,0))*0.0125,IF(COUNTIFS($B$5:$B28,"&gt;="&amp;UBI_RTL2_RepStart,$B$5:$B28,"&lt;="&amp;UBI_RTL2_Maturity)&lt;=48,INDEX('Facility Master'!K:K,MATCH(UBI_RTL2_SNo,'Facility Master'!A:A,0))*0.0225,0)))),0)</f>
        <v>2.95</v>
      </c>
      <c r="L28" s="710" t="n">
        <f aca="false">IFERROR((I28+(J28-K28)/2)*INDEX('Facility Master'!R:R,MATCH(UBI_RTL2_SNo,'Facility Master'!A:A,0))*(B28-B27)/DaysInYear,0)</f>
        <v>4.79900342465753</v>
      </c>
      <c r="M28" s="710" t="n">
        <f aca="false">IFERROR(ROUND(MAX(I28+J28-K28,0),6),0)</f>
        <v>212.4</v>
      </c>
      <c r="N28" s="710" t="n">
        <f aca="false">IFERROR(MAX(R27,0),0)</f>
        <v>211.5</v>
      </c>
      <c r="O28" s="710" t="n">
        <f aca="false">IFERROR(IF(AND(INDEX('Facility Master'!X:X,MATCH(IB_TL_SNo,'Facility Master'!A:A,0))&lt;=B28,INDEX('Facility Master'!X:X,MATCH(IB_TL_SNo,'Facility Master'!A:A,0))&gt;B27),INDEX('Facility Master'!K:K,MATCH(IB_TL_SNo,'Facility Master'!A:A,0)),0),0)</f>
        <v>0</v>
      </c>
      <c r="P28" s="710" t="n">
        <f aca="false">IFERROR(IF(B28&lt;IB_TL_RepStart,0,IF(B28&gt;IB_TL_Maturity,0,IF(COUNTIFS($B$5:$B28,"&gt;="&amp;IB_TL_RepStart,$B$5:$B28,"&lt;="&amp;IB_TL_Maturity)&lt;=8,INDEX('Facility Master'!K:K,MATCH(IB_TL_SNo,'Facility Master'!A:A,0))*0.0125,IF(COUNTIFS($B$5:$B28,"&gt;="&amp;IB_TL_RepStart,$B$5:$B28,"&lt;="&amp;IB_TL_Maturity)&lt;=48,INDEX('Facility Master'!K:K,MATCH(IB_TL_SNo,'Facility Master'!A:A,0))*0.0225,0)))),0)</f>
        <v>5.2875</v>
      </c>
      <c r="Q28" s="710" t="n">
        <f aca="false">IFERROR((N28+(O28-P28)/2)*INDEX('Facility Master'!R:R,MATCH(IB_TL_SNo,'Facility Master'!A:A,0))*(B28-B27)/DaysInYear,0)</f>
        <v>4.84088732876712</v>
      </c>
      <c r="R28" s="710" t="n">
        <f aca="false">IFERROR(ROUND(MAX(N28+O28-P28,0),6),0)</f>
        <v>206.2125</v>
      </c>
      <c r="S28" s="711" t="n">
        <f aca="false">IFERROR(MAX(W27,0),0)</f>
        <v>0</v>
      </c>
      <c r="T28" s="711" t="n">
        <f aca="false">IFERROR(IF(AND(INDEX('Facility Master'!X:X,MATCH(RBL_TL_SNo,'Facility Master'!A:A,0))&lt;=B28,INDEX('Facility Master'!X:X,MATCH(RBL_TL_SNo,'Facility Master'!A:A,0))&gt;B27),INDEX('Facility Master'!K:K,MATCH(RBL_TL_SNo,'Facility Master'!A:A,0)),0),0)</f>
        <v>0</v>
      </c>
      <c r="U28" s="711" t="n">
        <f aca="false">IFERROR(IF(AND(RBL_TL_Maturity&lt;=B28,RBL_TL_Maturity&gt;B27),INDEX('Facility Master'!K:K,MATCH(RBL_TL_SNo,'Facility Master'!A:A,0)),0),0)</f>
        <v>0</v>
      </c>
      <c r="V28" s="711" t="n">
        <f aca="false">IFERROR((S28+(T28-U28)/2)*INDEX('Facility Master'!R:R,MATCH(RBL_TL_SNo,'Facility Master'!A:A,0))*(B28-B27)/DaysInYear,0)</f>
        <v>0</v>
      </c>
      <c r="W28" s="711" t="n">
        <f aca="false">IFERROR(ROUND(MAX(S28+T28-U28,0),6),0)</f>
        <v>0</v>
      </c>
      <c r="X28" s="710" t="n">
        <f aca="false">IFERROR(MAX(AB27,0),0)</f>
        <v>593.125</v>
      </c>
      <c r="Y28" s="710" t="n">
        <f aca="false">IFERROR(IF(AND(INDEX('Facility Master'!X:X,MATCH(YBL_TL_SNo,'Facility Master'!A:A,0))&lt;=B28,INDEX('Facility Master'!X:X,MATCH(YBL_TL_SNo,'Facility Master'!A:A,0))&gt;B27),INDEX('Facility Master'!K:K,MATCH(YBL_TL_SNo,'Facility Master'!A:A,0)),0),0)</f>
        <v>0</v>
      </c>
      <c r="Z28" s="710" t="n">
        <f aca="false">IFERROR(IF(B28&lt;YBL_TL_RepStart,0,IF(B28&gt;YBL_TL_Maturity,0,IF(COUNTIFS($B$5:$B28,"&gt;="&amp;YBL_TL_RepStart,$B$5:$B28,"&lt;="&amp;YBL_TL_Maturity)&lt;=8,INDEX('Facility Master'!K:K,MATCH(YBL_TL_SNo,'Facility Master'!A:A,0))*0.0125,IF(COUNTIFS($B$5:$B28,"&gt;="&amp;YBL_TL_RepStart,$B$5:$B28,"&lt;="&amp;YBL_TL_Maturity)&lt;=48,INDEX('Facility Master'!K:K,MATCH(YBL_TL_SNo,'Facility Master'!A:A,0))*0.0225,0)))),0)</f>
        <v>8.125</v>
      </c>
      <c r="AA28" s="710" t="n">
        <f aca="false">IFERROR((X28+(Y28-Z28)/2)*INDEX('Facility Master'!R:R,MATCH(YBL_TL_SNo,'Facility Master'!A:A,0))*(B28-B27)/DaysInYear,0)</f>
        <v>13.8712114726027</v>
      </c>
      <c r="AB28" s="710" t="n">
        <f aca="false">IFERROR(ROUND(MAX(X28+Y28-Z28,0),6),0)</f>
        <v>585</v>
      </c>
      <c r="AC28" s="710" t="n">
        <f aca="false">IFERROR(MAX(AG27,0),0)</f>
        <v>483.625</v>
      </c>
      <c r="AD28" s="710" t="n">
        <f aca="false">IFERROR(IF(AND(INDEX('Facility Master'!X:X,MATCH(IDFC_TL_SNo,'Facility Master'!A:A,0))&lt;=B28,INDEX('Facility Master'!X:X,MATCH(IDFC_TL_SNo,'Facility Master'!A:A,0))&gt;B27),INDEX('Facility Master'!K:K,MATCH(IDFC_TL_SNo,'Facility Master'!A:A,0)),0),0)</f>
        <v>0</v>
      </c>
      <c r="AE28" s="710" t="n">
        <f aca="false">IFERROR(IF(B28&lt;IDFC_TL_RepStart,0,IF(B28&gt;IDFC_TL_Maturity,0,IF(COUNTIFS($B$5:$B28,"&gt;="&amp;IDFC_TL_RepStart,$B$5:$B28,"&lt;="&amp;IDFC_TL_Maturity)&lt;=8,INDEX('Facility Master'!K:K,MATCH(IDFC_TL_SNo,'Facility Master'!A:A,0))*0.0125,IF(COUNTIFS($B$5:$B28,"&gt;="&amp;IDFC_TL_RepStart,$B$5:$B28,"&lt;="&amp;IDFC_TL_Maturity)&lt;=48,INDEX('Facility Master'!K:K,MATCH(IDFC_TL_SNo,'Facility Master'!A:A,0))*0.0225,0)))),0)</f>
        <v>6.625</v>
      </c>
      <c r="AF28" s="710" t="n">
        <f aca="false">IFERROR((AC28+(AD28-AE28)/2)*INDEX('Facility Master'!R:R,MATCH(IDFC_TL_SNo,'Facility Master'!A:A,0))*(B28-B27)/DaysInYear,0)</f>
        <v>10.4221232876712</v>
      </c>
      <c r="AG28" s="710" t="n">
        <f aca="false">IFERROR(ROUND(MAX(AC28+AD28-AE28,0),6),0)</f>
        <v>477</v>
      </c>
      <c r="AH28" s="703" t="n">
        <f aca="false">IFERROR(MAX(AL27,0),0)</f>
        <v>766.5</v>
      </c>
      <c r="AI28" s="703" t="n">
        <f aca="false">IFERROR(IF(AND(INDEX('Facility Master'!X:X,MATCH(ICICI_TL_SNo,'Facility Master'!A:A,0))&lt;=B28,INDEX('Facility Master'!X:X,MATCH(ICICI_TL_SNo,'Facility Master'!A:A,0))&gt;B27),INDEX('Facility Master'!K:K,MATCH(ICICI_TL_SNo,'Facility Master'!A:A,0)),0),0)</f>
        <v>0</v>
      </c>
      <c r="AJ28" s="703" t="n">
        <f aca="false">IFERROR(IF(B28&lt;ICICI_TL_RepStart,0,IF(B28&gt;ICICI_TL_Maturity,0,IF(COUNTIFS($B$5:$B28,"&gt;="&amp;ICICI_TL_RepStart,$B$5:$B28,"&lt;="&amp;ICICI_TL_Maturity)&lt;=8,INDEX('Facility Master'!K:K,MATCH(ICICI_TL_SNo,'Facility Master'!A:A,0))*0.0125,IF(COUNTIFS($B$5:$B28,"&gt;="&amp;ICICI_TL_RepStart,$B$5:$B28,"&lt;="&amp;ICICI_TL_Maturity)&lt;=48,INDEX('Facility Master'!K:K,MATCH(ICICI_TL_SNo,'Facility Master'!A:A,0))*0.0225,0)))),0)</f>
        <v>10.5</v>
      </c>
      <c r="AK28" s="703" t="n">
        <f aca="false">IFERROR((AH28+(AI28-AJ28)/2)*INDEX('Facility Master'!R:R,MATCH(ICICI_TL_SNo,'Facility Master'!A:A,0))*(B28-B27)/DaysInYear,0)</f>
        <v>16.3303767123288</v>
      </c>
      <c r="AL28" s="703" t="n">
        <f aca="false">IFERROR(ROUND(MAX(AH28+AI28-AJ28,0),6),0)</f>
        <v>756</v>
      </c>
      <c r="AM28" s="712" t="n">
        <f aca="false">F28+K28+P28+Z28+AE28+AJ28</f>
        <v>47.55</v>
      </c>
      <c r="AN28" s="712" t="n">
        <f aca="false">G28+L28+Q28+AA28+AF28+AK28</f>
        <v>73.8943813356164</v>
      </c>
      <c r="AO28" s="712" t="n">
        <f aca="false">AM28+AN28</f>
        <v>121.444381335616</v>
      </c>
      <c r="AP28" s="712" t="n">
        <f aca="false">H28+M28+R28+AB28+AG28+AL28</f>
        <v>3249.1125</v>
      </c>
    </row>
    <row r="29" customFormat="false" ht="15.75" hidden="false" customHeight="true" outlineLevel="0" collapsed="false">
      <c r="A29" s="496" t="n">
        <v>25</v>
      </c>
      <c r="B29" s="696" t="n">
        <v>47299</v>
      </c>
      <c r="C29" s="496" t="s">
        <v>689</v>
      </c>
      <c r="D29" s="500" t="n">
        <f aca="false">IFERROR(MAX(H28,0),0)</f>
        <v>1012.5</v>
      </c>
      <c r="E29" s="500" t="n">
        <f aca="false">IFERROR(IF(AND(INDEX('Facility Master'!X:X,MATCH(UBI_RTL1_SNo,'Facility Master'!A:A,0))&lt;=B29,INDEX('Facility Master'!X:X,MATCH(UBI_RTL1_SNo,'Facility Master'!A:A,0))&gt;B28),INDEX('Facility Master'!K:K,MATCH(UBI_RTL1_SNo,'Facility Master'!A:A,0)),0),0)</f>
        <v>0</v>
      </c>
      <c r="F29" s="500" t="n">
        <f aca="false">IFERROR(IF(B29&lt;UBI_RTL1_RepStart,0,IF(B29&gt;UBI_RTL1_Maturity,0,IF(COUNTIFS($B$5:$B29,"&gt;="&amp;UBI_RTL1_RepStart,$B$5:$B29,"&lt;="&amp;UBI_RTL1_Maturity)&lt;=8,INDEX('Facility Master'!K:K,MATCH(UBI_RTL1_SNo,'Facility Master'!A:A,0))*0.0125,IF(COUNTIFS($B$5:$B29,"&gt;="&amp;UBI_RTL1_RepStart,$B$5:$B29,"&lt;="&amp;UBI_RTL1_Maturity)&lt;=48,INDEX('Facility Master'!K:K,MATCH(UBI_RTL1_SNo,'Facility Master'!A:A,0))*0.0225,0)))),0)</f>
        <v>25.3125</v>
      </c>
      <c r="G29" s="500" t="n">
        <f aca="false">IFERROR((D29+(E29-F29)/2)*INDEX('Facility Master'!R:R,MATCH(UBI_RTL1_SNo,'Facility Master'!A:A,0))*(B29-B28)/DaysInYear,0)</f>
        <v>23.4319546232877</v>
      </c>
      <c r="H29" s="500" t="n">
        <f aca="false">IFERROR(ROUND(MAX(D29+E29-F29,0),6),0)</f>
        <v>987.1875</v>
      </c>
      <c r="I29" s="500" t="n">
        <f aca="false">IFERROR(MAX(M28,0),0)</f>
        <v>212.4</v>
      </c>
      <c r="J29" s="500" t="n">
        <f aca="false">IFERROR(IF(AND(INDEX('Facility Master'!X:X,MATCH(UBI_RTL2_SNo,'Facility Master'!A:A,0))&lt;=B29,INDEX('Facility Master'!X:X,MATCH(UBI_RTL2_SNo,'Facility Master'!A:A,0))&gt;B28),INDEX('Facility Master'!K:K,MATCH(UBI_RTL2_SNo,'Facility Master'!A:A,0)),0),0)</f>
        <v>0</v>
      </c>
      <c r="K29" s="500" t="n">
        <f aca="false">IFERROR(IF(B29&lt;UBI_RTL2_RepStart,0,IF(B29&gt;UBI_RTL2_Maturity,0,IF(COUNTIFS($B$5:$B29,"&gt;="&amp;UBI_RTL2_RepStart,$B$5:$B29,"&lt;="&amp;UBI_RTL2_Maturity)&lt;=8,INDEX('Facility Master'!K:K,MATCH(UBI_RTL2_SNo,'Facility Master'!A:A,0))*0.0125,IF(COUNTIFS($B$5:$B29,"&gt;="&amp;UBI_RTL2_RepStart,$B$5:$B29,"&lt;="&amp;UBI_RTL2_Maturity)&lt;=48,INDEX('Facility Master'!K:K,MATCH(UBI_RTL2_SNo,'Facility Master'!A:A,0))*0.0225,0)))),0)</f>
        <v>5.31</v>
      </c>
      <c r="L29" s="500" t="n">
        <f aca="false">IFERROR((I29+(J29-K29)/2)*INDEX('Facility Master'!R:R,MATCH(UBI_RTL2_SNo,'Facility Master'!A:A,0))*(B29-B28)/DaysInYear,0)</f>
        <v>4.75862560273973</v>
      </c>
      <c r="M29" s="500" t="n">
        <f aca="false">IFERROR(ROUND(MAX(I29+J29-K29,0),6),0)</f>
        <v>207.09</v>
      </c>
      <c r="N29" s="500" t="n">
        <f aca="false">IFERROR(MAX(R28,0),0)</f>
        <v>206.2125</v>
      </c>
      <c r="O29" s="500" t="n">
        <f aca="false">IFERROR(IF(AND(INDEX('Facility Master'!X:X,MATCH(IB_TL_SNo,'Facility Master'!A:A,0))&lt;=B29,INDEX('Facility Master'!X:X,MATCH(IB_TL_SNo,'Facility Master'!A:A,0))&gt;B28),INDEX('Facility Master'!K:K,MATCH(IB_TL_SNo,'Facility Master'!A:A,0)),0),0)</f>
        <v>0</v>
      </c>
      <c r="P29" s="500" t="n">
        <f aca="false">IFERROR(IF(B29&lt;IB_TL_RepStart,0,IF(B29&gt;IB_TL_Maturity,0,IF(COUNTIFS($B$5:$B29,"&gt;="&amp;IB_TL_RepStart,$B$5:$B29,"&lt;="&amp;IB_TL_Maturity)&lt;=8,INDEX('Facility Master'!K:K,MATCH(IB_TL_SNo,'Facility Master'!A:A,0))*0.0125,IF(COUNTIFS($B$5:$B29,"&gt;="&amp;IB_TL_RepStart,$B$5:$B29,"&lt;="&amp;IB_TL_Maturity)&lt;=48,INDEX('Facility Master'!K:K,MATCH(IB_TL_SNo,'Facility Master'!A:A,0))*0.0225,0)))),0)</f>
        <v>5.2875</v>
      </c>
      <c r="Q29" s="500" t="n">
        <f aca="false">IFERROR((N29+(O29-P29)/2)*INDEX('Facility Master'!R:R,MATCH(IB_TL_SNo,'Facility Master'!A:A,0))*(B29-B28)/DaysInYear,0)</f>
        <v>4.77075914383562</v>
      </c>
      <c r="R29" s="500" t="n">
        <f aca="false">IFERROR(ROUND(MAX(N29+O29-P29,0),6),0)</f>
        <v>200.925</v>
      </c>
      <c r="S29" s="697" t="n">
        <f aca="false">IFERROR(MAX(W28,0),0)</f>
        <v>0</v>
      </c>
      <c r="T29" s="697" t="n">
        <f aca="false">IFERROR(IF(AND(INDEX('Facility Master'!X:X,MATCH(RBL_TL_SNo,'Facility Master'!A:A,0))&lt;=B29,INDEX('Facility Master'!X:X,MATCH(RBL_TL_SNo,'Facility Master'!A:A,0))&gt;B28),INDEX('Facility Master'!K:K,MATCH(RBL_TL_SNo,'Facility Master'!A:A,0)),0),0)</f>
        <v>0</v>
      </c>
      <c r="U29" s="697" t="n">
        <f aca="false">IFERROR(IF(AND(RBL_TL_Maturity&lt;=B29,RBL_TL_Maturity&gt;B28),INDEX('Facility Master'!K:K,MATCH(RBL_TL_SNo,'Facility Master'!A:A,0)),0),0)</f>
        <v>0</v>
      </c>
      <c r="V29" s="697" t="n">
        <f aca="false">IFERROR((S29+(T29-U29)/2)*INDEX('Facility Master'!R:R,MATCH(RBL_TL_SNo,'Facility Master'!A:A,0))*(B29-B28)/DaysInYear,0)</f>
        <v>0</v>
      </c>
      <c r="W29" s="697" t="n">
        <f aca="false">IFERROR(ROUND(MAX(S29+T29-U29,0),6),0)</f>
        <v>0</v>
      </c>
      <c r="X29" s="500" t="n">
        <f aca="false">IFERROR(MAX(AB28,0),0)</f>
        <v>585</v>
      </c>
      <c r="Y29" s="500" t="n">
        <f aca="false">IFERROR(IF(AND(INDEX('Facility Master'!X:X,MATCH(YBL_TL_SNo,'Facility Master'!A:A,0))&lt;=B29,INDEX('Facility Master'!X:X,MATCH(YBL_TL_SNo,'Facility Master'!A:A,0))&gt;B28),INDEX('Facility Master'!K:K,MATCH(YBL_TL_SNo,'Facility Master'!A:A,0)),0),0)</f>
        <v>0</v>
      </c>
      <c r="Z29" s="500" t="n">
        <f aca="false">IFERROR(IF(B29&lt;YBL_TL_RepStart,0,IF(B29&gt;YBL_TL_Maturity,0,IF(COUNTIFS($B$5:$B29,"&gt;="&amp;YBL_TL_RepStart,$B$5:$B29,"&lt;="&amp;YBL_TL_Maturity)&lt;=8,INDEX('Facility Master'!K:K,MATCH(YBL_TL_SNo,'Facility Master'!A:A,0))*0.0125,IF(COUNTIFS($B$5:$B29,"&gt;="&amp;YBL_TL_RepStart,$B$5:$B29,"&lt;="&amp;YBL_TL_Maturity)&lt;=48,INDEX('Facility Master'!K:K,MATCH(YBL_TL_SNo,'Facility Master'!A:A,0))*0.0225,0)))),0)</f>
        <v>14.625</v>
      </c>
      <c r="AA29" s="500" t="n">
        <f aca="false">IFERROR((X29+(Y29-Z29)/2)*INDEX('Facility Master'!R:R,MATCH(YBL_TL_SNo,'Facility Master'!A:A,0))*(B29-B28)/DaysInYear,0)</f>
        <v>13.7545019691781</v>
      </c>
      <c r="AB29" s="500" t="n">
        <f aca="false">IFERROR(ROUND(MAX(X29+Y29-Z29,0),6),0)</f>
        <v>570.375</v>
      </c>
      <c r="AC29" s="500" t="n">
        <f aca="false">IFERROR(MAX(AG28,0),0)</f>
        <v>477</v>
      </c>
      <c r="AD29" s="500" t="n">
        <f aca="false">IFERROR(IF(AND(INDEX('Facility Master'!X:X,MATCH(IDFC_TL_SNo,'Facility Master'!A:A,0))&lt;=B29,INDEX('Facility Master'!X:X,MATCH(IDFC_TL_SNo,'Facility Master'!A:A,0))&gt;B28),INDEX('Facility Master'!K:K,MATCH(IDFC_TL_SNo,'Facility Master'!A:A,0)),0),0)</f>
        <v>0</v>
      </c>
      <c r="AE29" s="500" t="n">
        <f aca="false">IFERROR(IF(B29&lt;IDFC_TL_RepStart,0,IF(B29&gt;IDFC_TL_Maturity,0,IF(COUNTIFS($B$5:$B29,"&gt;="&amp;IDFC_TL_RepStart,$B$5:$B29,"&lt;="&amp;IDFC_TL_Maturity)&lt;=8,INDEX('Facility Master'!K:K,MATCH(IDFC_TL_SNo,'Facility Master'!A:A,0))*0.0125,IF(COUNTIFS($B$5:$B29,"&gt;="&amp;IDFC_TL_RepStart,$B$5:$B29,"&lt;="&amp;IDFC_TL_Maturity)&lt;=48,INDEX('Facility Master'!K:K,MATCH(IDFC_TL_SNo,'Facility Master'!A:A,0))*0.0225,0)))),0)</f>
        <v>11.925</v>
      </c>
      <c r="AF29" s="500" t="n">
        <f aca="false">IFERROR((AC29+(AD29-AE29)/2)*INDEX('Facility Master'!R:R,MATCH(IDFC_TL_SNo,'Facility Master'!A:A,0))*(B29-B28)/DaysInYear,0)</f>
        <v>10.3344336986301</v>
      </c>
      <c r="AG29" s="500" t="n">
        <f aca="false">IFERROR(ROUND(MAX(AC29+AD29-AE29,0),6),0)</f>
        <v>465.075</v>
      </c>
      <c r="AH29" s="698" t="n">
        <f aca="false">IFERROR(MAX(AL28,0),0)</f>
        <v>756</v>
      </c>
      <c r="AI29" s="698" t="n">
        <f aca="false">IFERROR(IF(AND(INDEX('Facility Master'!X:X,MATCH(ICICI_TL_SNo,'Facility Master'!A:A,0))&lt;=B29,INDEX('Facility Master'!X:X,MATCH(ICICI_TL_SNo,'Facility Master'!A:A,0))&gt;B28),INDEX('Facility Master'!K:K,MATCH(ICICI_TL_SNo,'Facility Master'!A:A,0)),0),0)</f>
        <v>0</v>
      </c>
      <c r="AJ29" s="698" t="n">
        <f aca="false">IFERROR(IF(B29&lt;ICICI_TL_RepStart,0,IF(B29&gt;ICICI_TL_Maturity,0,IF(COUNTIFS($B$5:$B29,"&gt;="&amp;ICICI_TL_RepStart,$B$5:$B29,"&lt;="&amp;ICICI_TL_Maturity)&lt;=8,INDEX('Facility Master'!K:K,MATCH(ICICI_TL_SNo,'Facility Master'!A:A,0))*0.0125,IF(COUNTIFS($B$5:$B29,"&gt;="&amp;ICICI_TL_RepStart,$B$5:$B29,"&lt;="&amp;ICICI_TL_Maturity)&lt;=48,INDEX('Facility Master'!K:K,MATCH(ICICI_TL_SNo,'Facility Master'!A:A,0))*0.0225,0)))),0)</f>
        <v>18.9</v>
      </c>
      <c r="AK29" s="698" t="n">
        <f aca="false">IFERROR((AH29+(AI29-AJ29)/2)*INDEX('Facility Master'!R:R,MATCH(ICICI_TL_SNo,'Facility Master'!A:A,0))*(B29-B28)/DaysInYear,0)</f>
        <v>16.1929763013699</v>
      </c>
      <c r="AL29" s="698" t="n">
        <f aca="false">IFERROR(ROUND(MAX(AH29+AI29-AJ29,0),6),0)</f>
        <v>737.1</v>
      </c>
      <c r="AM29" s="500" t="n">
        <f aca="false">F29+K29+P29+Z29+AE29+AJ29</f>
        <v>81.36</v>
      </c>
      <c r="AN29" s="500" t="n">
        <f aca="false">G29+L29+Q29+AA29+AF29+AK29</f>
        <v>73.2432513390411</v>
      </c>
      <c r="AO29" s="500" t="n">
        <f aca="false">AM29+AN29</f>
        <v>154.603251339041</v>
      </c>
      <c r="AP29" s="500" t="n">
        <f aca="false">H29+M29+R29+AB29+AG29+AL29</f>
        <v>3167.7525</v>
      </c>
    </row>
    <row r="30" customFormat="false" ht="15.75" hidden="false" customHeight="true" outlineLevel="0" collapsed="false">
      <c r="A30" s="699" t="n">
        <v>26</v>
      </c>
      <c r="B30" s="700" t="n">
        <v>47391</v>
      </c>
      <c r="C30" s="699" t="s">
        <v>690</v>
      </c>
      <c r="D30" s="701" t="n">
        <f aca="false">IFERROR(MAX(H29,0),0)</f>
        <v>987.1875</v>
      </c>
      <c r="E30" s="701" t="n">
        <f aca="false">IFERROR(IF(AND(INDEX('Facility Master'!X:X,MATCH(UBI_RTL1_SNo,'Facility Master'!A:A,0))&lt;=B30,INDEX('Facility Master'!X:X,MATCH(UBI_RTL1_SNo,'Facility Master'!A:A,0))&gt;B29),INDEX('Facility Master'!K:K,MATCH(UBI_RTL1_SNo,'Facility Master'!A:A,0)),0),0)</f>
        <v>0</v>
      </c>
      <c r="F30" s="701" t="n">
        <f aca="false">IFERROR(IF(B30&lt;UBI_RTL1_RepStart,0,IF(B30&gt;UBI_RTL1_Maturity,0,IF(COUNTIFS($B$5:$B30,"&gt;="&amp;UBI_RTL1_RepStart,$B$5:$B30,"&lt;="&amp;UBI_RTL1_Maturity)&lt;=8,INDEX('Facility Master'!K:K,MATCH(UBI_RTL1_SNo,'Facility Master'!A:A,0))*0.0125,IF(COUNTIFS($B$5:$B30,"&gt;="&amp;UBI_RTL1_RepStart,$B$5:$B30,"&lt;="&amp;UBI_RTL1_Maturity)&lt;=48,INDEX('Facility Master'!K:K,MATCH(UBI_RTL1_SNo,'Facility Master'!A:A,0))*0.0225,0)))),0)</f>
        <v>25.3125</v>
      </c>
      <c r="G30" s="701" t="n">
        <f aca="false">IFERROR((D30+(E30-F30)/2)*INDEX('Facility Master'!R:R,MATCH(UBI_RTL1_SNo,'Facility Master'!A:A,0))*(B30-B29)/DaysInYear,0)</f>
        <v>23.0897157534247</v>
      </c>
      <c r="H30" s="701" t="n">
        <f aca="false">IFERROR(ROUND(MAX(D30+E30-F30,0),6),0)</f>
        <v>961.875</v>
      </c>
      <c r="I30" s="701" t="n">
        <f aca="false">IFERROR(MAX(M29,0),0)</f>
        <v>207.09</v>
      </c>
      <c r="J30" s="701" t="n">
        <f aca="false">IFERROR(IF(AND(INDEX('Facility Master'!X:X,MATCH(UBI_RTL2_SNo,'Facility Master'!A:A,0))&lt;=B30,INDEX('Facility Master'!X:X,MATCH(UBI_RTL2_SNo,'Facility Master'!A:A,0))&gt;B29),INDEX('Facility Master'!K:K,MATCH(UBI_RTL2_SNo,'Facility Master'!A:A,0)),0),0)</f>
        <v>0</v>
      </c>
      <c r="K30" s="701" t="n">
        <f aca="false">IFERROR(IF(B30&lt;UBI_RTL2_RepStart,0,IF(B30&gt;UBI_RTL2_Maturity,0,IF(COUNTIFS($B$5:$B30,"&gt;="&amp;UBI_RTL2_RepStart,$B$5:$B30,"&lt;="&amp;UBI_RTL2_Maturity)&lt;=8,INDEX('Facility Master'!K:K,MATCH(UBI_RTL2_SNo,'Facility Master'!A:A,0))*0.0125,IF(COUNTIFS($B$5:$B30,"&gt;="&amp;UBI_RTL2_RepStart,$B$5:$B30,"&lt;="&amp;UBI_RTL2_Maturity)&lt;=48,INDEX('Facility Master'!K:K,MATCH(UBI_RTL2_SNo,'Facility Master'!A:A,0))*0.0225,0)))),0)</f>
        <v>5.31</v>
      </c>
      <c r="L30" s="701" t="n">
        <f aca="false">IFERROR((I30+(J30-K30)/2)*INDEX('Facility Master'!R:R,MATCH(UBI_RTL2_SNo,'Facility Master'!A:A,0))*(B30-B29)/DaysInYear,0)</f>
        <v>4.68912279452055</v>
      </c>
      <c r="M30" s="701" t="n">
        <f aca="false">IFERROR(ROUND(MAX(I30+J30-K30,0),6),0)</f>
        <v>201.78</v>
      </c>
      <c r="N30" s="701" t="n">
        <f aca="false">IFERROR(MAX(R29,0),0)</f>
        <v>200.925</v>
      </c>
      <c r="O30" s="701" t="n">
        <f aca="false">IFERROR(IF(AND(INDEX('Facility Master'!X:X,MATCH(IB_TL_SNo,'Facility Master'!A:A,0))&lt;=B30,INDEX('Facility Master'!X:X,MATCH(IB_TL_SNo,'Facility Master'!A:A,0))&gt;B29),INDEX('Facility Master'!K:K,MATCH(IB_TL_SNo,'Facility Master'!A:A,0)),0),0)</f>
        <v>0</v>
      </c>
      <c r="P30" s="701" t="n">
        <f aca="false">IFERROR(IF(B30&lt;IB_TL_RepStart,0,IF(B30&gt;IB_TL_Maturity,0,IF(COUNTIFS($B$5:$B30,"&gt;="&amp;IB_TL_RepStart,$B$5:$B30,"&lt;="&amp;IB_TL_Maturity)&lt;=8,INDEX('Facility Master'!K:K,MATCH(IB_TL_SNo,'Facility Master'!A:A,0))*0.0125,IF(COUNTIFS($B$5:$B30,"&gt;="&amp;IB_TL_RepStart,$B$5:$B30,"&lt;="&amp;IB_TL_Maturity)&lt;=48,INDEX('Facility Master'!K:K,MATCH(IB_TL_SNo,'Facility Master'!A:A,0))*0.0225,0)))),0)</f>
        <v>5.2875</v>
      </c>
      <c r="Q30" s="701" t="n">
        <f aca="false">IFERROR((N30+(O30-P30)/2)*INDEX('Facility Master'!R:R,MATCH(IB_TL_SNo,'Facility Master'!A:A,0))*(B30-B29)/DaysInYear,0)</f>
        <v>4.69790753424658</v>
      </c>
      <c r="R30" s="701" t="n">
        <f aca="false">IFERROR(ROUND(MAX(N30+O30-P30,0),6),0)</f>
        <v>195.6375</v>
      </c>
      <c r="S30" s="702" t="n">
        <f aca="false">IFERROR(MAX(W29,0),0)</f>
        <v>0</v>
      </c>
      <c r="T30" s="702" t="n">
        <f aca="false">IFERROR(IF(AND(INDEX('Facility Master'!X:X,MATCH(RBL_TL_SNo,'Facility Master'!A:A,0))&lt;=B30,INDEX('Facility Master'!X:X,MATCH(RBL_TL_SNo,'Facility Master'!A:A,0))&gt;B29),INDEX('Facility Master'!K:K,MATCH(RBL_TL_SNo,'Facility Master'!A:A,0)),0),0)</f>
        <v>0</v>
      </c>
      <c r="U30" s="702" t="n">
        <f aca="false">IFERROR(IF(AND(RBL_TL_Maturity&lt;=B30,RBL_TL_Maturity&gt;B29),INDEX('Facility Master'!K:K,MATCH(RBL_TL_SNo,'Facility Master'!A:A,0)),0),0)</f>
        <v>0</v>
      </c>
      <c r="V30" s="702" t="n">
        <f aca="false">IFERROR((S30+(T30-U30)/2)*INDEX('Facility Master'!R:R,MATCH(RBL_TL_SNo,'Facility Master'!A:A,0))*(B30-B29)/DaysInYear,0)</f>
        <v>0</v>
      </c>
      <c r="W30" s="702" t="n">
        <f aca="false">IFERROR(ROUND(MAX(S30+T30-U30,0),6),0)</f>
        <v>0</v>
      </c>
      <c r="X30" s="701" t="n">
        <f aca="false">IFERROR(MAX(AB29,0),0)</f>
        <v>570.375</v>
      </c>
      <c r="Y30" s="701" t="n">
        <f aca="false">IFERROR(IF(AND(INDEX('Facility Master'!X:X,MATCH(YBL_TL_SNo,'Facility Master'!A:A,0))&lt;=B30,INDEX('Facility Master'!X:X,MATCH(YBL_TL_SNo,'Facility Master'!A:A,0))&gt;B29),INDEX('Facility Master'!K:K,MATCH(YBL_TL_SNo,'Facility Master'!A:A,0)),0),0)</f>
        <v>0</v>
      </c>
      <c r="Z30" s="701" t="n">
        <f aca="false">IFERROR(IF(B30&lt;YBL_TL_RepStart,0,IF(B30&gt;YBL_TL_Maturity,0,IF(COUNTIFS($B$5:$B30,"&gt;="&amp;YBL_TL_RepStart,$B$5:$B30,"&lt;="&amp;YBL_TL_Maturity)&lt;=8,INDEX('Facility Master'!K:K,MATCH(YBL_TL_SNo,'Facility Master'!A:A,0))*0.0125,IF(COUNTIFS($B$5:$B30,"&gt;="&amp;YBL_TL_RepStart,$B$5:$B30,"&lt;="&amp;YBL_TL_Maturity)&lt;=48,INDEX('Facility Master'!K:K,MATCH(YBL_TL_SNo,'Facility Master'!A:A,0))*0.0225,0)))),0)</f>
        <v>14.625</v>
      </c>
      <c r="AA30" s="701" t="n">
        <f aca="false">IFERROR((X30+(Y30-Z30)/2)*INDEX('Facility Master'!R:R,MATCH(YBL_TL_SNo,'Facility Master'!A:A,0))*(B30-B29)/DaysInYear,0)</f>
        <v>13.5536085616438</v>
      </c>
      <c r="AB30" s="701" t="n">
        <f aca="false">IFERROR(ROUND(MAX(X30+Y30-Z30,0),6),0)</f>
        <v>555.75</v>
      </c>
      <c r="AC30" s="701" t="n">
        <f aca="false">IFERROR(MAX(AG29,0),0)</f>
        <v>465.075</v>
      </c>
      <c r="AD30" s="701" t="n">
        <f aca="false">IFERROR(IF(AND(INDEX('Facility Master'!X:X,MATCH(IDFC_TL_SNo,'Facility Master'!A:A,0))&lt;=B30,INDEX('Facility Master'!X:X,MATCH(IDFC_TL_SNo,'Facility Master'!A:A,0))&gt;B29),INDEX('Facility Master'!K:K,MATCH(IDFC_TL_SNo,'Facility Master'!A:A,0)),0),0)</f>
        <v>0</v>
      </c>
      <c r="AE30" s="701" t="n">
        <f aca="false">IFERROR(IF(B30&lt;IDFC_TL_RepStart,0,IF(B30&gt;IDFC_TL_Maturity,0,IF(COUNTIFS($B$5:$B30,"&gt;="&amp;IDFC_TL_RepStart,$B$5:$B30,"&lt;="&amp;IDFC_TL_Maturity)&lt;=8,INDEX('Facility Master'!K:K,MATCH(IDFC_TL_SNo,'Facility Master'!A:A,0))*0.0125,IF(COUNTIFS($B$5:$B30,"&gt;="&amp;IDFC_TL_RepStart,$B$5:$B30,"&lt;="&amp;IDFC_TL_Maturity)&lt;=48,INDEX('Facility Master'!K:K,MATCH(IDFC_TL_SNo,'Facility Master'!A:A,0))*0.0225,0)))),0)</f>
        <v>11.925</v>
      </c>
      <c r="AF30" s="701" t="n">
        <f aca="false">IFERROR((AC30+(AD30-AE30)/2)*INDEX('Facility Master'!R:R,MATCH(IDFC_TL_SNo,'Facility Master'!A:A,0))*(B30-B29)/DaysInYear,0)</f>
        <v>10.1834926027397</v>
      </c>
      <c r="AG30" s="701" t="n">
        <f aca="false">IFERROR(ROUND(MAX(AC30+AD30-AE30,0),6),0)</f>
        <v>453.15</v>
      </c>
      <c r="AH30" s="703" t="n">
        <f aca="false">IFERROR(MAX(AL29,0),0)</f>
        <v>737.1</v>
      </c>
      <c r="AI30" s="703" t="n">
        <f aca="false">IFERROR(IF(AND(INDEX('Facility Master'!X:X,MATCH(ICICI_TL_SNo,'Facility Master'!A:A,0))&lt;=B30,INDEX('Facility Master'!X:X,MATCH(ICICI_TL_SNo,'Facility Master'!A:A,0))&gt;B29),INDEX('Facility Master'!K:K,MATCH(ICICI_TL_SNo,'Facility Master'!A:A,0)),0),0)</f>
        <v>0</v>
      </c>
      <c r="AJ30" s="703" t="n">
        <f aca="false">IFERROR(IF(B30&lt;ICICI_TL_RepStart,0,IF(B30&gt;ICICI_TL_Maturity,0,IF(COUNTIFS($B$5:$B30,"&gt;="&amp;ICICI_TL_RepStart,$B$5:$B30,"&lt;="&amp;ICICI_TL_Maturity)&lt;=8,INDEX('Facility Master'!K:K,MATCH(ICICI_TL_SNo,'Facility Master'!A:A,0))*0.0125,IF(COUNTIFS($B$5:$B30,"&gt;="&amp;ICICI_TL_RepStart,$B$5:$B30,"&lt;="&amp;ICICI_TL_Maturity)&lt;=48,INDEX('Facility Master'!K:K,MATCH(ICICI_TL_SNo,'Facility Master'!A:A,0))*0.0225,0)))),0)</f>
        <v>18.9</v>
      </c>
      <c r="AK30" s="703" t="n">
        <f aca="false">IFERROR((AH30+(AI30-AJ30)/2)*INDEX('Facility Master'!R:R,MATCH(ICICI_TL_SNo,'Facility Master'!A:A,0))*(B30-B29)/DaysInYear,0)</f>
        <v>15.9564673972603</v>
      </c>
      <c r="AL30" s="703" t="n">
        <f aca="false">IFERROR(ROUND(MAX(AH30+AI30-AJ30,0),6),0)</f>
        <v>718.2</v>
      </c>
      <c r="AM30" s="701" t="n">
        <f aca="false">F30+K30+P30+Z30+AE30+AJ30</f>
        <v>81.36</v>
      </c>
      <c r="AN30" s="701" t="n">
        <f aca="false">G30+L30+Q30+AA30+AF30+AK30</f>
        <v>72.1703146438356</v>
      </c>
      <c r="AO30" s="701" t="n">
        <f aca="false">AM30+AN30</f>
        <v>153.530314643836</v>
      </c>
      <c r="AP30" s="701" t="n">
        <f aca="false">H30+M30+R30+AB30+AG30+AL30</f>
        <v>3086.3925</v>
      </c>
    </row>
    <row r="31" customFormat="false" ht="15.75" hidden="false" customHeight="true" outlineLevel="0" collapsed="false">
      <c r="A31" s="496" t="n">
        <v>27</v>
      </c>
      <c r="B31" s="696" t="n">
        <v>47483</v>
      </c>
      <c r="C31" s="496" t="s">
        <v>691</v>
      </c>
      <c r="D31" s="500" t="n">
        <f aca="false">IFERROR(MAX(H30,0),0)</f>
        <v>961.875</v>
      </c>
      <c r="E31" s="500" t="n">
        <f aca="false">IFERROR(IF(AND(INDEX('Facility Master'!X:X,MATCH(UBI_RTL1_SNo,'Facility Master'!A:A,0))&lt;=B31,INDEX('Facility Master'!X:X,MATCH(UBI_RTL1_SNo,'Facility Master'!A:A,0))&gt;B30),INDEX('Facility Master'!K:K,MATCH(UBI_RTL1_SNo,'Facility Master'!A:A,0)),0),0)</f>
        <v>0</v>
      </c>
      <c r="F31" s="500" t="n">
        <f aca="false">IFERROR(IF(B31&lt;UBI_RTL1_RepStart,0,IF(B31&gt;UBI_RTL1_Maturity,0,IF(COUNTIFS($B$5:$B31,"&gt;="&amp;UBI_RTL1_RepStart,$B$5:$B31,"&lt;="&amp;UBI_RTL1_Maturity)&lt;=8,INDEX('Facility Master'!K:K,MATCH(UBI_RTL1_SNo,'Facility Master'!A:A,0))*0.0125,IF(COUNTIFS($B$5:$B31,"&gt;="&amp;UBI_RTL1_RepStart,$B$5:$B31,"&lt;="&amp;UBI_RTL1_Maturity)&lt;=48,INDEX('Facility Master'!K:K,MATCH(UBI_RTL1_SNo,'Facility Master'!A:A,0))*0.0225,0)))),0)</f>
        <v>25.3125</v>
      </c>
      <c r="G31" s="500" t="n">
        <f aca="false">IFERROR((D31+(E31-F31)/2)*INDEX('Facility Master'!R:R,MATCH(UBI_RTL1_SNo,'Facility Master'!A:A,0))*(B31-B30)/DaysInYear,0)</f>
        <v>22.4899828767123</v>
      </c>
      <c r="H31" s="500" t="n">
        <f aca="false">IFERROR(ROUND(MAX(D31+E31-F31,0),6),0)</f>
        <v>936.5625</v>
      </c>
      <c r="I31" s="500" t="n">
        <f aca="false">IFERROR(MAX(M30,0),0)</f>
        <v>201.78</v>
      </c>
      <c r="J31" s="500" t="n">
        <f aca="false">IFERROR(IF(AND(INDEX('Facility Master'!X:X,MATCH(UBI_RTL2_SNo,'Facility Master'!A:A,0))&lt;=B31,INDEX('Facility Master'!X:X,MATCH(UBI_RTL2_SNo,'Facility Master'!A:A,0))&gt;B30),INDEX('Facility Master'!K:K,MATCH(UBI_RTL2_SNo,'Facility Master'!A:A,0)),0),0)</f>
        <v>0</v>
      </c>
      <c r="K31" s="500" t="n">
        <f aca="false">IFERROR(IF(B31&lt;UBI_RTL2_RepStart,0,IF(B31&gt;UBI_RTL2_Maturity,0,IF(COUNTIFS($B$5:$B31,"&gt;="&amp;UBI_RTL2_RepStart,$B$5:$B31,"&lt;="&amp;UBI_RTL2_Maturity)&lt;=8,INDEX('Facility Master'!K:K,MATCH(UBI_RTL2_SNo,'Facility Master'!A:A,0))*0.0125,IF(COUNTIFS($B$5:$B31,"&gt;="&amp;UBI_RTL2_RepStart,$B$5:$B31,"&lt;="&amp;UBI_RTL2_Maturity)&lt;=48,INDEX('Facility Master'!K:K,MATCH(UBI_RTL2_SNo,'Facility Master'!A:A,0))*0.0225,0)))),0)</f>
        <v>5.31</v>
      </c>
      <c r="L31" s="500" t="n">
        <f aca="false">IFERROR((I31+(J31-K31)/2)*INDEX('Facility Master'!R:R,MATCH(UBI_RTL2_SNo,'Facility Master'!A:A,0))*(B31-B30)/DaysInYear,0)</f>
        <v>4.56732739726027</v>
      </c>
      <c r="M31" s="500" t="n">
        <f aca="false">IFERROR(ROUND(MAX(I31+J31-K31,0),6),0)</f>
        <v>196.47</v>
      </c>
      <c r="N31" s="500" t="n">
        <f aca="false">IFERROR(MAX(R30,0),0)</f>
        <v>195.6375</v>
      </c>
      <c r="O31" s="500" t="n">
        <f aca="false">IFERROR(IF(AND(INDEX('Facility Master'!X:X,MATCH(IB_TL_SNo,'Facility Master'!A:A,0))&lt;=B31,INDEX('Facility Master'!X:X,MATCH(IB_TL_SNo,'Facility Master'!A:A,0))&gt;B30),INDEX('Facility Master'!K:K,MATCH(IB_TL_SNo,'Facility Master'!A:A,0)),0),0)</f>
        <v>0</v>
      </c>
      <c r="P31" s="500" t="n">
        <f aca="false">IFERROR(IF(B31&lt;IB_TL_RepStart,0,IF(B31&gt;IB_TL_Maturity,0,IF(COUNTIFS($B$5:$B31,"&gt;="&amp;IB_TL_RepStart,$B$5:$B31,"&lt;="&amp;IB_TL_Maturity)&lt;=8,INDEX('Facility Master'!K:K,MATCH(IB_TL_SNo,'Facility Master'!A:A,0))*0.0125,IF(COUNTIFS($B$5:$B31,"&gt;="&amp;IB_TL_RepStart,$B$5:$B31,"&lt;="&amp;IB_TL_Maturity)&lt;=48,INDEX('Facility Master'!K:K,MATCH(IB_TL_SNo,'Facility Master'!A:A,0))*0.0225,0)))),0)</f>
        <v>5.2875</v>
      </c>
      <c r="Q31" s="500" t="n">
        <f aca="false">IFERROR((N31+(O31-P31)/2)*INDEX('Facility Master'!R:R,MATCH(IB_TL_SNo,'Facility Master'!A:A,0))*(B31-B30)/DaysInYear,0)</f>
        <v>4.57263</v>
      </c>
      <c r="R31" s="500" t="n">
        <f aca="false">IFERROR(ROUND(MAX(N31+O31-P31,0),6),0)</f>
        <v>190.35</v>
      </c>
      <c r="S31" s="697" t="n">
        <f aca="false">IFERROR(MAX(W30,0),0)</f>
        <v>0</v>
      </c>
      <c r="T31" s="697" t="n">
        <f aca="false">IFERROR(IF(AND(INDEX('Facility Master'!X:X,MATCH(RBL_TL_SNo,'Facility Master'!A:A,0))&lt;=B31,INDEX('Facility Master'!X:X,MATCH(RBL_TL_SNo,'Facility Master'!A:A,0))&gt;B30),INDEX('Facility Master'!K:K,MATCH(RBL_TL_SNo,'Facility Master'!A:A,0)),0),0)</f>
        <v>0</v>
      </c>
      <c r="U31" s="697" t="n">
        <f aca="false">IFERROR(IF(AND(RBL_TL_Maturity&lt;=B31,RBL_TL_Maturity&gt;B30),INDEX('Facility Master'!K:K,MATCH(RBL_TL_SNo,'Facility Master'!A:A,0)),0),0)</f>
        <v>0</v>
      </c>
      <c r="V31" s="697" t="n">
        <f aca="false">IFERROR((S31+(T31-U31)/2)*INDEX('Facility Master'!R:R,MATCH(RBL_TL_SNo,'Facility Master'!A:A,0))*(B31-B30)/DaysInYear,0)</f>
        <v>0</v>
      </c>
      <c r="W31" s="697" t="n">
        <f aca="false">IFERROR(ROUND(MAX(S31+T31-U31,0),6),0)</f>
        <v>0</v>
      </c>
      <c r="X31" s="500" t="n">
        <f aca="false">IFERROR(MAX(AB30,0),0)</f>
        <v>555.75</v>
      </c>
      <c r="Y31" s="500" t="n">
        <f aca="false">IFERROR(IF(AND(INDEX('Facility Master'!X:X,MATCH(YBL_TL_SNo,'Facility Master'!A:A,0))&lt;=B31,INDEX('Facility Master'!X:X,MATCH(YBL_TL_SNo,'Facility Master'!A:A,0))&gt;B30),INDEX('Facility Master'!K:K,MATCH(YBL_TL_SNo,'Facility Master'!A:A,0)),0),0)</f>
        <v>0</v>
      </c>
      <c r="Z31" s="500" t="n">
        <f aca="false">IFERROR(IF(B31&lt;YBL_TL_RepStart,0,IF(B31&gt;YBL_TL_Maturity,0,IF(COUNTIFS($B$5:$B31,"&gt;="&amp;YBL_TL_RepStart,$B$5:$B31,"&lt;="&amp;YBL_TL_Maturity)&lt;=8,INDEX('Facility Master'!K:K,MATCH(YBL_TL_SNo,'Facility Master'!A:A,0))*0.0125,IF(COUNTIFS($B$5:$B31,"&gt;="&amp;YBL_TL_RepStart,$B$5:$B31,"&lt;="&amp;YBL_TL_Maturity)&lt;=48,INDEX('Facility Master'!K:K,MATCH(YBL_TL_SNo,'Facility Master'!A:A,0))*0.0225,0)))),0)</f>
        <v>14.625</v>
      </c>
      <c r="AA31" s="500" t="n">
        <f aca="false">IFERROR((X31+(Y31-Z31)/2)*INDEX('Facility Master'!R:R,MATCH(YBL_TL_SNo,'Facility Master'!A:A,0))*(B31-B30)/DaysInYear,0)</f>
        <v>13.2015667808219</v>
      </c>
      <c r="AB31" s="500" t="n">
        <f aca="false">IFERROR(ROUND(MAX(X31+Y31-Z31,0),6),0)</f>
        <v>541.125</v>
      </c>
      <c r="AC31" s="500" t="n">
        <f aca="false">IFERROR(MAX(AG30,0),0)</f>
        <v>453.15</v>
      </c>
      <c r="AD31" s="500" t="n">
        <f aca="false">IFERROR(IF(AND(INDEX('Facility Master'!X:X,MATCH(IDFC_TL_SNo,'Facility Master'!A:A,0))&lt;=B31,INDEX('Facility Master'!X:X,MATCH(IDFC_TL_SNo,'Facility Master'!A:A,0))&gt;B30),INDEX('Facility Master'!K:K,MATCH(IDFC_TL_SNo,'Facility Master'!A:A,0)),0),0)</f>
        <v>0</v>
      </c>
      <c r="AE31" s="500" t="n">
        <f aca="false">IFERROR(IF(B31&lt;IDFC_TL_RepStart,0,IF(B31&gt;IDFC_TL_Maturity,0,IF(COUNTIFS($B$5:$B31,"&gt;="&amp;IDFC_TL_RepStart,$B$5:$B31,"&lt;="&amp;IDFC_TL_Maturity)&lt;=8,INDEX('Facility Master'!K:K,MATCH(IDFC_TL_SNo,'Facility Master'!A:A,0))*0.0125,IF(COUNTIFS($B$5:$B31,"&gt;="&amp;IDFC_TL_RepStart,$B$5:$B31,"&lt;="&amp;IDFC_TL_Maturity)&lt;=48,INDEX('Facility Master'!K:K,MATCH(IDFC_TL_SNo,'Facility Master'!A:A,0))*0.0225,0)))),0)</f>
        <v>11.925</v>
      </c>
      <c r="AF31" s="500" t="n">
        <f aca="false">IFERROR((AC31+(AD31-AE31)/2)*INDEX('Facility Master'!R:R,MATCH(IDFC_TL_SNo,'Facility Master'!A:A,0))*(B31-B30)/DaysInYear,0)</f>
        <v>9.91898630136986</v>
      </c>
      <c r="AG31" s="500" t="n">
        <f aca="false">IFERROR(ROUND(MAX(AC31+AD31-AE31,0),6),0)</f>
        <v>441.225</v>
      </c>
      <c r="AH31" s="698" t="n">
        <f aca="false">IFERROR(MAX(AL30,0),0)</f>
        <v>718.2</v>
      </c>
      <c r="AI31" s="698" t="n">
        <f aca="false">IFERROR(IF(AND(INDEX('Facility Master'!X:X,MATCH(ICICI_TL_SNo,'Facility Master'!A:A,0))&lt;=B31,INDEX('Facility Master'!X:X,MATCH(ICICI_TL_SNo,'Facility Master'!A:A,0))&gt;B30),INDEX('Facility Master'!K:K,MATCH(ICICI_TL_SNo,'Facility Master'!A:A,0)),0),0)</f>
        <v>0</v>
      </c>
      <c r="AJ31" s="698" t="n">
        <f aca="false">IFERROR(IF(B31&lt;ICICI_TL_RepStart,0,IF(B31&gt;ICICI_TL_Maturity,0,IF(COUNTIFS($B$5:$B31,"&gt;="&amp;ICICI_TL_RepStart,$B$5:$B31,"&lt;="&amp;ICICI_TL_Maturity)&lt;=8,INDEX('Facility Master'!K:K,MATCH(ICICI_TL_SNo,'Facility Master'!A:A,0))*0.0125,IF(COUNTIFS($B$5:$B31,"&gt;="&amp;ICICI_TL_RepStart,$B$5:$B31,"&lt;="&amp;ICICI_TL_Maturity)&lt;=48,INDEX('Facility Master'!K:K,MATCH(ICICI_TL_SNo,'Facility Master'!A:A,0))*0.0225,0)))),0)</f>
        <v>18.9</v>
      </c>
      <c r="AK31" s="698" t="n">
        <f aca="false">IFERROR((AH31+(AI31-AJ31)/2)*INDEX('Facility Master'!R:R,MATCH(ICICI_TL_SNo,'Facility Master'!A:A,0))*(B31-B30)/DaysInYear,0)</f>
        <v>15.5420136986301</v>
      </c>
      <c r="AL31" s="698" t="n">
        <f aca="false">IFERROR(ROUND(MAX(AH31+AI31-AJ31,0),6),0)</f>
        <v>699.3</v>
      </c>
      <c r="AM31" s="500" t="n">
        <f aca="false">F31+K31+P31+Z31+AE31+AJ31</f>
        <v>81.36</v>
      </c>
      <c r="AN31" s="500" t="n">
        <f aca="false">G31+L31+Q31+AA31+AF31+AK31</f>
        <v>70.2925070547945</v>
      </c>
      <c r="AO31" s="500" t="n">
        <f aca="false">AM31+AN31</f>
        <v>151.652507054795</v>
      </c>
      <c r="AP31" s="500" t="n">
        <f aca="false">H31+M31+R31+AB31+AG31+AL31</f>
        <v>3005.0325</v>
      </c>
    </row>
    <row r="32" customFormat="false" ht="15.75" hidden="false" customHeight="true" outlineLevel="0" collapsed="false">
      <c r="A32" s="699" t="n">
        <v>28</v>
      </c>
      <c r="B32" s="700" t="n">
        <v>47573</v>
      </c>
      <c r="C32" s="699" t="s">
        <v>692</v>
      </c>
      <c r="D32" s="701" t="n">
        <f aca="false">IFERROR(MAX(H31,0),0)</f>
        <v>936.5625</v>
      </c>
      <c r="E32" s="701" t="n">
        <f aca="false">IFERROR(IF(AND(INDEX('Facility Master'!X:X,MATCH(UBI_RTL1_SNo,'Facility Master'!A:A,0))&lt;=B32,INDEX('Facility Master'!X:X,MATCH(UBI_RTL1_SNo,'Facility Master'!A:A,0))&gt;B31),INDEX('Facility Master'!K:K,MATCH(UBI_RTL1_SNo,'Facility Master'!A:A,0)),0),0)</f>
        <v>0</v>
      </c>
      <c r="F32" s="701" t="n">
        <f aca="false">IFERROR(IF(B32&lt;UBI_RTL1_RepStart,0,IF(B32&gt;UBI_RTL1_Maturity,0,IF(COUNTIFS($B$5:$B32,"&gt;="&amp;UBI_RTL1_RepStart,$B$5:$B32,"&lt;="&amp;UBI_RTL1_Maturity)&lt;=8,INDEX('Facility Master'!K:K,MATCH(UBI_RTL1_SNo,'Facility Master'!A:A,0))*0.0125,IF(COUNTIFS($B$5:$B32,"&gt;="&amp;UBI_RTL1_RepStart,$B$5:$B32,"&lt;="&amp;UBI_RTL1_Maturity)&lt;=48,INDEX('Facility Master'!K:K,MATCH(UBI_RTL1_SNo,'Facility Master'!A:A,0))*0.0225,0)))),0)</f>
        <v>25.3125</v>
      </c>
      <c r="G32" s="701" t="n">
        <f aca="false">IFERROR((D32+(E32-F32)/2)*INDEX('Facility Master'!R:R,MATCH(UBI_RTL1_SNo,'Facility Master'!A:A,0))*(B32-B31)/DaysInYear,0)</f>
        <v>21.414375</v>
      </c>
      <c r="H32" s="701" t="n">
        <f aca="false">IFERROR(ROUND(MAX(D32+E32-F32,0),6),0)</f>
        <v>911.25</v>
      </c>
      <c r="I32" s="701" t="n">
        <f aca="false">IFERROR(MAX(M31,0),0)</f>
        <v>196.47</v>
      </c>
      <c r="J32" s="701" t="n">
        <f aca="false">IFERROR(IF(AND(INDEX('Facility Master'!X:X,MATCH(UBI_RTL2_SNo,'Facility Master'!A:A,0))&lt;=B32,INDEX('Facility Master'!X:X,MATCH(UBI_RTL2_SNo,'Facility Master'!A:A,0))&gt;B31),INDEX('Facility Master'!K:K,MATCH(UBI_RTL2_SNo,'Facility Master'!A:A,0)),0),0)</f>
        <v>0</v>
      </c>
      <c r="K32" s="701" t="n">
        <f aca="false">IFERROR(IF(B32&lt;UBI_RTL2_RepStart,0,IF(B32&gt;UBI_RTL2_Maturity,0,IF(COUNTIFS($B$5:$B32,"&gt;="&amp;UBI_RTL2_RepStart,$B$5:$B32,"&lt;="&amp;UBI_RTL2_Maturity)&lt;=8,INDEX('Facility Master'!K:K,MATCH(UBI_RTL2_SNo,'Facility Master'!A:A,0))*0.0125,IF(COUNTIFS($B$5:$B32,"&gt;="&amp;UBI_RTL2_RepStart,$B$5:$B32,"&lt;="&amp;UBI_RTL2_Maturity)&lt;=48,INDEX('Facility Master'!K:K,MATCH(UBI_RTL2_SNo,'Facility Master'!A:A,0))*0.0225,0)))),0)</f>
        <v>5.31</v>
      </c>
      <c r="L32" s="701" t="n">
        <f aca="false">IFERROR((I32+(J32-K32)/2)*INDEX('Facility Master'!R:R,MATCH(UBI_RTL2_SNo,'Facility Master'!A:A,0))*(B32-B31)/DaysInYear,0)</f>
        <v>4.34889</v>
      </c>
      <c r="M32" s="701" t="n">
        <f aca="false">IFERROR(ROUND(MAX(I32+J32-K32,0),6),0)</f>
        <v>191.16</v>
      </c>
      <c r="N32" s="701" t="n">
        <f aca="false">IFERROR(MAX(R31,0),0)</f>
        <v>190.35</v>
      </c>
      <c r="O32" s="701" t="n">
        <f aca="false">IFERROR(IF(AND(INDEX('Facility Master'!X:X,MATCH(IB_TL_SNo,'Facility Master'!A:A,0))&lt;=B32,INDEX('Facility Master'!X:X,MATCH(IB_TL_SNo,'Facility Master'!A:A,0))&gt;B31),INDEX('Facility Master'!K:K,MATCH(IB_TL_SNo,'Facility Master'!A:A,0)),0),0)</f>
        <v>0</v>
      </c>
      <c r="P32" s="701" t="n">
        <f aca="false">IFERROR(IF(B32&lt;IB_TL_RepStart,0,IF(B32&gt;IB_TL_Maturity,0,IF(COUNTIFS($B$5:$B32,"&gt;="&amp;IB_TL_RepStart,$B$5:$B32,"&lt;="&amp;IB_TL_Maturity)&lt;=8,INDEX('Facility Master'!K:K,MATCH(IB_TL_SNo,'Facility Master'!A:A,0))*0.0125,IF(COUNTIFS($B$5:$B32,"&gt;="&amp;IB_TL_RepStart,$B$5:$B32,"&lt;="&amp;IB_TL_Maturity)&lt;=48,INDEX('Facility Master'!K:K,MATCH(IB_TL_SNo,'Facility Master'!A:A,0))*0.0225,0)))),0)</f>
        <v>5.2875</v>
      </c>
      <c r="Q32" s="701" t="n">
        <f aca="false">IFERROR((N32+(O32-P32)/2)*INDEX('Facility Master'!R:R,MATCH(IB_TL_SNo,'Facility Master'!A:A,0))*(B32-B31)/DaysInYear,0)</f>
        <v>4.35067089041096</v>
      </c>
      <c r="R32" s="701" t="n">
        <f aca="false">IFERROR(ROUND(MAX(N32+O32-P32,0),6),0)</f>
        <v>185.0625</v>
      </c>
      <c r="S32" s="702" t="n">
        <f aca="false">IFERROR(MAX(W31,0),0)</f>
        <v>0</v>
      </c>
      <c r="T32" s="702" t="n">
        <f aca="false">IFERROR(IF(AND(INDEX('Facility Master'!X:X,MATCH(RBL_TL_SNo,'Facility Master'!A:A,0))&lt;=B32,INDEX('Facility Master'!X:X,MATCH(RBL_TL_SNo,'Facility Master'!A:A,0))&gt;B31),INDEX('Facility Master'!K:K,MATCH(RBL_TL_SNo,'Facility Master'!A:A,0)),0),0)</f>
        <v>0</v>
      </c>
      <c r="U32" s="702" t="n">
        <f aca="false">IFERROR(IF(AND(RBL_TL_Maturity&lt;=B32,RBL_TL_Maturity&gt;B31),INDEX('Facility Master'!K:K,MATCH(RBL_TL_SNo,'Facility Master'!A:A,0)),0),0)</f>
        <v>0</v>
      </c>
      <c r="V32" s="702" t="n">
        <f aca="false">IFERROR((S32+(T32-U32)/2)*INDEX('Facility Master'!R:R,MATCH(RBL_TL_SNo,'Facility Master'!A:A,0))*(B32-B31)/DaysInYear,0)</f>
        <v>0</v>
      </c>
      <c r="W32" s="702" t="n">
        <f aca="false">IFERROR(ROUND(MAX(S32+T32-U32,0),6),0)</f>
        <v>0</v>
      </c>
      <c r="X32" s="701" t="n">
        <f aca="false">IFERROR(MAX(AB31,0),0)</f>
        <v>541.125</v>
      </c>
      <c r="Y32" s="701" t="n">
        <f aca="false">IFERROR(IF(AND(INDEX('Facility Master'!X:X,MATCH(YBL_TL_SNo,'Facility Master'!A:A,0))&lt;=B32,INDEX('Facility Master'!X:X,MATCH(YBL_TL_SNo,'Facility Master'!A:A,0))&gt;B31),INDEX('Facility Master'!K:K,MATCH(YBL_TL_SNo,'Facility Master'!A:A,0)),0),0)</f>
        <v>0</v>
      </c>
      <c r="Z32" s="701" t="n">
        <f aca="false">IFERROR(IF(B32&lt;YBL_TL_RepStart,0,IF(B32&gt;YBL_TL_Maturity,0,IF(COUNTIFS($B$5:$B32,"&gt;="&amp;YBL_TL_RepStart,$B$5:$B32,"&lt;="&amp;YBL_TL_Maturity)&lt;=8,INDEX('Facility Master'!K:K,MATCH(YBL_TL_SNo,'Facility Master'!A:A,0))*0.0125,IF(COUNTIFS($B$5:$B32,"&gt;="&amp;YBL_TL_RepStart,$B$5:$B32,"&lt;="&amp;YBL_TL_Maturity)&lt;=48,INDEX('Facility Master'!K:K,MATCH(YBL_TL_SNo,'Facility Master'!A:A,0))*0.0225,0)))),0)</f>
        <v>14.625</v>
      </c>
      <c r="AA32" s="701" t="n">
        <f aca="false">IFERROR((X32+(Y32-Z32)/2)*INDEX('Facility Master'!R:R,MATCH(YBL_TL_SNo,'Facility Master'!A:A,0))*(B32-B31)/DaysInYear,0)</f>
        <v>12.5701875</v>
      </c>
      <c r="AB32" s="701" t="n">
        <f aca="false">IFERROR(ROUND(MAX(X32+Y32-Z32,0),6),0)</f>
        <v>526.5</v>
      </c>
      <c r="AC32" s="701" t="n">
        <f aca="false">IFERROR(MAX(AG31,0),0)</f>
        <v>441.225</v>
      </c>
      <c r="AD32" s="701" t="n">
        <f aca="false">IFERROR(IF(AND(INDEX('Facility Master'!X:X,MATCH(IDFC_TL_SNo,'Facility Master'!A:A,0))&lt;=B32,INDEX('Facility Master'!X:X,MATCH(IDFC_TL_SNo,'Facility Master'!A:A,0))&gt;B31),INDEX('Facility Master'!K:K,MATCH(IDFC_TL_SNo,'Facility Master'!A:A,0)),0),0)</f>
        <v>0</v>
      </c>
      <c r="AE32" s="701" t="n">
        <f aca="false">IFERROR(IF(B32&lt;IDFC_TL_RepStart,0,IF(B32&gt;IDFC_TL_Maturity,0,IF(COUNTIFS($B$5:$B32,"&gt;="&amp;IDFC_TL_RepStart,$B$5:$B32,"&lt;="&amp;IDFC_TL_Maturity)&lt;=8,INDEX('Facility Master'!K:K,MATCH(IDFC_TL_SNo,'Facility Master'!A:A,0))*0.0125,IF(COUNTIFS($B$5:$B32,"&gt;="&amp;IDFC_TL_RepStart,$B$5:$B32,"&lt;="&amp;IDFC_TL_Maturity)&lt;=48,INDEX('Facility Master'!K:K,MATCH(IDFC_TL_SNo,'Facility Master'!A:A,0))*0.0225,0)))),0)</f>
        <v>11.925</v>
      </c>
      <c r="AF32" s="701" t="n">
        <f aca="false">IFERROR((AC32+(AD32-AE32)/2)*INDEX('Facility Master'!R:R,MATCH(IDFC_TL_SNo,'Facility Master'!A:A,0))*(B32-B31)/DaysInYear,0)</f>
        <v>9.4446</v>
      </c>
      <c r="AG32" s="701" t="n">
        <f aca="false">IFERROR(ROUND(MAX(AC32+AD32-AE32,0),6),0)</f>
        <v>429.3</v>
      </c>
      <c r="AH32" s="703" t="n">
        <f aca="false">IFERROR(MAX(AL31,0),0)</f>
        <v>699.3</v>
      </c>
      <c r="AI32" s="703" t="n">
        <f aca="false">IFERROR(IF(AND(INDEX('Facility Master'!X:X,MATCH(ICICI_TL_SNo,'Facility Master'!A:A,0))&lt;=B32,INDEX('Facility Master'!X:X,MATCH(ICICI_TL_SNo,'Facility Master'!A:A,0))&gt;B31),INDEX('Facility Master'!K:K,MATCH(ICICI_TL_SNo,'Facility Master'!A:A,0)),0),0)</f>
        <v>0</v>
      </c>
      <c r="AJ32" s="703" t="n">
        <f aca="false">IFERROR(IF(B32&lt;ICICI_TL_RepStart,0,IF(B32&gt;ICICI_TL_Maturity,0,IF(COUNTIFS($B$5:$B32,"&gt;="&amp;ICICI_TL_RepStart,$B$5:$B32,"&lt;="&amp;ICICI_TL_Maturity)&lt;=8,INDEX('Facility Master'!K:K,MATCH(ICICI_TL_SNo,'Facility Master'!A:A,0))*0.0125,IF(COUNTIFS($B$5:$B32,"&gt;="&amp;ICICI_TL_RepStart,$B$5:$B32,"&lt;="&amp;ICICI_TL_Maturity)&lt;=48,INDEX('Facility Master'!K:K,MATCH(ICICI_TL_SNo,'Facility Master'!A:A,0))*0.0225,0)))),0)</f>
        <v>18.9</v>
      </c>
      <c r="AK32" s="703" t="n">
        <f aca="false">IFERROR((AH32+(AI32-AJ32)/2)*INDEX('Facility Master'!R:R,MATCH(ICICI_TL_SNo,'Facility Master'!A:A,0))*(B32-B31)/DaysInYear,0)</f>
        <v>14.7987</v>
      </c>
      <c r="AL32" s="703" t="n">
        <f aca="false">IFERROR(ROUND(MAX(AH32+AI32-AJ32,0),6),0)</f>
        <v>680.4</v>
      </c>
      <c r="AM32" s="701" t="n">
        <f aca="false">F32+K32+P32+Z32+AE32+AJ32</f>
        <v>81.36</v>
      </c>
      <c r="AN32" s="701" t="n">
        <f aca="false">G32+L32+Q32+AA32+AF32+AK32</f>
        <v>66.927423390411</v>
      </c>
      <c r="AO32" s="701" t="n">
        <f aca="false">AM32+AN32</f>
        <v>148.287423390411</v>
      </c>
      <c r="AP32" s="701" t="n">
        <f aca="false">H32+M32+R32+AB32+AG32+AL32</f>
        <v>2923.6725</v>
      </c>
    </row>
    <row r="33" customFormat="false" ht="15.75" hidden="false" customHeight="true" outlineLevel="0" collapsed="false">
      <c r="A33" s="496" t="n">
        <v>29</v>
      </c>
      <c r="B33" s="696" t="n">
        <v>47664</v>
      </c>
      <c r="C33" s="496" t="s">
        <v>693</v>
      </c>
      <c r="D33" s="500" t="n">
        <f aca="false">IFERROR(MAX(H32,0),0)</f>
        <v>911.25</v>
      </c>
      <c r="E33" s="500" t="n">
        <f aca="false">IFERROR(IF(AND(INDEX('Facility Master'!X:X,MATCH(UBI_RTL1_SNo,'Facility Master'!A:A,0))&lt;=B33,INDEX('Facility Master'!X:X,MATCH(UBI_RTL1_SNo,'Facility Master'!A:A,0))&gt;B32),INDEX('Facility Master'!K:K,MATCH(UBI_RTL1_SNo,'Facility Master'!A:A,0)),0),0)</f>
        <v>0</v>
      </c>
      <c r="F33" s="500" t="n">
        <f aca="false">IFERROR(IF(B33&lt;UBI_RTL1_RepStart,0,IF(B33&gt;UBI_RTL1_Maturity,0,IF(COUNTIFS($B$5:$B33,"&gt;="&amp;UBI_RTL1_RepStart,$B$5:$B33,"&lt;="&amp;UBI_RTL1_Maturity)&lt;=8,INDEX('Facility Master'!K:K,MATCH(UBI_RTL1_SNo,'Facility Master'!A:A,0))*0.0125,IF(COUNTIFS($B$5:$B33,"&gt;="&amp;UBI_RTL1_RepStart,$B$5:$B33,"&lt;="&amp;UBI_RTL1_Maturity)&lt;=48,INDEX('Facility Master'!K:K,MATCH(UBI_RTL1_SNo,'Facility Master'!A:A,0))*0.0225,0)))),0)</f>
        <v>25.3125</v>
      </c>
      <c r="G33" s="500" t="n">
        <f aca="false">IFERROR((D33+(E33-F33)/2)*INDEX('Facility Master'!R:R,MATCH(UBI_RTL1_SNo,'Facility Master'!A:A,0))*(B33-B32)/DaysInYear,0)</f>
        <v>21.0590984589041</v>
      </c>
      <c r="H33" s="500" t="n">
        <f aca="false">IFERROR(ROUND(MAX(D33+E33-F33,0),6),0)</f>
        <v>885.9375</v>
      </c>
      <c r="I33" s="500" t="n">
        <f aca="false">IFERROR(MAX(M32,0),0)</f>
        <v>191.16</v>
      </c>
      <c r="J33" s="500" t="n">
        <f aca="false">IFERROR(IF(AND(INDEX('Facility Master'!X:X,MATCH(UBI_RTL2_SNo,'Facility Master'!A:A,0))&lt;=B33,INDEX('Facility Master'!X:X,MATCH(UBI_RTL2_SNo,'Facility Master'!A:A,0))&gt;B32),INDEX('Facility Master'!K:K,MATCH(UBI_RTL2_SNo,'Facility Master'!A:A,0)),0),0)</f>
        <v>0</v>
      </c>
      <c r="K33" s="500" t="n">
        <f aca="false">IFERROR(IF(B33&lt;UBI_RTL2_RepStart,0,IF(B33&gt;UBI_RTL2_Maturity,0,IF(COUNTIFS($B$5:$B33,"&gt;="&amp;UBI_RTL2_RepStart,$B$5:$B33,"&lt;="&amp;UBI_RTL2_Maturity)&lt;=8,INDEX('Facility Master'!K:K,MATCH(UBI_RTL2_SNo,'Facility Master'!A:A,0))*0.0125,IF(COUNTIFS($B$5:$B33,"&gt;="&amp;UBI_RTL2_RepStart,$B$5:$B33,"&lt;="&amp;UBI_RTL2_Maturity)&lt;=48,INDEX('Facility Master'!K:K,MATCH(UBI_RTL2_SNo,'Facility Master'!A:A,0))*0.0225,0)))),0)</f>
        <v>5.31</v>
      </c>
      <c r="L33" s="500" t="n">
        <f aca="false">IFERROR((I33+(J33-K33)/2)*INDEX('Facility Master'!R:R,MATCH(UBI_RTL2_SNo,'Facility Master'!A:A,0))*(B33-B32)/DaysInYear,0)</f>
        <v>4.27673946575342</v>
      </c>
      <c r="M33" s="500" t="n">
        <f aca="false">IFERROR(ROUND(MAX(I33+J33-K33,0),6),0)</f>
        <v>185.85</v>
      </c>
      <c r="N33" s="500" t="n">
        <f aca="false">IFERROR(MAX(R32,0),0)</f>
        <v>185.0625</v>
      </c>
      <c r="O33" s="500" t="n">
        <f aca="false">IFERROR(IF(AND(INDEX('Facility Master'!X:X,MATCH(IB_TL_SNo,'Facility Master'!A:A,0))&lt;=B33,INDEX('Facility Master'!X:X,MATCH(IB_TL_SNo,'Facility Master'!A:A,0))&gt;B32),INDEX('Facility Master'!K:K,MATCH(IB_TL_SNo,'Facility Master'!A:A,0)),0),0)</f>
        <v>0</v>
      </c>
      <c r="P33" s="500" t="n">
        <f aca="false">IFERROR(IF(B33&lt;IB_TL_RepStart,0,IF(B33&gt;IB_TL_Maturity,0,IF(COUNTIFS($B$5:$B33,"&gt;="&amp;IB_TL_RepStart,$B$5:$B33,"&lt;="&amp;IB_TL_Maturity)&lt;=8,INDEX('Facility Master'!K:K,MATCH(IB_TL_SNo,'Facility Master'!A:A,0))*0.0125,IF(COUNTIFS($B$5:$B33,"&gt;="&amp;IB_TL_RepStart,$B$5:$B33,"&lt;="&amp;IB_TL_Maturity)&lt;=48,INDEX('Facility Master'!K:K,MATCH(IB_TL_SNo,'Facility Master'!A:A,0))*0.0225,0)))),0)</f>
        <v>5.2875</v>
      </c>
      <c r="Q33" s="500" t="n">
        <f aca="false">IFERROR((N33+(O33-P33)/2)*INDEX('Facility Master'!R:R,MATCH(IB_TL_SNo,'Facility Master'!A:A,0))*(B33-B32)/DaysInYear,0)</f>
        <v>4.27509585616438</v>
      </c>
      <c r="R33" s="500" t="n">
        <f aca="false">IFERROR(ROUND(MAX(N33+O33-P33,0),6),0)</f>
        <v>179.775</v>
      </c>
      <c r="S33" s="697" t="n">
        <f aca="false">IFERROR(MAX(W32,0),0)</f>
        <v>0</v>
      </c>
      <c r="T33" s="697" t="n">
        <f aca="false">IFERROR(IF(AND(INDEX('Facility Master'!X:X,MATCH(RBL_TL_SNo,'Facility Master'!A:A,0))&lt;=B33,INDEX('Facility Master'!X:X,MATCH(RBL_TL_SNo,'Facility Master'!A:A,0))&gt;B32),INDEX('Facility Master'!K:K,MATCH(RBL_TL_SNo,'Facility Master'!A:A,0)),0),0)</f>
        <v>0</v>
      </c>
      <c r="U33" s="697" t="n">
        <f aca="false">IFERROR(IF(AND(RBL_TL_Maturity&lt;=B33,RBL_TL_Maturity&gt;B32),INDEX('Facility Master'!K:K,MATCH(RBL_TL_SNo,'Facility Master'!A:A,0)),0),0)</f>
        <v>0</v>
      </c>
      <c r="V33" s="697" t="n">
        <f aca="false">IFERROR((S33+(T33-U33)/2)*INDEX('Facility Master'!R:R,MATCH(RBL_TL_SNo,'Facility Master'!A:A,0))*(B33-B32)/DaysInYear,0)</f>
        <v>0</v>
      </c>
      <c r="W33" s="697" t="n">
        <f aca="false">IFERROR(ROUND(MAX(S33+T33-U33,0),6),0)</f>
        <v>0</v>
      </c>
      <c r="X33" s="500" t="n">
        <f aca="false">IFERROR(MAX(AB32,0),0)</f>
        <v>526.5</v>
      </c>
      <c r="Y33" s="500" t="n">
        <f aca="false">IFERROR(IF(AND(INDEX('Facility Master'!X:X,MATCH(YBL_TL_SNo,'Facility Master'!A:A,0))&lt;=B33,INDEX('Facility Master'!X:X,MATCH(YBL_TL_SNo,'Facility Master'!A:A,0))&gt;B32),INDEX('Facility Master'!K:K,MATCH(YBL_TL_SNo,'Facility Master'!A:A,0)),0),0)</f>
        <v>0</v>
      </c>
      <c r="Z33" s="500" t="n">
        <f aca="false">IFERROR(IF(B33&lt;YBL_TL_RepStart,0,IF(B33&gt;YBL_TL_Maturity,0,IF(COUNTIFS($B$5:$B33,"&gt;="&amp;YBL_TL_RepStart,$B$5:$B33,"&lt;="&amp;YBL_TL_Maturity)&lt;=8,INDEX('Facility Master'!K:K,MATCH(YBL_TL_SNo,'Facility Master'!A:A,0))*0.0125,IF(COUNTIFS($B$5:$B33,"&gt;="&amp;YBL_TL_RepStart,$B$5:$B33,"&lt;="&amp;YBL_TL_Maturity)&lt;=48,INDEX('Facility Master'!K:K,MATCH(YBL_TL_SNo,'Facility Master'!A:A,0))*0.0225,0)))),0)</f>
        <v>14.625</v>
      </c>
      <c r="AA33" s="500" t="n">
        <f aca="false">IFERROR((X33+(Y33-Z33)/2)*INDEX('Facility Master'!R:R,MATCH(YBL_TL_SNo,'Facility Master'!A:A,0))*(B33-B32)/DaysInYear,0)</f>
        <v>12.361641010274</v>
      </c>
      <c r="AB33" s="500" t="n">
        <f aca="false">IFERROR(ROUND(MAX(X33+Y33-Z33,0),6),0)</f>
        <v>511.875</v>
      </c>
      <c r="AC33" s="500" t="n">
        <f aca="false">IFERROR(MAX(AG32,0),0)</f>
        <v>429.3</v>
      </c>
      <c r="AD33" s="500" t="n">
        <f aca="false">IFERROR(IF(AND(INDEX('Facility Master'!X:X,MATCH(IDFC_TL_SNo,'Facility Master'!A:A,0))&lt;=B33,INDEX('Facility Master'!X:X,MATCH(IDFC_TL_SNo,'Facility Master'!A:A,0))&gt;B32),INDEX('Facility Master'!K:K,MATCH(IDFC_TL_SNo,'Facility Master'!A:A,0)),0),0)</f>
        <v>0</v>
      </c>
      <c r="AE33" s="500" t="n">
        <f aca="false">IFERROR(IF(B33&lt;IDFC_TL_RepStart,0,IF(B33&gt;IDFC_TL_Maturity,0,IF(COUNTIFS($B$5:$B33,"&gt;="&amp;IDFC_TL_RepStart,$B$5:$B33,"&lt;="&amp;IDFC_TL_Maturity)&lt;=8,INDEX('Facility Master'!K:K,MATCH(IDFC_TL_SNo,'Facility Master'!A:A,0))*0.0125,IF(COUNTIFS($B$5:$B33,"&gt;="&amp;IDFC_TL_RepStart,$B$5:$B33,"&lt;="&amp;IDFC_TL_Maturity)&lt;=48,INDEX('Facility Master'!K:K,MATCH(IDFC_TL_SNo,'Facility Master'!A:A,0))*0.0225,0)))),0)</f>
        <v>11.925</v>
      </c>
      <c r="AF33" s="500" t="n">
        <f aca="false">IFERROR((AC33+(AD33-AE33)/2)*INDEX('Facility Master'!R:R,MATCH(IDFC_TL_SNo,'Facility Master'!A:A,0))*(B33-B32)/DaysInYear,0)</f>
        <v>9.28790876712329</v>
      </c>
      <c r="AG33" s="500" t="n">
        <f aca="false">IFERROR(ROUND(MAX(AC33+AD33-AE33,0),6),0)</f>
        <v>417.375</v>
      </c>
      <c r="AH33" s="698" t="n">
        <f aca="false">IFERROR(MAX(AL32,0),0)</f>
        <v>680.4</v>
      </c>
      <c r="AI33" s="698" t="n">
        <f aca="false">IFERROR(IF(AND(INDEX('Facility Master'!X:X,MATCH(ICICI_TL_SNo,'Facility Master'!A:A,0))&lt;=B33,INDEX('Facility Master'!X:X,MATCH(ICICI_TL_SNo,'Facility Master'!A:A,0))&gt;B32),INDEX('Facility Master'!K:K,MATCH(ICICI_TL_SNo,'Facility Master'!A:A,0)),0),0)</f>
        <v>0</v>
      </c>
      <c r="AJ33" s="698" t="n">
        <f aca="false">IFERROR(IF(B33&lt;ICICI_TL_RepStart,0,IF(B33&gt;ICICI_TL_Maturity,0,IF(COUNTIFS($B$5:$B33,"&gt;="&amp;ICICI_TL_RepStart,$B$5:$B33,"&lt;="&amp;ICICI_TL_Maturity)&lt;=8,INDEX('Facility Master'!K:K,MATCH(ICICI_TL_SNo,'Facility Master'!A:A,0))*0.0125,IF(COUNTIFS($B$5:$B33,"&gt;="&amp;ICICI_TL_RepStart,$B$5:$B33,"&lt;="&amp;ICICI_TL_Maturity)&lt;=48,INDEX('Facility Master'!K:K,MATCH(ICICI_TL_SNo,'Facility Master'!A:A,0))*0.0225,0)))),0)</f>
        <v>18.9</v>
      </c>
      <c r="AK33" s="698" t="n">
        <f aca="false">IFERROR((AH33+(AI33-AJ33)/2)*INDEX('Facility Master'!R:R,MATCH(ICICI_TL_SNo,'Facility Master'!A:A,0))*(B33-B32)/DaysInYear,0)</f>
        <v>14.5531812328767</v>
      </c>
      <c r="AL33" s="698" t="n">
        <f aca="false">IFERROR(ROUND(MAX(AH33+AI33-AJ33,0),6),0)</f>
        <v>661.5</v>
      </c>
      <c r="AM33" s="500" t="n">
        <f aca="false">F33+K33+P33+Z33+AE33+AJ33</f>
        <v>81.36</v>
      </c>
      <c r="AN33" s="500" t="n">
        <f aca="false">G33+L33+Q33+AA33+AF33+AK33</f>
        <v>65.8136647910959</v>
      </c>
      <c r="AO33" s="500" t="n">
        <f aca="false">AM33+AN33</f>
        <v>147.173664791096</v>
      </c>
      <c r="AP33" s="500" t="n">
        <f aca="false">H33+M33+R33+AB33+AG33+AL33</f>
        <v>2842.3125</v>
      </c>
    </row>
    <row r="34" customFormat="false" ht="15.75" hidden="false" customHeight="true" outlineLevel="0" collapsed="false">
      <c r="A34" s="699" t="n">
        <v>30</v>
      </c>
      <c r="B34" s="700" t="n">
        <v>47756</v>
      </c>
      <c r="C34" s="699" t="s">
        <v>694</v>
      </c>
      <c r="D34" s="701" t="n">
        <f aca="false">IFERROR(MAX(H33,0),0)</f>
        <v>885.9375</v>
      </c>
      <c r="E34" s="701" t="n">
        <f aca="false">IFERROR(IF(AND(INDEX('Facility Master'!X:X,MATCH(UBI_RTL1_SNo,'Facility Master'!A:A,0))&lt;=B34,INDEX('Facility Master'!X:X,MATCH(UBI_RTL1_SNo,'Facility Master'!A:A,0))&gt;B33),INDEX('Facility Master'!K:K,MATCH(UBI_RTL1_SNo,'Facility Master'!A:A,0)),0),0)</f>
        <v>0</v>
      </c>
      <c r="F34" s="701" t="n">
        <f aca="false">IFERROR(IF(B34&lt;UBI_RTL1_RepStart,0,IF(B34&gt;UBI_RTL1_Maturity,0,IF(COUNTIFS($B$5:$B34,"&gt;="&amp;UBI_RTL1_RepStart,$B$5:$B34,"&lt;="&amp;UBI_RTL1_Maturity)&lt;=8,INDEX('Facility Master'!K:K,MATCH(UBI_RTL1_SNo,'Facility Master'!A:A,0))*0.0125,IF(COUNTIFS($B$5:$B34,"&gt;="&amp;UBI_RTL1_RepStart,$B$5:$B34,"&lt;="&amp;UBI_RTL1_Maturity)&lt;=48,INDEX('Facility Master'!K:K,MATCH(UBI_RTL1_SNo,'Facility Master'!A:A,0))*0.0225,0)))),0)</f>
        <v>25.3125</v>
      </c>
      <c r="G34" s="701" t="n">
        <f aca="false">IFERROR((D34+(E34-F34)/2)*INDEX('Facility Master'!R:R,MATCH(UBI_RTL1_SNo,'Facility Master'!A:A,0))*(B34-B33)/DaysInYear,0)</f>
        <v>20.6907842465753</v>
      </c>
      <c r="H34" s="701" t="n">
        <f aca="false">IFERROR(ROUND(MAX(D34+E34-F34,0),6),0)</f>
        <v>860.625</v>
      </c>
      <c r="I34" s="701" t="n">
        <f aca="false">IFERROR(MAX(M33,0),0)</f>
        <v>185.85</v>
      </c>
      <c r="J34" s="701" t="n">
        <f aca="false">IFERROR(IF(AND(INDEX('Facility Master'!X:X,MATCH(UBI_RTL2_SNo,'Facility Master'!A:A,0))&lt;=B34,INDEX('Facility Master'!X:X,MATCH(UBI_RTL2_SNo,'Facility Master'!A:A,0))&gt;B33),INDEX('Facility Master'!K:K,MATCH(UBI_RTL2_SNo,'Facility Master'!A:A,0)),0),0)</f>
        <v>0</v>
      </c>
      <c r="K34" s="701" t="n">
        <f aca="false">IFERROR(IF(B34&lt;UBI_RTL2_RepStart,0,IF(B34&gt;UBI_RTL2_Maturity,0,IF(COUNTIFS($B$5:$B34,"&gt;="&amp;UBI_RTL2_RepStart,$B$5:$B34,"&lt;="&amp;UBI_RTL2_Maturity)&lt;=8,INDEX('Facility Master'!K:K,MATCH(UBI_RTL2_SNo,'Facility Master'!A:A,0))*0.0125,IF(COUNTIFS($B$5:$B34,"&gt;="&amp;UBI_RTL2_RepStart,$B$5:$B34,"&lt;="&amp;UBI_RTL2_Maturity)&lt;=48,INDEX('Facility Master'!K:K,MATCH(UBI_RTL2_SNo,'Facility Master'!A:A,0))*0.0225,0)))),0)</f>
        <v>5.31</v>
      </c>
      <c r="L34" s="701" t="n">
        <f aca="false">IFERROR((I34+(J34-K34)/2)*INDEX('Facility Master'!R:R,MATCH(UBI_RTL2_SNo,'Facility Master'!A:A,0))*(B34-B33)/DaysInYear,0)</f>
        <v>4.20194120547945</v>
      </c>
      <c r="M34" s="701" t="n">
        <f aca="false">IFERROR(ROUND(MAX(I34+J34-K34,0),6),0)</f>
        <v>180.54</v>
      </c>
      <c r="N34" s="701" t="n">
        <f aca="false">IFERROR(MAX(R33,0),0)</f>
        <v>179.775</v>
      </c>
      <c r="O34" s="701" t="n">
        <f aca="false">IFERROR(IF(AND(INDEX('Facility Master'!X:X,MATCH(IB_TL_SNo,'Facility Master'!A:A,0))&lt;=B34,INDEX('Facility Master'!X:X,MATCH(IB_TL_SNo,'Facility Master'!A:A,0))&gt;B33),INDEX('Facility Master'!K:K,MATCH(IB_TL_SNo,'Facility Master'!A:A,0)),0),0)</f>
        <v>0</v>
      </c>
      <c r="P34" s="701" t="n">
        <f aca="false">IFERROR(IF(B34&lt;IB_TL_RepStart,0,IF(B34&gt;IB_TL_Maturity,0,IF(COUNTIFS($B$5:$B34,"&gt;="&amp;IB_TL_RepStart,$B$5:$B34,"&lt;="&amp;IB_TL_Maturity)&lt;=8,INDEX('Facility Master'!K:K,MATCH(IB_TL_SNo,'Facility Master'!A:A,0))*0.0125,IF(COUNTIFS($B$5:$B34,"&gt;="&amp;IB_TL_RepStart,$B$5:$B34,"&lt;="&amp;IB_TL_Maturity)&lt;=48,INDEX('Facility Master'!K:K,MATCH(IB_TL_SNo,'Facility Master'!A:A,0))*0.0225,0)))),0)</f>
        <v>5.2875</v>
      </c>
      <c r="Q34" s="701" t="n">
        <f aca="false">IFERROR((N34+(O34-P34)/2)*INDEX('Facility Master'!R:R,MATCH(IB_TL_SNo,'Facility Master'!A:A,0))*(B34-B33)/DaysInYear,0)</f>
        <v>4.19679739726027</v>
      </c>
      <c r="R34" s="701" t="n">
        <f aca="false">IFERROR(ROUND(MAX(N34+O34-P34,0),6),0)</f>
        <v>174.4875</v>
      </c>
      <c r="S34" s="702" t="n">
        <f aca="false">IFERROR(MAX(W33,0),0)</f>
        <v>0</v>
      </c>
      <c r="T34" s="702" t="n">
        <f aca="false">IFERROR(IF(AND(INDEX('Facility Master'!X:X,MATCH(RBL_TL_SNo,'Facility Master'!A:A,0))&lt;=B34,INDEX('Facility Master'!X:X,MATCH(RBL_TL_SNo,'Facility Master'!A:A,0))&gt;B33),INDEX('Facility Master'!K:K,MATCH(RBL_TL_SNo,'Facility Master'!A:A,0)),0),0)</f>
        <v>0</v>
      </c>
      <c r="U34" s="702" t="n">
        <f aca="false">IFERROR(IF(AND(RBL_TL_Maturity&lt;=B34,RBL_TL_Maturity&gt;B33),INDEX('Facility Master'!K:K,MATCH(RBL_TL_SNo,'Facility Master'!A:A,0)),0),0)</f>
        <v>0</v>
      </c>
      <c r="V34" s="702" t="n">
        <f aca="false">IFERROR((S34+(T34-U34)/2)*INDEX('Facility Master'!R:R,MATCH(RBL_TL_SNo,'Facility Master'!A:A,0))*(B34-B33)/DaysInYear,0)</f>
        <v>0</v>
      </c>
      <c r="W34" s="702" t="n">
        <f aca="false">IFERROR(ROUND(MAX(S34+T34-U34,0),6),0)</f>
        <v>0</v>
      </c>
      <c r="X34" s="701" t="n">
        <f aca="false">IFERROR(MAX(AB33,0),0)</f>
        <v>511.875</v>
      </c>
      <c r="Y34" s="701" t="n">
        <f aca="false">IFERROR(IF(AND(INDEX('Facility Master'!X:X,MATCH(YBL_TL_SNo,'Facility Master'!A:A,0))&lt;=B34,INDEX('Facility Master'!X:X,MATCH(YBL_TL_SNo,'Facility Master'!A:A,0))&gt;B33),INDEX('Facility Master'!K:K,MATCH(YBL_TL_SNo,'Facility Master'!A:A,0)),0),0)</f>
        <v>0</v>
      </c>
      <c r="Z34" s="701" t="n">
        <f aca="false">IFERROR(IF(B34&lt;YBL_TL_RepStart,0,IF(B34&gt;YBL_TL_Maturity,0,IF(COUNTIFS($B$5:$B34,"&gt;="&amp;YBL_TL_RepStart,$B$5:$B34,"&lt;="&amp;YBL_TL_Maturity)&lt;=8,INDEX('Facility Master'!K:K,MATCH(YBL_TL_SNo,'Facility Master'!A:A,0))*0.0125,IF(COUNTIFS($B$5:$B34,"&gt;="&amp;YBL_TL_RepStart,$B$5:$B34,"&lt;="&amp;YBL_TL_Maturity)&lt;=48,INDEX('Facility Master'!K:K,MATCH(YBL_TL_SNo,'Facility Master'!A:A,0))*0.0225,0)))),0)</f>
        <v>14.625</v>
      </c>
      <c r="AA34" s="701" t="n">
        <f aca="false">IFERROR((X34+(Y34-Z34)/2)*INDEX('Facility Master'!R:R,MATCH(YBL_TL_SNo,'Facility Master'!A:A,0))*(B34-B33)/DaysInYear,0)</f>
        <v>12.1454414383562</v>
      </c>
      <c r="AB34" s="701" t="n">
        <f aca="false">IFERROR(ROUND(MAX(X34+Y34-Z34,0),6),0)</f>
        <v>497.25</v>
      </c>
      <c r="AC34" s="701" t="n">
        <f aca="false">IFERROR(MAX(AG33,0),0)</f>
        <v>417.375</v>
      </c>
      <c r="AD34" s="701" t="n">
        <f aca="false">IFERROR(IF(AND(INDEX('Facility Master'!X:X,MATCH(IDFC_TL_SNo,'Facility Master'!A:A,0))&lt;=B34,INDEX('Facility Master'!X:X,MATCH(IDFC_TL_SNo,'Facility Master'!A:A,0))&gt;B33),INDEX('Facility Master'!K:K,MATCH(IDFC_TL_SNo,'Facility Master'!A:A,0)),0),0)</f>
        <v>0</v>
      </c>
      <c r="AE34" s="701" t="n">
        <f aca="false">IFERROR(IF(B34&lt;IDFC_TL_RepStart,0,IF(B34&gt;IDFC_TL_Maturity,0,IF(COUNTIFS($B$5:$B34,"&gt;="&amp;IDFC_TL_RepStart,$B$5:$B34,"&lt;="&amp;IDFC_TL_Maturity)&lt;=8,INDEX('Facility Master'!K:K,MATCH(IDFC_TL_SNo,'Facility Master'!A:A,0))*0.0125,IF(COUNTIFS($B$5:$B34,"&gt;="&amp;IDFC_TL_RepStart,$B$5:$B34,"&lt;="&amp;IDFC_TL_Maturity)&lt;=48,INDEX('Facility Master'!K:K,MATCH(IDFC_TL_SNo,'Facility Master'!A:A,0))*0.0225,0)))),0)</f>
        <v>11.925</v>
      </c>
      <c r="AF34" s="701" t="n">
        <f aca="false">IFERROR((AC34+(AD34-AE34)/2)*INDEX('Facility Master'!R:R,MATCH(IDFC_TL_SNo,'Facility Master'!A:A,0))*(B34-B33)/DaysInYear,0)</f>
        <v>9.12546739726027</v>
      </c>
      <c r="AG34" s="701" t="n">
        <f aca="false">IFERROR(ROUND(MAX(AC34+AD34-AE34,0),6),0)</f>
        <v>405.45</v>
      </c>
      <c r="AH34" s="703" t="n">
        <f aca="false">IFERROR(MAX(AL33,0),0)</f>
        <v>661.5</v>
      </c>
      <c r="AI34" s="703" t="n">
        <f aca="false">IFERROR(IF(AND(INDEX('Facility Master'!X:X,MATCH(ICICI_TL_SNo,'Facility Master'!A:A,0))&lt;=B34,INDEX('Facility Master'!X:X,MATCH(ICICI_TL_SNo,'Facility Master'!A:A,0))&gt;B33),INDEX('Facility Master'!K:K,MATCH(ICICI_TL_SNo,'Facility Master'!A:A,0)),0),0)</f>
        <v>0</v>
      </c>
      <c r="AJ34" s="703" t="n">
        <f aca="false">IFERROR(IF(B34&lt;ICICI_TL_RepStart,0,IF(B34&gt;ICICI_TL_Maturity,0,IF(COUNTIFS($B$5:$B34,"&gt;="&amp;ICICI_TL_RepStart,$B$5:$B34,"&lt;="&amp;ICICI_TL_Maturity)&lt;=8,INDEX('Facility Master'!K:K,MATCH(ICICI_TL_SNo,'Facility Master'!A:A,0))*0.0125,IF(COUNTIFS($B$5:$B34,"&gt;="&amp;ICICI_TL_RepStart,$B$5:$B34,"&lt;="&amp;ICICI_TL_Maturity)&lt;=48,INDEX('Facility Master'!K:K,MATCH(ICICI_TL_SNo,'Facility Master'!A:A,0))*0.0225,0)))),0)</f>
        <v>18.9</v>
      </c>
      <c r="AK34" s="703" t="n">
        <f aca="false">IFERROR((AH34+(AI34-AJ34)/2)*INDEX('Facility Master'!R:R,MATCH(ICICI_TL_SNo,'Facility Master'!A:A,0))*(B34-B33)/DaysInYear,0)</f>
        <v>14.2986526027397</v>
      </c>
      <c r="AL34" s="703" t="n">
        <f aca="false">IFERROR(ROUND(MAX(AH34+AI34-AJ34,0),6),0)</f>
        <v>642.6</v>
      </c>
      <c r="AM34" s="701" t="n">
        <f aca="false">F34+K34+P34+Z34+AE34+AJ34</f>
        <v>81.36</v>
      </c>
      <c r="AN34" s="701" t="n">
        <f aca="false">G34+L34+Q34+AA34+AF34+AK34</f>
        <v>64.6590842876712</v>
      </c>
      <c r="AO34" s="701" t="n">
        <f aca="false">AM34+AN34</f>
        <v>146.019084287671</v>
      </c>
      <c r="AP34" s="701" t="n">
        <f aca="false">H34+M34+R34+AB34+AG34+AL34</f>
        <v>2760.9525</v>
      </c>
    </row>
    <row r="35" customFormat="false" ht="15.75" hidden="false" customHeight="true" outlineLevel="0" collapsed="false">
      <c r="A35" s="496" t="n">
        <v>31</v>
      </c>
      <c r="B35" s="696" t="n">
        <v>47848</v>
      </c>
      <c r="C35" s="496" t="s">
        <v>695</v>
      </c>
      <c r="D35" s="500" t="n">
        <f aca="false">IFERROR(MAX(H34,0),0)</f>
        <v>860.625</v>
      </c>
      <c r="E35" s="500" t="n">
        <f aca="false">IFERROR(IF(AND(INDEX('Facility Master'!X:X,MATCH(UBI_RTL1_SNo,'Facility Master'!A:A,0))&lt;=B35,INDEX('Facility Master'!X:X,MATCH(UBI_RTL1_SNo,'Facility Master'!A:A,0))&gt;B34),INDEX('Facility Master'!K:K,MATCH(UBI_RTL1_SNo,'Facility Master'!A:A,0)),0),0)</f>
        <v>0</v>
      </c>
      <c r="F35" s="500" t="n">
        <f aca="false">IFERROR(IF(B35&lt;UBI_RTL1_RepStart,0,IF(B35&gt;UBI_RTL1_Maturity,0,IF(COUNTIFS($B$5:$B35,"&gt;="&amp;UBI_RTL1_RepStart,$B$5:$B35,"&lt;="&amp;UBI_RTL1_Maturity)&lt;=8,INDEX('Facility Master'!K:K,MATCH(UBI_RTL1_SNo,'Facility Master'!A:A,0))*0.0125,IF(COUNTIFS($B$5:$B35,"&gt;="&amp;UBI_RTL1_RepStart,$B$5:$B35,"&lt;="&amp;UBI_RTL1_Maturity)&lt;=48,INDEX('Facility Master'!K:K,MATCH(UBI_RTL1_SNo,'Facility Master'!A:A,0))*0.0225,0)))),0)</f>
        <v>25.3125</v>
      </c>
      <c r="G35" s="500" t="n">
        <f aca="false">IFERROR((D35+(E35-F35)/2)*INDEX('Facility Master'!R:R,MATCH(UBI_RTL1_SNo,'Facility Master'!A:A,0))*(B35-B34)/DaysInYear,0)</f>
        <v>20.091051369863</v>
      </c>
      <c r="H35" s="500" t="n">
        <f aca="false">IFERROR(ROUND(MAX(D35+E35-F35,0),6),0)</f>
        <v>835.3125</v>
      </c>
      <c r="I35" s="500" t="n">
        <f aca="false">IFERROR(MAX(M34,0),0)</f>
        <v>180.54</v>
      </c>
      <c r="J35" s="500" t="n">
        <f aca="false">IFERROR(IF(AND(INDEX('Facility Master'!X:X,MATCH(UBI_RTL2_SNo,'Facility Master'!A:A,0))&lt;=B35,INDEX('Facility Master'!X:X,MATCH(UBI_RTL2_SNo,'Facility Master'!A:A,0))&gt;B34),INDEX('Facility Master'!K:K,MATCH(UBI_RTL2_SNo,'Facility Master'!A:A,0)),0),0)</f>
        <v>0</v>
      </c>
      <c r="K35" s="500" t="n">
        <f aca="false">IFERROR(IF(B35&lt;UBI_RTL2_RepStart,0,IF(B35&gt;UBI_RTL2_Maturity,0,IF(COUNTIFS($B$5:$B35,"&gt;="&amp;UBI_RTL2_RepStart,$B$5:$B35,"&lt;="&amp;UBI_RTL2_Maturity)&lt;=8,INDEX('Facility Master'!K:K,MATCH(UBI_RTL2_SNo,'Facility Master'!A:A,0))*0.0125,IF(COUNTIFS($B$5:$B35,"&gt;="&amp;UBI_RTL2_RepStart,$B$5:$B35,"&lt;="&amp;UBI_RTL2_Maturity)&lt;=48,INDEX('Facility Master'!K:K,MATCH(UBI_RTL2_SNo,'Facility Master'!A:A,0))*0.0225,0)))),0)</f>
        <v>5.31</v>
      </c>
      <c r="L35" s="500" t="n">
        <f aca="false">IFERROR((I35+(J35-K35)/2)*INDEX('Facility Master'!R:R,MATCH(UBI_RTL2_SNo,'Facility Master'!A:A,0))*(B35-B34)/DaysInYear,0)</f>
        <v>4.08014580821918</v>
      </c>
      <c r="M35" s="500" t="n">
        <f aca="false">IFERROR(ROUND(MAX(I35+J35-K35,0),6),0)</f>
        <v>175.23</v>
      </c>
      <c r="N35" s="500" t="n">
        <f aca="false">IFERROR(MAX(R34,0),0)</f>
        <v>174.4875</v>
      </c>
      <c r="O35" s="500" t="n">
        <f aca="false">IFERROR(IF(AND(INDEX('Facility Master'!X:X,MATCH(IB_TL_SNo,'Facility Master'!A:A,0))&lt;=B35,INDEX('Facility Master'!X:X,MATCH(IB_TL_SNo,'Facility Master'!A:A,0))&gt;B34),INDEX('Facility Master'!K:K,MATCH(IB_TL_SNo,'Facility Master'!A:A,0)),0),0)</f>
        <v>0</v>
      </c>
      <c r="P35" s="500" t="n">
        <f aca="false">IFERROR(IF(B35&lt;IB_TL_RepStart,0,IF(B35&gt;IB_TL_Maturity,0,IF(COUNTIFS($B$5:$B35,"&gt;="&amp;IB_TL_RepStart,$B$5:$B35,"&lt;="&amp;IB_TL_Maturity)&lt;=8,INDEX('Facility Master'!K:K,MATCH(IB_TL_SNo,'Facility Master'!A:A,0))*0.0125,IF(COUNTIFS($B$5:$B35,"&gt;="&amp;IB_TL_RepStart,$B$5:$B35,"&lt;="&amp;IB_TL_Maturity)&lt;=48,INDEX('Facility Master'!K:K,MATCH(IB_TL_SNo,'Facility Master'!A:A,0))*0.0225,0)))),0)</f>
        <v>5.2875</v>
      </c>
      <c r="Q35" s="500" t="n">
        <f aca="false">IFERROR((N35+(O35-P35)/2)*INDEX('Facility Master'!R:R,MATCH(IB_TL_SNo,'Facility Master'!A:A,0))*(B35-B34)/DaysInYear,0)</f>
        <v>4.0715198630137</v>
      </c>
      <c r="R35" s="500" t="n">
        <f aca="false">IFERROR(ROUND(MAX(N35+O35-P35,0),6),0)</f>
        <v>169.2</v>
      </c>
      <c r="S35" s="697" t="n">
        <f aca="false">IFERROR(MAX(W34,0),0)</f>
        <v>0</v>
      </c>
      <c r="T35" s="697" t="n">
        <f aca="false">IFERROR(IF(AND(INDEX('Facility Master'!X:X,MATCH(RBL_TL_SNo,'Facility Master'!A:A,0))&lt;=B35,INDEX('Facility Master'!X:X,MATCH(RBL_TL_SNo,'Facility Master'!A:A,0))&gt;B34),INDEX('Facility Master'!K:K,MATCH(RBL_TL_SNo,'Facility Master'!A:A,0)),0),0)</f>
        <v>0</v>
      </c>
      <c r="U35" s="697" t="n">
        <f aca="false">IFERROR(IF(AND(RBL_TL_Maturity&lt;=B35,RBL_TL_Maturity&gt;B34),INDEX('Facility Master'!K:K,MATCH(RBL_TL_SNo,'Facility Master'!A:A,0)),0),0)</f>
        <v>0</v>
      </c>
      <c r="V35" s="697" t="n">
        <f aca="false">IFERROR((S35+(T35-U35)/2)*INDEX('Facility Master'!R:R,MATCH(RBL_TL_SNo,'Facility Master'!A:A,0))*(B35-B34)/DaysInYear,0)</f>
        <v>0</v>
      </c>
      <c r="W35" s="697" t="n">
        <f aca="false">IFERROR(ROUND(MAX(S35+T35-U35,0),6),0)</f>
        <v>0</v>
      </c>
      <c r="X35" s="500" t="n">
        <f aca="false">IFERROR(MAX(AB34,0),0)</f>
        <v>497.25</v>
      </c>
      <c r="Y35" s="500" t="n">
        <f aca="false">IFERROR(IF(AND(INDEX('Facility Master'!X:X,MATCH(YBL_TL_SNo,'Facility Master'!A:A,0))&lt;=B35,INDEX('Facility Master'!X:X,MATCH(YBL_TL_SNo,'Facility Master'!A:A,0))&gt;B34),INDEX('Facility Master'!K:K,MATCH(YBL_TL_SNo,'Facility Master'!A:A,0)),0),0)</f>
        <v>0</v>
      </c>
      <c r="Z35" s="500" t="n">
        <f aca="false">IFERROR(IF(B35&lt;YBL_TL_RepStart,0,IF(B35&gt;YBL_TL_Maturity,0,IF(COUNTIFS($B$5:$B35,"&gt;="&amp;YBL_TL_RepStart,$B$5:$B35,"&lt;="&amp;YBL_TL_Maturity)&lt;=8,INDEX('Facility Master'!K:K,MATCH(YBL_TL_SNo,'Facility Master'!A:A,0))*0.0125,IF(COUNTIFS($B$5:$B35,"&gt;="&amp;YBL_TL_RepStart,$B$5:$B35,"&lt;="&amp;YBL_TL_Maturity)&lt;=48,INDEX('Facility Master'!K:K,MATCH(YBL_TL_SNo,'Facility Master'!A:A,0))*0.0225,0)))),0)</f>
        <v>14.625</v>
      </c>
      <c r="AA35" s="500" t="n">
        <f aca="false">IFERROR((X35+(Y35-Z35)/2)*INDEX('Facility Master'!R:R,MATCH(YBL_TL_SNo,'Facility Master'!A:A,0))*(B35-B34)/DaysInYear,0)</f>
        <v>11.7933996575342</v>
      </c>
      <c r="AB35" s="500" t="n">
        <f aca="false">IFERROR(ROUND(MAX(X35+Y35-Z35,0),6),0)</f>
        <v>482.625</v>
      </c>
      <c r="AC35" s="500" t="n">
        <f aca="false">IFERROR(MAX(AG34,0),0)</f>
        <v>405.45</v>
      </c>
      <c r="AD35" s="500" t="n">
        <f aca="false">IFERROR(IF(AND(INDEX('Facility Master'!X:X,MATCH(IDFC_TL_SNo,'Facility Master'!A:A,0))&lt;=B35,INDEX('Facility Master'!X:X,MATCH(IDFC_TL_SNo,'Facility Master'!A:A,0))&gt;B34),INDEX('Facility Master'!K:K,MATCH(IDFC_TL_SNo,'Facility Master'!A:A,0)),0),0)</f>
        <v>0</v>
      </c>
      <c r="AE35" s="500" t="n">
        <f aca="false">IFERROR(IF(B35&lt;IDFC_TL_RepStart,0,IF(B35&gt;IDFC_TL_Maturity,0,IF(COUNTIFS($B$5:$B35,"&gt;="&amp;IDFC_TL_RepStart,$B$5:$B35,"&lt;="&amp;IDFC_TL_Maturity)&lt;=8,INDEX('Facility Master'!K:K,MATCH(IDFC_TL_SNo,'Facility Master'!A:A,0))*0.0125,IF(COUNTIFS($B$5:$B35,"&gt;="&amp;IDFC_TL_RepStart,$B$5:$B35,"&lt;="&amp;IDFC_TL_Maturity)&lt;=48,INDEX('Facility Master'!K:K,MATCH(IDFC_TL_SNo,'Facility Master'!A:A,0))*0.0225,0)))),0)</f>
        <v>11.925</v>
      </c>
      <c r="AF35" s="500" t="n">
        <f aca="false">IFERROR((AC35+(AD35-AE35)/2)*INDEX('Facility Master'!R:R,MATCH(IDFC_TL_SNo,'Facility Master'!A:A,0))*(B35-B34)/DaysInYear,0)</f>
        <v>8.86096109589041</v>
      </c>
      <c r="AG35" s="500" t="n">
        <f aca="false">IFERROR(ROUND(MAX(AC35+AD35-AE35,0),6),0)</f>
        <v>393.525</v>
      </c>
      <c r="AH35" s="698" t="n">
        <f aca="false">IFERROR(MAX(AL34,0),0)</f>
        <v>642.6</v>
      </c>
      <c r="AI35" s="698" t="n">
        <f aca="false">IFERROR(IF(AND(INDEX('Facility Master'!X:X,MATCH(ICICI_TL_SNo,'Facility Master'!A:A,0))&lt;=B35,INDEX('Facility Master'!X:X,MATCH(ICICI_TL_SNo,'Facility Master'!A:A,0))&gt;B34),INDEX('Facility Master'!K:K,MATCH(ICICI_TL_SNo,'Facility Master'!A:A,0)),0),0)</f>
        <v>0</v>
      </c>
      <c r="AJ35" s="698" t="n">
        <f aca="false">IFERROR(IF(B35&lt;ICICI_TL_RepStart,0,IF(B35&gt;ICICI_TL_Maturity,0,IF(COUNTIFS($B$5:$B35,"&gt;="&amp;ICICI_TL_RepStart,$B$5:$B35,"&lt;="&amp;ICICI_TL_Maturity)&lt;=8,INDEX('Facility Master'!K:K,MATCH(ICICI_TL_SNo,'Facility Master'!A:A,0))*0.0125,IF(COUNTIFS($B$5:$B35,"&gt;="&amp;ICICI_TL_RepStart,$B$5:$B35,"&lt;="&amp;ICICI_TL_Maturity)&lt;=48,INDEX('Facility Master'!K:K,MATCH(ICICI_TL_SNo,'Facility Master'!A:A,0))*0.0225,0)))),0)</f>
        <v>18.9</v>
      </c>
      <c r="AK35" s="698" t="n">
        <f aca="false">IFERROR((AH35+(AI35-AJ35)/2)*INDEX('Facility Master'!R:R,MATCH(ICICI_TL_SNo,'Facility Master'!A:A,0))*(B35-B34)/DaysInYear,0)</f>
        <v>13.8841989041096</v>
      </c>
      <c r="AL35" s="698" t="n">
        <f aca="false">IFERROR(ROUND(MAX(AH35+AI35-AJ35,0),6),0)</f>
        <v>623.7</v>
      </c>
      <c r="AM35" s="500" t="n">
        <f aca="false">F35+K35+P35+Z35+AE35+AJ35</f>
        <v>81.36</v>
      </c>
      <c r="AN35" s="500" t="n">
        <f aca="false">G35+L35+Q35+AA35+AF35+AK35</f>
        <v>62.7812766986301</v>
      </c>
      <c r="AO35" s="500" t="n">
        <f aca="false">AM35+AN35</f>
        <v>144.14127669863</v>
      </c>
      <c r="AP35" s="500" t="n">
        <f aca="false">H35+M35+R35+AB35+AG35+AL35</f>
        <v>2679.5925</v>
      </c>
    </row>
    <row r="36" customFormat="false" ht="15.75" hidden="false" customHeight="true" outlineLevel="0" collapsed="false">
      <c r="A36" s="699" t="n">
        <v>32</v>
      </c>
      <c r="B36" s="700" t="n">
        <v>47938</v>
      </c>
      <c r="C36" s="699" t="s">
        <v>696</v>
      </c>
      <c r="D36" s="701" t="n">
        <f aca="false">IFERROR(MAX(H35,0),0)</f>
        <v>835.3125</v>
      </c>
      <c r="E36" s="701" t="n">
        <f aca="false">IFERROR(IF(AND(INDEX('Facility Master'!X:X,MATCH(UBI_RTL1_SNo,'Facility Master'!A:A,0))&lt;=B36,INDEX('Facility Master'!X:X,MATCH(UBI_RTL1_SNo,'Facility Master'!A:A,0))&gt;B35),INDEX('Facility Master'!K:K,MATCH(UBI_RTL1_SNo,'Facility Master'!A:A,0)),0),0)</f>
        <v>0</v>
      </c>
      <c r="F36" s="701" t="n">
        <f aca="false">IFERROR(IF(B36&lt;UBI_RTL1_RepStart,0,IF(B36&gt;UBI_RTL1_Maturity,0,IF(COUNTIFS($B$5:$B36,"&gt;="&amp;UBI_RTL1_RepStart,$B$5:$B36,"&lt;="&amp;UBI_RTL1_Maturity)&lt;=8,INDEX('Facility Master'!K:K,MATCH(UBI_RTL1_SNo,'Facility Master'!A:A,0))*0.0125,IF(COUNTIFS($B$5:$B36,"&gt;="&amp;UBI_RTL1_RepStart,$B$5:$B36,"&lt;="&amp;UBI_RTL1_Maturity)&lt;=48,INDEX('Facility Master'!K:K,MATCH(UBI_RTL1_SNo,'Facility Master'!A:A,0))*0.0225,0)))),0)</f>
        <v>25.3125</v>
      </c>
      <c r="G36" s="701" t="n">
        <f aca="false">IFERROR((D36+(E36-F36)/2)*INDEX('Facility Master'!R:R,MATCH(UBI_RTL1_SNo,'Facility Master'!A:A,0))*(B36-B35)/DaysInYear,0)</f>
        <v>19.0675941780822</v>
      </c>
      <c r="H36" s="701" t="n">
        <f aca="false">IFERROR(ROUND(MAX(D36+E36-F36,0),6),0)</f>
        <v>810</v>
      </c>
      <c r="I36" s="701" t="n">
        <f aca="false">IFERROR(MAX(M35,0),0)</f>
        <v>175.23</v>
      </c>
      <c r="J36" s="701" t="n">
        <f aca="false">IFERROR(IF(AND(INDEX('Facility Master'!X:X,MATCH(UBI_RTL2_SNo,'Facility Master'!A:A,0))&lt;=B36,INDEX('Facility Master'!X:X,MATCH(UBI_RTL2_SNo,'Facility Master'!A:A,0))&gt;B35),INDEX('Facility Master'!K:K,MATCH(UBI_RTL2_SNo,'Facility Master'!A:A,0)),0),0)</f>
        <v>0</v>
      </c>
      <c r="K36" s="701" t="n">
        <f aca="false">IFERROR(IF(B36&lt;UBI_RTL2_RepStart,0,IF(B36&gt;UBI_RTL2_Maturity,0,IF(COUNTIFS($B$5:$B36,"&gt;="&amp;UBI_RTL2_RepStart,$B$5:$B36,"&lt;="&amp;UBI_RTL2_Maturity)&lt;=8,INDEX('Facility Master'!K:K,MATCH(UBI_RTL2_SNo,'Facility Master'!A:A,0))*0.0125,IF(COUNTIFS($B$5:$B36,"&gt;="&amp;UBI_RTL2_RepStart,$B$5:$B36,"&lt;="&amp;UBI_RTL2_Maturity)&lt;=48,INDEX('Facility Master'!K:K,MATCH(UBI_RTL2_SNo,'Facility Master'!A:A,0))*0.0225,0)))),0)</f>
        <v>5.31</v>
      </c>
      <c r="L36" s="701" t="n">
        <f aca="false">IFERROR((I36+(J36-K36)/2)*INDEX('Facility Master'!R:R,MATCH(UBI_RTL2_SNo,'Facility Master'!A:A,0))*(B36-B35)/DaysInYear,0)</f>
        <v>3.87229931506849</v>
      </c>
      <c r="M36" s="701" t="n">
        <f aca="false">IFERROR(ROUND(MAX(I36+J36-K36,0),6),0)</f>
        <v>169.92</v>
      </c>
      <c r="N36" s="701" t="n">
        <f aca="false">IFERROR(MAX(R35,0),0)</f>
        <v>169.2</v>
      </c>
      <c r="O36" s="701" t="n">
        <f aca="false">IFERROR(IF(AND(INDEX('Facility Master'!X:X,MATCH(IB_TL_SNo,'Facility Master'!A:A,0))&lt;=B36,INDEX('Facility Master'!X:X,MATCH(IB_TL_SNo,'Facility Master'!A:A,0))&gt;B35),INDEX('Facility Master'!K:K,MATCH(IB_TL_SNo,'Facility Master'!A:A,0)),0),0)</f>
        <v>0</v>
      </c>
      <c r="P36" s="701" t="n">
        <f aca="false">IFERROR(IF(B36&lt;IB_TL_RepStart,0,IF(B36&gt;IB_TL_Maturity,0,IF(COUNTIFS($B$5:$B36,"&gt;="&amp;IB_TL_RepStart,$B$5:$B36,"&lt;="&amp;IB_TL_Maturity)&lt;=8,INDEX('Facility Master'!K:K,MATCH(IB_TL_SNo,'Facility Master'!A:A,0))*0.0125,IF(COUNTIFS($B$5:$B36,"&gt;="&amp;IB_TL_RepStart,$B$5:$B36,"&lt;="&amp;IB_TL_Maturity)&lt;=48,INDEX('Facility Master'!K:K,MATCH(IB_TL_SNo,'Facility Master'!A:A,0))*0.0225,0)))),0)</f>
        <v>5.2875</v>
      </c>
      <c r="Q36" s="701" t="n">
        <f aca="false">IFERROR((N36+(O36-P36)/2)*INDEX('Facility Master'!R:R,MATCH(IB_TL_SNo,'Facility Master'!A:A,0))*(B36-B35)/DaysInYear,0)</f>
        <v>3.86045445205479</v>
      </c>
      <c r="R36" s="701" t="n">
        <f aca="false">IFERROR(ROUND(MAX(N36+O36-P36,0),6),0)</f>
        <v>163.9125</v>
      </c>
      <c r="S36" s="702" t="n">
        <f aca="false">IFERROR(MAX(W35,0),0)</f>
        <v>0</v>
      </c>
      <c r="T36" s="702" t="n">
        <f aca="false">IFERROR(IF(AND(INDEX('Facility Master'!X:X,MATCH(RBL_TL_SNo,'Facility Master'!A:A,0))&lt;=B36,INDEX('Facility Master'!X:X,MATCH(RBL_TL_SNo,'Facility Master'!A:A,0))&gt;B35),INDEX('Facility Master'!K:K,MATCH(RBL_TL_SNo,'Facility Master'!A:A,0)),0),0)</f>
        <v>0</v>
      </c>
      <c r="U36" s="702" t="n">
        <f aca="false">IFERROR(IF(AND(RBL_TL_Maturity&lt;=B36,RBL_TL_Maturity&gt;B35),INDEX('Facility Master'!K:K,MATCH(RBL_TL_SNo,'Facility Master'!A:A,0)),0),0)</f>
        <v>0</v>
      </c>
      <c r="V36" s="702" t="n">
        <f aca="false">IFERROR((S36+(T36-U36)/2)*INDEX('Facility Master'!R:R,MATCH(RBL_TL_SNo,'Facility Master'!A:A,0))*(B36-B35)/DaysInYear,0)</f>
        <v>0</v>
      </c>
      <c r="W36" s="702" t="n">
        <f aca="false">IFERROR(ROUND(MAX(S36+T36-U36,0),6),0)</f>
        <v>0</v>
      </c>
      <c r="X36" s="701" t="n">
        <f aca="false">IFERROR(MAX(AB35,0),0)</f>
        <v>482.625</v>
      </c>
      <c r="Y36" s="701" t="n">
        <f aca="false">IFERROR(IF(AND(INDEX('Facility Master'!X:X,MATCH(YBL_TL_SNo,'Facility Master'!A:A,0))&lt;=B36,INDEX('Facility Master'!X:X,MATCH(YBL_TL_SNo,'Facility Master'!A:A,0))&gt;B35),INDEX('Facility Master'!K:K,MATCH(YBL_TL_SNo,'Facility Master'!A:A,0)),0),0)</f>
        <v>0</v>
      </c>
      <c r="Z36" s="701" t="n">
        <f aca="false">IFERROR(IF(B36&lt;YBL_TL_RepStart,0,IF(B36&gt;YBL_TL_Maturity,0,IF(COUNTIFS($B$5:$B36,"&gt;="&amp;YBL_TL_RepStart,$B$5:$B36,"&lt;="&amp;YBL_TL_Maturity)&lt;=8,INDEX('Facility Master'!K:K,MATCH(YBL_TL_SNo,'Facility Master'!A:A,0))*0.0125,IF(COUNTIFS($B$5:$B36,"&gt;="&amp;YBL_TL_RepStart,$B$5:$B36,"&lt;="&amp;YBL_TL_Maturity)&lt;=48,INDEX('Facility Master'!K:K,MATCH(YBL_TL_SNo,'Facility Master'!A:A,0))*0.0225,0)))),0)</f>
        <v>14.625</v>
      </c>
      <c r="AA36" s="701" t="n">
        <f aca="false">IFERROR((X36+(Y36-Z36)/2)*INDEX('Facility Master'!R:R,MATCH(YBL_TL_SNo,'Facility Master'!A:A,0))*(B36-B35)/DaysInYear,0)</f>
        <v>11.1926327054795</v>
      </c>
      <c r="AB36" s="701" t="n">
        <f aca="false">IFERROR(ROUND(MAX(X36+Y36-Z36,0),6),0)</f>
        <v>468</v>
      </c>
      <c r="AC36" s="701" t="n">
        <f aca="false">IFERROR(MAX(AG35,0),0)</f>
        <v>393.525</v>
      </c>
      <c r="AD36" s="701" t="n">
        <f aca="false">IFERROR(IF(AND(INDEX('Facility Master'!X:X,MATCH(IDFC_TL_SNo,'Facility Master'!A:A,0))&lt;=B36,INDEX('Facility Master'!X:X,MATCH(IDFC_TL_SNo,'Facility Master'!A:A,0))&gt;B35),INDEX('Facility Master'!K:K,MATCH(IDFC_TL_SNo,'Facility Master'!A:A,0)),0),0)</f>
        <v>0</v>
      </c>
      <c r="AE36" s="701" t="n">
        <f aca="false">IFERROR(IF(B36&lt;IDFC_TL_RepStart,0,IF(B36&gt;IDFC_TL_Maturity,0,IF(COUNTIFS($B$5:$B36,"&gt;="&amp;IDFC_TL_RepStart,$B$5:$B36,"&lt;="&amp;IDFC_TL_Maturity)&lt;=8,INDEX('Facility Master'!K:K,MATCH(IDFC_TL_SNo,'Facility Master'!A:A,0))*0.0125,IF(COUNTIFS($B$5:$B36,"&gt;="&amp;IDFC_TL_RepStart,$B$5:$B36,"&lt;="&amp;IDFC_TL_Maturity)&lt;=48,INDEX('Facility Master'!K:K,MATCH(IDFC_TL_SNo,'Facility Master'!A:A,0))*0.0225,0)))),0)</f>
        <v>11.925</v>
      </c>
      <c r="AF36" s="701" t="n">
        <f aca="false">IFERROR((AC36+(AD36-AE36)/2)*INDEX('Facility Master'!R:R,MATCH(IDFC_TL_SNo,'Facility Master'!A:A,0))*(B36-B35)/DaysInYear,0)</f>
        <v>8.40957534246575</v>
      </c>
      <c r="AG36" s="701" t="n">
        <f aca="false">IFERROR(ROUND(MAX(AC36+AD36-AE36,0),6),0)</f>
        <v>381.6</v>
      </c>
      <c r="AH36" s="703" t="n">
        <f aca="false">IFERROR(MAX(AL35,0),0)</f>
        <v>623.7</v>
      </c>
      <c r="AI36" s="703" t="n">
        <f aca="false">IFERROR(IF(AND(INDEX('Facility Master'!X:X,MATCH(ICICI_TL_SNo,'Facility Master'!A:A,0))&lt;=B36,INDEX('Facility Master'!X:X,MATCH(ICICI_TL_SNo,'Facility Master'!A:A,0))&gt;B35),INDEX('Facility Master'!K:K,MATCH(ICICI_TL_SNo,'Facility Master'!A:A,0)),0),0)</f>
        <v>0</v>
      </c>
      <c r="AJ36" s="703" t="n">
        <f aca="false">IFERROR(IF(B36&lt;ICICI_TL_RepStart,0,IF(B36&gt;ICICI_TL_Maturity,0,IF(COUNTIFS($B$5:$B36,"&gt;="&amp;ICICI_TL_RepStart,$B$5:$B36,"&lt;="&amp;ICICI_TL_Maturity)&lt;=8,INDEX('Facility Master'!K:K,MATCH(ICICI_TL_SNo,'Facility Master'!A:A,0))*0.0125,IF(COUNTIFS($B$5:$B36,"&gt;="&amp;ICICI_TL_RepStart,$B$5:$B36,"&lt;="&amp;ICICI_TL_Maturity)&lt;=48,INDEX('Facility Master'!K:K,MATCH(ICICI_TL_SNo,'Facility Master'!A:A,0))*0.0225,0)))),0)</f>
        <v>18.9</v>
      </c>
      <c r="AK36" s="703" t="n">
        <f aca="false">IFERROR((AH36+(AI36-AJ36)/2)*INDEX('Facility Master'!R:R,MATCH(ICICI_TL_SNo,'Facility Master'!A:A,0))*(B36-B35)/DaysInYear,0)</f>
        <v>13.1769246575342</v>
      </c>
      <c r="AL36" s="703" t="n">
        <f aca="false">IFERROR(ROUND(MAX(AH36+AI36-AJ36,0),6),0)</f>
        <v>604.8</v>
      </c>
      <c r="AM36" s="701" t="n">
        <f aca="false">F36+K36+P36+Z36+AE36+AJ36</f>
        <v>81.36</v>
      </c>
      <c r="AN36" s="701" t="n">
        <f aca="false">G36+L36+Q36+AA36+AF36+AK36</f>
        <v>59.5794806506849</v>
      </c>
      <c r="AO36" s="701" t="n">
        <f aca="false">AM36+AN36</f>
        <v>140.939480650685</v>
      </c>
      <c r="AP36" s="701" t="n">
        <f aca="false">H36+M36+R36+AB36+AG36+AL36</f>
        <v>2598.2325</v>
      </c>
    </row>
    <row r="37" customFormat="false" ht="15.75" hidden="false" customHeight="true" outlineLevel="0" collapsed="false">
      <c r="A37" s="496" t="n">
        <v>33</v>
      </c>
      <c r="B37" s="696" t="n">
        <v>48029</v>
      </c>
      <c r="C37" s="496" t="s">
        <v>697</v>
      </c>
      <c r="D37" s="500" t="n">
        <f aca="false">IFERROR(MAX(H36,0),0)</f>
        <v>810</v>
      </c>
      <c r="E37" s="500" t="n">
        <f aca="false">IFERROR(IF(AND(INDEX('Facility Master'!X:X,MATCH(UBI_RTL1_SNo,'Facility Master'!A:A,0))&lt;=B37,INDEX('Facility Master'!X:X,MATCH(UBI_RTL1_SNo,'Facility Master'!A:A,0))&gt;B36),INDEX('Facility Master'!K:K,MATCH(UBI_RTL1_SNo,'Facility Master'!A:A,0)),0),0)</f>
        <v>0</v>
      </c>
      <c r="F37" s="500" t="n">
        <f aca="false">IFERROR(IF(B37&lt;UBI_RTL1_RepStart,0,IF(B37&gt;UBI_RTL1_Maturity,0,IF(COUNTIFS($B$5:$B37,"&gt;="&amp;UBI_RTL1_RepStart,$B$5:$B37,"&lt;="&amp;UBI_RTL1_Maturity)&lt;=8,INDEX('Facility Master'!K:K,MATCH(UBI_RTL1_SNo,'Facility Master'!A:A,0))*0.0125,IF(COUNTIFS($B$5:$B37,"&gt;="&amp;UBI_RTL1_RepStart,$B$5:$B37,"&lt;="&amp;UBI_RTL1_Maturity)&lt;=48,INDEX('Facility Master'!K:K,MATCH(UBI_RTL1_SNo,'Facility Master'!A:A,0))*0.0225,0)))),0)</f>
        <v>25.3125</v>
      </c>
      <c r="G37" s="500" t="n">
        <f aca="false">IFERROR((D37+(E37-F37)/2)*INDEX('Facility Master'!R:R,MATCH(UBI_RTL1_SNo,'Facility Master'!A:A,0))*(B37-B36)/DaysInYear,0)</f>
        <v>18.6862422945205</v>
      </c>
      <c r="H37" s="500" t="n">
        <f aca="false">IFERROR(ROUND(MAX(D37+E37-F37,0),6),0)</f>
        <v>784.6875</v>
      </c>
      <c r="I37" s="500" t="n">
        <f aca="false">IFERROR(MAX(M36,0),0)</f>
        <v>169.92</v>
      </c>
      <c r="J37" s="500" t="n">
        <f aca="false">IFERROR(IF(AND(INDEX('Facility Master'!X:X,MATCH(UBI_RTL2_SNo,'Facility Master'!A:A,0))&lt;=B37,INDEX('Facility Master'!X:X,MATCH(UBI_RTL2_SNo,'Facility Master'!A:A,0))&gt;B36),INDEX('Facility Master'!K:K,MATCH(UBI_RTL2_SNo,'Facility Master'!A:A,0)),0),0)</f>
        <v>0</v>
      </c>
      <c r="K37" s="500" t="n">
        <f aca="false">IFERROR(IF(B37&lt;UBI_RTL2_RepStart,0,IF(B37&gt;UBI_RTL2_Maturity,0,IF(COUNTIFS($B$5:$B37,"&gt;="&amp;UBI_RTL2_RepStart,$B$5:$B37,"&lt;="&amp;UBI_RTL2_Maturity)&lt;=8,INDEX('Facility Master'!K:K,MATCH(UBI_RTL2_SNo,'Facility Master'!A:A,0))*0.0125,IF(COUNTIFS($B$5:$B37,"&gt;="&amp;UBI_RTL2_RepStart,$B$5:$B37,"&lt;="&amp;UBI_RTL2_Maturity)&lt;=48,INDEX('Facility Master'!K:K,MATCH(UBI_RTL2_SNo,'Facility Master'!A:A,0))*0.0225,0)))),0)</f>
        <v>5.31</v>
      </c>
      <c r="L37" s="500" t="n">
        <f aca="false">IFERROR((I37+(J37-K37)/2)*INDEX('Facility Master'!R:R,MATCH(UBI_RTL2_SNo,'Facility Master'!A:A,0))*(B37-B36)/DaysInYear,0)</f>
        <v>3.79485332876712</v>
      </c>
      <c r="M37" s="500" t="n">
        <f aca="false">IFERROR(ROUND(MAX(I37+J37-K37,0),6),0)</f>
        <v>164.61</v>
      </c>
      <c r="N37" s="500" t="n">
        <f aca="false">IFERROR(MAX(R36,0),0)</f>
        <v>163.9125</v>
      </c>
      <c r="O37" s="500" t="n">
        <f aca="false">IFERROR(IF(AND(INDEX('Facility Master'!X:X,MATCH(IB_TL_SNo,'Facility Master'!A:A,0))&lt;=B37,INDEX('Facility Master'!X:X,MATCH(IB_TL_SNo,'Facility Master'!A:A,0))&gt;B36),INDEX('Facility Master'!K:K,MATCH(IB_TL_SNo,'Facility Master'!A:A,0)),0),0)</f>
        <v>0</v>
      </c>
      <c r="P37" s="500" t="n">
        <f aca="false">IFERROR(IF(B37&lt;IB_TL_RepStart,0,IF(B37&gt;IB_TL_Maturity,0,IF(COUNTIFS($B$5:$B37,"&gt;="&amp;IB_TL_RepStart,$B$5:$B37,"&lt;="&amp;IB_TL_Maturity)&lt;=8,INDEX('Facility Master'!K:K,MATCH(IB_TL_SNo,'Facility Master'!A:A,0))*0.0125,IF(COUNTIFS($B$5:$B37,"&gt;="&amp;IB_TL_RepStart,$B$5:$B37,"&lt;="&amp;IB_TL_Maturity)&lt;=48,INDEX('Facility Master'!K:K,MATCH(IB_TL_SNo,'Facility Master'!A:A,0))*0.0225,0)))),0)</f>
        <v>5.2875</v>
      </c>
      <c r="Q37" s="500" t="n">
        <f aca="false">IFERROR((N37+(O37-P37)/2)*INDEX('Facility Master'!R:R,MATCH(IB_TL_SNo,'Facility Master'!A:A,0))*(B37-B36)/DaysInYear,0)</f>
        <v>3.77943256849315</v>
      </c>
      <c r="R37" s="500" t="n">
        <f aca="false">IFERROR(ROUND(MAX(N37+O37-P37,0),6),0)</f>
        <v>158.625</v>
      </c>
      <c r="S37" s="697" t="n">
        <f aca="false">IFERROR(MAX(W36,0),0)</f>
        <v>0</v>
      </c>
      <c r="T37" s="697" t="n">
        <f aca="false">IFERROR(IF(AND(INDEX('Facility Master'!X:X,MATCH(RBL_TL_SNo,'Facility Master'!A:A,0))&lt;=B37,INDEX('Facility Master'!X:X,MATCH(RBL_TL_SNo,'Facility Master'!A:A,0))&gt;B36),INDEX('Facility Master'!K:K,MATCH(RBL_TL_SNo,'Facility Master'!A:A,0)),0),0)</f>
        <v>0</v>
      </c>
      <c r="U37" s="697" t="n">
        <f aca="false">IFERROR(IF(AND(RBL_TL_Maturity&lt;=B37,RBL_TL_Maturity&gt;B36),INDEX('Facility Master'!K:K,MATCH(RBL_TL_SNo,'Facility Master'!A:A,0)),0),0)</f>
        <v>0</v>
      </c>
      <c r="V37" s="697" t="n">
        <f aca="false">IFERROR((S37+(T37-U37)/2)*INDEX('Facility Master'!R:R,MATCH(RBL_TL_SNo,'Facility Master'!A:A,0))*(B37-B36)/DaysInYear,0)</f>
        <v>0</v>
      </c>
      <c r="W37" s="697" t="n">
        <f aca="false">IFERROR(ROUND(MAX(S37+T37-U37,0),6),0)</f>
        <v>0</v>
      </c>
      <c r="X37" s="500" t="n">
        <f aca="false">IFERROR(MAX(AB36,0),0)</f>
        <v>468</v>
      </c>
      <c r="Y37" s="500" t="n">
        <f aca="false">IFERROR(IF(AND(INDEX('Facility Master'!X:X,MATCH(YBL_TL_SNo,'Facility Master'!A:A,0))&lt;=B37,INDEX('Facility Master'!X:X,MATCH(YBL_TL_SNo,'Facility Master'!A:A,0))&gt;B36),INDEX('Facility Master'!K:K,MATCH(YBL_TL_SNo,'Facility Master'!A:A,0)),0),0)</f>
        <v>0</v>
      </c>
      <c r="Z37" s="500" t="n">
        <f aca="false">IFERROR(IF(B37&lt;YBL_TL_RepStart,0,IF(B37&gt;YBL_TL_Maturity,0,IF(COUNTIFS($B$5:$B37,"&gt;="&amp;YBL_TL_RepStart,$B$5:$B37,"&lt;="&amp;YBL_TL_Maturity)&lt;=8,INDEX('Facility Master'!K:K,MATCH(YBL_TL_SNo,'Facility Master'!A:A,0))*0.0125,IF(COUNTIFS($B$5:$B37,"&gt;="&amp;YBL_TL_RepStart,$B$5:$B37,"&lt;="&amp;YBL_TL_Maturity)&lt;=48,INDEX('Facility Master'!K:K,MATCH(YBL_TL_SNo,'Facility Master'!A:A,0))*0.0225,0)))),0)</f>
        <v>14.625</v>
      </c>
      <c r="AA37" s="500" t="n">
        <f aca="false">IFERROR((X37+(Y37-Z37)/2)*INDEX('Facility Master'!R:R,MATCH(YBL_TL_SNo,'Facility Master'!A:A,0))*(B37-B36)/DaysInYear,0)</f>
        <v>10.9687800513699</v>
      </c>
      <c r="AB37" s="500" t="n">
        <f aca="false">IFERROR(ROUND(MAX(X37+Y37-Z37,0),6),0)</f>
        <v>453.375</v>
      </c>
      <c r="AC37" s="500" t="n">
        <f aca="false">IFERROR(MAX(AG36,0),0)</f>
        <v>381.6</v>
      </c>
      <c r="AD37" s="500" t="n">
        <f aca="false">IFERROR(IF(AND(INDEX('Facility Master'!X:X,MATCH(IDFC_TL_SNo,'Facility Master'!A:A,0))&lt;=B37,INDEX('Facility Master'!X:X,MATCH(IDFC_TL_SNo,'Facility Master'!A:A,0))&gt;B36),INDEX('Facility Master'!K:K,MATCH(IDFC_TL_SNo,'Facility Master'!A:A,0)),0),0)</f>
        <v>0</v>
      </c>
      <c r="AE37" s="500" t="n">
        <f aca="false">IFERROR(IF(B37&lt;IDFC_TL_RepStart,0,IF(B37&gt;IDFC_TL_Maturity,0,IF(COUNTIFS($B$5:$B37,"&gt;="&amp;IDFC_TL_RepStart,$B$5:$B37,"&lt;="&amp;IDFC_TL_Maturity)&lt;=8,INDEX('Facility Master'!K:K,MATCH(IDFC_TL_SNo,'Facility Master'!A:A,0))*0.0125,IF(COUNTIFS($B$5:$B37,"&gt;="&amp;IDFC_TL_RepStart,$B$5:$B37,"&lt;="&amp;IDFC_TL_Maturity)&lt;=48,INDEX('Facility Master'!K:K,MATCH(IDFC_TL_SNo,'Facility Master'!A:A,0))*0.0225,0)))),0)</f>
        <v>11.925</v>
      </c>
      <c r="AF37" s="500" t="n">
        <f aca="false">IFERROR((AC37+(AD37-AE37)/2)*INDEX('Facility Master'!R:R,MATCH(IDFC_TL_SNo,'Facility Master'!A:A,0))*(B37-B36)/DaysInYear,0)</f>
        <v>8.24138383561644</v>
      </c>
      <c r="AG37" s="500" t="n">
        <f aca="false">IFERROR(ROUND(MAX(AC37+AD37-AE37,0),6),0)</f>
        <v>369.675</v>
      </c>
      <c r="AH37" s="698" t="n">
        <f aca="false">IFERROR(MAX(AL36,0),0)</f>
        <v>604.8</v>
      </c>
      <c r="AI37" s="698" t="n">
        <f aca="false">IFERROR(IF(AND(INDEX('Facility Master'!X:X,MATCH(ICICI_TL_SNo,'Facility Master'!A:A,0))&lt;=B37,INDEX('Facility Master'!X:X,MATCH(ICICI_TL_SNo,'Facility Master'!A:A,0))&gt;B36),INDEX('Facility Master'!K:K,MATCH(ICICI_TL_SNo,'Facility Master'!A:A,0)),0),0)</f>
        <v>0</v>
      </c>
      <c r="AJ37" s="698" t="n">
        <f aca="false">IFERROR(IF(B37&lt;ICICI_TL_RepStart,0,IF(B37&gt;ICICI_TL_Maturity,0,IF(COUNTIFS($B$5:$B37,"&gt;="&amp;ICICI_TL_RepStart,$B$5:$B37,"&lt;="&amp;ICICI_TL_Maturity)&lt;=8,INDEX('Facility Master'!K:K,MATCH(ICICI_TL_SNo,'Facility Master'!A:A,0))*0.0125,IF(COUNTIFS($B$5:$B37,"&gt;="&amp;ICICI_TL_RepStart,$B$5:$B37,"&lt;="&amp;ICICI_TL_Maturity)&lt;=48,INDEX('Facility Master'!K:K,MATCH(ICICI_TL_SNo,'Facility Master'!A:A,0))*0.0225,0)))),0)</f>
        <v>18.9</v>
      </c>
      <c r="AK37" s="698" t="n">
        <f aca="false">IFERROR((AH37+(AI37-AJ37)/2)*INDEX('Facility Master'!R:R,MATCH(ICICI_TL_SNo,'Facility Master'!A:A,0))*(B37-B36)/DaysInYear,0)</f>
        <v>12.9133861643836</v>
      </c>
      <c r="AL37" s="698" t="n">
        <f aca="false">IFERROR(ROUND(MAX(AH37+AI37-AJ37,0),6),0)</f>
        <v>585.9</v>
      </c>
      <c r="AM37" s="500" t="n">
        <f aca="false">F37+K37+P37+Z37+AE37+AJ37</f>
        <v>81.36</v>
      </c>
      <c r="AN37" s="500" t="n">
        <f aca="false">G37+L37+Q37+AA37+AF37+AK37</f>
        <v>58.3840782431507</v>
      </c>
      <c r="AO37" s="500" t="n">
        <f aca="false">AM37+AN37</f>
        <v>139.744078243151</v>
      </c>
      <c r="AP37" s="500" t="n">
        <f aca="false">H37+M37+R37+AB37+AG37+AL37</f>
        <v>2516.8725</v>
      </c>
    </row>
    <row r="38" customFormat="false" ht="15.75" hidden="false" customHeight="true" outlineLevel="0" collapsed="false">
      <c r="A38" s="699" t="n">
        <v>34</v>
      </c>
      <c r="B38" s="700" t="n">
        <v>48121</v>
      </c>
      <c r="C38" s="699" t="s">
        <v>698</v>
      </c>
      <c r="D38" s="701" t="n">
        <f aca="false">IFERROR(MAX(H37,0),0)</f>
        <v>784.6875</v>
      </c>
      <c r="E38" s="701" t="n">
        <f aca="false">IFERROR(IF(AND(INDEX('Facility Master'!X:X,MATCH(UBI_RTL1_SNo,'Facility Master'!A:A,0))&lt;=B38,INDEX('Facility Master'!X:X,MATCH(UBI_RTL1_SNo,'Facility Master'!A:A,0))&gt;B37),INDEX('Facility Master'!K:K,MATCH(UBI_RTL1_SNo,'Facility Master'!A:A,0)),0),0)</f>
        <v>0</v>
      </c>
      <c r="F38" s="701" t="n">
        <f aca="false">IFERROR(IF(B38&lt;UBI_RTL1_RepStart,0,IF(B38&gt;UBI_RTL1_Maturity,0,IF(COUNTIFS($B$5:$B38,"&gt;="&amp;UBI_RTL1_RepStart,$B$5:$B38,"&lt;="&amp;UBI_RTL1_Maturity)&lt;=8,INDEX('Facility Master'!K:K,MATCH(UBI_RTL1_SNo,'Facility Master'!A:A,0))*0.0125,IF(COUNTIFS($B$5:$B38,"&gt;="&amp;UBI_RTL1_RepStart,$B$5:$B38,"&lt;="&amp;UBI_RTL1_Maturity)&lt;=48,INDEX('Facility Master'!K:K,MATCH(UBI_RTL1_SNo,'Facility Master'!A:A,0))*0.0225,0)))),0)</f>
        <v>25.3125</v>
      </c>
      <c r="G38" s="701" t="n">
        <f aca="false">IFERROR((D38+(E38-F38)/2)*INDEX('Facility Master'!R:R,MATCH(UBI_RTL1_SNo,'Facility Master'!A:A,0))*(B38-B37)/DaysInYear,0)</f>
        <v>18.291852739726</v>
      </c>
      <c r="H38" s="701" t="n">
        <f aca="false">IFERROR(ROUND(MAX(D38+E38-F38,0),6),0)</f>
        <v>759.375</v>
      </c>
      <c r="I38" s="701" t="n">
        <f aca="false">IFERROR(MAX(M37,0),0)</f>
        <v>164.61</v>
      </c>
      <c r="J38" s="701" t="n">
        <f aca="false">IFERROR(IF(AND(INDEX('Facility Master'!X:X,MATCH(UBI_RTL2_SNo,'Facility Master'!A:A,0))&lt;=B38,INDEX('Facility Master'!X:X,MATCH(UBI_RTL2_SNo,'Facility Master'!A:A,0))&gt;B37),INDEX('Facility Master'!K:K,MATCH(UBI_RTL2_SNo,'Facility Master'!A:A,0)),0),0)</f>
        <v>0</v>
      </c>
      <c r="K38" s="701" t="n">
        <f aca="false">IFERROR(IF(B38&lt;UBI_RTL2_RepStart,0,IF(B38&gt;UBI_RTL2_Maturity,0,IF(COUNTIFS($B$5:$B38,"&gt;="&amp;UBI_RTL2_RepStart,$B$5:$B38,"&lt;="&amp;UBI_RTL2_Maturity)&lt;=8,INDEX('Facility Master'!K:K,MATCH(UBI_RTL2_SNo,'Facility Master'!A:A,0))*0.0125,IF(COUNTIFS($B$5:$B38,"&gt;="&amp;UBI_RTL2_RepStart,$B$5:$B38,"&lt;="&amp;UBI_RTL2_Maturity)&lt;=48,INDEX('Facility Master'!K:K,MATCH(UBI_RTL2_SNo,'Facility Master'!A:A,0))*0.0225,0)))),0)</f>
        <v>5.31</v>
      </c>
      <c r="L38" s="701" t="n">
        <f aca="false">IFERROR((I38+(J38-K38)/2)*INDEX('Facility Master'!R:R,MATCH(UBI_RTL2_SNo,'Facility Master'!A:A,0))*(B38-B37)/DaysInYear,0)</f>
        <v>3.71475961643836</v>
      </c>
      <c r="M38" s="701" t="n">
        <f aca="false">IFERROR(ROUND(MAX(I38+J38-K38,0),6),0)</f>
        <v>159.3</v>
      </c>
      <c r="N38" s="701" t="n">
        <f aca="false">IFERROR(MAX(R37,0),0)</f>
        <v>158.625</v>
      </c>
      <c r="O38" s="701" t="n">
        <f aca="false">IFERROR(IF(AND(INDEX('Facility Master'!X:X,MATCH(IB_TL_SNo,'Facility Master'!A:A,0))&lt;=B38,INDEX('Facility Master'!X:X,MATCH(IB_TL_SNo,'Facility Master'!A:A,0))&gt;B37),INDEX('Facility Master'!K:K,MATCH(IB_TL_SNo,'Facility Master'!A:A,0)),0),0)</f>
        <v>0</v>
      </c>
      <c r="P38" s="701" t="n">
        <f aca="false">IFERROR(IF(B38&lt;IB_TL_RepStart,0,IF(B38&gt;IB_TL_Maturity,0,IF(COUNTIFS($B$5:$B38,"&gt;="&amp;IB_TL_RepStart,$B$5:$B38,"&lt;="&amp;IB_TL_Maturity)&lt;=8,INDEX('Facility Master'!K:K,MATCH(IB_TL_SNo,'Facility Master'!A:A,0))*0.0125,IF(COUNTIFS($B$5:$B38,"&gt;="&amp;IB_TL_RepStart,$B$5:$B38,"&lt;="&amp;IB_TL_Maturity)&lt;=48,INDEX('Facility Master'!K:K,MATCH(IB_TL_SNo,'Facility Master'!A:A,0))*0.0225,0)))),0)</f>
        <v>5.2875</v>
      </c>
      <c r="Q38" s="701" t="n">
        <f aca="false">IFERROR((N38+(O38-P38)/2)*INDEX('Facility Master'!R:R,MATCH(IB_TL_SNo,'Facility Master'!A:A,0))*(B38-B37)/DaysInYear,0)</f>
        <v>3.69568726027397</v>
      </c>
      <c r="R38" s="701" t="n">
        <f aca="false">IFERROR(ROUND(MAX(N38+O38-P38,0),6),0)</f>
        <v>153.3375</v>
      </c>
      <c r="S38" s="702" t="n">
        <f aca="false">IFERROR(MAX(W37,0),0)</f>
        <v>0</v>
      </c>
      <c r="T38" s="702" t="n">
        <f aca="false">IFERROR(IF(AND(INDEX('Facility Master'!X:X,MATCH(RBL_TL_SNo,'Facility Master'!A:A,0))&lt;=B38,INDEX('Facility Master'!X:X,MATCH(RBL_TL_SNo,'Facility Master'!A:A,0))&gt;B37),INDEX('Facility Master'!K:K,MATCH(RBL_TL_SNo,'Facility Master'!A:A,0)),0),0)</f>
        <v>0</v>
      </c>
      <c r="U38" s="702" t="n">
        <f aca="false">IFERROR(IF(AND(RBL_TL_Maturity&lt;=B38,RBL_TL_Maturity&gt;B37),INDEX('Facility Master'!K:K,MATCH(RBL_TL_SNo,'Facility Master'!A:A,0)),0),0)</f>
        <v>0</v>
      </c>
      <c r="V38" s="702" t="n">
        <f aca="false">IFERROR((S38+(T38-U38)/2)*INDEX('Facility Master'!R:R,MATCH(RBL_TL_SNo,'Facility Master'!A:A,0))*(B38-B37)/DaysInYear,0)</f>
        <v>0</v>
      </c>
      <c r="W38" s="702" t="n">
        <f aca="false">IFERROR(ROUND(MAX(S38+T38-U38,0),6),0)</f>
        <v>0</v>
      </c>
      <c r="X38" s="701" t="n">
        <f aca="false">IFERROR(MAX(AB37,0),0)</f>
        <v>453.375</v>
      </c>
      <c r="Y38" s="701" t="n">
        <f aca="false">IFERROR(IF(AND(INDEX('Facility Master'!X:X,MATCH(YBL_TL_SNo,'Facility Master'!A:A,0))&lt;=B38,INDEX('Facility Master'!X:X,MATCH(YBL_TL_SNo,'Facility Master'!A:A,0))&gt;B37),INDEX('Facility Master'!K:K,MATCH(YBL_TL_SNo,'Facility Master'!A:A,0)),0),0)</f>
        <v>0</v>
      </c>
      <c r="Z38" s="701" t="n">
        <f aca="false">IFERROR(IF(B38&lt;YBL_TL_RepStart,0,IF(B38&gt;YBL_TL_Maturity,0,IF(COUNTIFS($B$5:$B38,"&gt;="&amp;YBL_TL_RepStart,$B$5:$B38,"&lt;="&amp;YBL_TL_Maturity)&lt;=8,INDEX('Facility Master'!K:K,MATCH(YBL_TL_SNo,'Facility Master'!A:A,0))*0.0125,IF(COUNTIFS($B$5:$B38,"&gt;="&amp;YBL_TL_RepStart,$B$5:$B38,"&lt;="&amp;YBL_TL_Maturity)&lt;=48,INDEX('Facility Master'!K:K,MATCH(YBL_TL_SNo,'Facility Master'!A:A,0))*0.0225,0)))),0)</f>
        <v>14.625</v>
      </c>
      <c r="AA38" s="701" t="n">
        <f aca="false">IFERROR((X38+(Y38-Z38)/2)*INDEX('Facility Master'!R:R,MATCH(YBL_TL_SNo,'Facility Master'!A:A,0))*(B38-B37)/DaysInYear,0)</f>
        <v>10.7372743150685</v>
      </c>
      <c r="AB38" s="701" t="n">
        <f aca="false">IFERROR(ROUND(MAX(X38+Y38-Z38,0),6),0)</f>
        <v>438.75</v>
      </c>
      <c r="AC38" s="701" t="n">
        <f aca="false">IFERROR(MAX(AG37,0),0)</f>
        <v>369.675</v>
      </c>
      <c r="AD38" s="701" t="n">
        <f aca="false">IFERROR(IF(AND(INDEX('Facility Master'!X:X,MATCH(IDFC_TL_SNo,'Facility Master'!A:A,0))&lt;=B38,INDEX('Facility Master'!X:X,MATCH(IDFC_TL_SNo,'Facility Master'!A:A,0))&gt;B37),INDEX('Facility Master'!K:K,MATCH(IDFC_TL_SNo,'Facility Master'!A:A,0)),0),0)</f>
        <v>0</v>
      </c>
      <c r="AE38" s="701" t="n">
        <f aca="false">IFERROR(IF(B38&lt;IDFC_TL_RepStart,0,IF(B38&gt;IDFC_TL_Maturity,0,IF(COUNTIFS($B$5:$B38,"&gt;="&amp;IDFC_TL_RepStart,$B$5:$B38,"&lt;="&amp;IDFC_TL_Maturity)&lt;=8,INDEX('Facility Master'!K:K,MATCH(IDFC_TL_SNo,'Facility Master'!A:A,0))*0.0125,IF(COUNTIFS($B$5:$B38,"&gt;="&amp;IDFC_TL_RepStart,$B$5:$B38,"&lt;="&amp;IDFC_TL_Maturity)&lt;=48,INDEX('Facility Master'!K:K,MATCH(IDFC_TL_SNo,'Facility Master'!A:A,0))*0.0225,0)))),0)</f>
        <v>11.925</v>
      </c>
      <c r="AF38" s="701" t="n">
        <f aca="false">IFERROR((AC38+(AD38-AE38)/2)*INDEX('Facility Master'!R:R,MATCH(IDFC_TL_SNo,'Facility Master'!A:A,0))*(B38-B37)/DaysInYear,0)</f>
        <v>8.06744219178082</v>
      </c>
      <c r="AG38" s="701" t="n">
        <f aca="false">IFERROR(ROUND(MAX(AC38+AD38-AE38,0),6),0)</f>
        <v>357.75</v>
      </c>
      <c r="AH38" s="703" t="n">
        <f aca="false">IFERROR(MAX(AL37,0),0)</f>
        <v>585.9</v>
      </c>
      <c r="AI38" s="703" t="n">
        <f aca="false">IFERROR(IF(AND(INDEX('Facility Master'!X:X,MATCH(ICICI_TL_SNo,'Facility Master'!A:A,0))&lt;=B38,INDEX('Facility Master'!X:X,MATCH(ICICI_TL_SNo,'Facility Master'!A:A,0))&gt;B37),INDEX('Facility Master'!K:K,MATCH(ICICI_TL_SNo,'Facility Master'!A:A,0)),0),0)</f>
        <v>0</v>
      </c>
      <c r="AJ38" s="703" t="n">
        <f aca="false">IFERROR(IF(B38&lt;ICICI_TL_RepStart,0,IF(B38&gt;ICICI_TL_Maturity,0,IF(COUNTIFS($B$5:$B38,"&gt;="&amp;ICICI_TL_RepStart,$B$5:$B38,"&lt;="&amp;ICICI_TL_Maturity)&lt;=8,INDEX('Facility Master'!K:K,MATCH(ICICI_TL_SNo,'Facility Master'!A:A,0))*0.0125,IF(COUNTIFS($B$5:$B38,"&gt;="&amp;ICICI_TL_RepStart,$B$5:$B38,"&lt;="&amp;ICICI_TL_Maturity)&lt;=48,INDEX('Facility Master'!K:K,MATCH(ICICI_TL_SNo,'Facility Master'!A:A,0))*0.0225,0)))),0)</f>
        <v>18.9</v>
      </c>
      <c r="AK38" s="703" t="n">
        <f aca="false">IFERROR((AH38+(AI38-AJ38)/2)*INDEX('Facility Master'!R:R,MATCH(ICICI_TL_SNo,'Facility Master'!A:A,0))*(B38-B37)/DaysInYear,0)</f>
        <v>12.6408378082192</v>
      </c>
      <c r="AL38" s="703" t="n">
        <f aca="false">IFERROR(ROUND(MAX(AH38+AI38-AJ38,0),6),0)</f>
        <v>567</v>
      </c>
      <c r="AM38" s="701" t="n">
        <f aca="false">F38+K38+P38+Z38+AE38+AJ38</f>
        <v>81.36</v>
      </c>
      <c r="AN38" s="701" t="n">
        <f aca="false">G38+L38+Q38+AA38+AF38+AK38</f>
        <v>57.1478539315069</v>
      </c>
      <c r="AO38" s="701" t="n">
        <f aca="false">AM38+AN38</f>
        <v>138.507853931507</v>
      </c>
      <c r="AP38" s="701" t="n">
        <f aca="false">H38+M38+R38+AB38+AG38+AL38</f>
        <v>2435.5125</v>
      </c>
    </row>
    <row r="39" customFormat="false" ht="15.75" hidden="false" customHeight="true" outlineLevel="0" collapsed="false">
      <c r="A39" s="496" t="n">
        <v>35</v>
      </c>
      <c r="B39" s="696" t="n">
        <v>48213</v>
      </c>
      <c r="C39" s="496" t="s">
        <v>699</v>
      </c>
      <c r="D39" s="500" t="n">
        <f aca="false">IFERROR(MAX(H38,0),0)</f>
        <v>759.375</v>
      </c>
      <c r="E39" s="500" t="n">
        <f aca="false">IFERROR(IF(AND(INDEX('Facility Master'!X:X,MATCH(UBI_RTL1_SNo,'Facility Master'!A:A,0))&lt;=B39,INDEX('Facility Master'!X:X,MATCH(UBI_RTL1_SNo,'Facility Master'!A:A,0))&gt;B38),INDEX('Facility Master'!K:K,MATCH(UBI_RTL1_SNo,'Facility Master'!A:A,0)),0),0)</f>
        <v>0</v>
      </c>
      <c r="F39" s="500" t="n">
        <f aca="false">IFERROR(IF(B39&lt;UBI_RTL1_RepStart,0,IF(B39&gt;UBI_RTL1_Maturity,0,IF(COUNTIFS($B$5:$B39,"&gt;="&amp;UBI_RTL1_RepStart,$B$5:$B39,"&lt;="&amp;UBI_RTL1_Maturity)&lt;=8,INDEX('Facility Master'!K:K,MATCH(UBI_RTL1_SNo,'Facility Master'!A:A,0))*0.0125,IF(COUNTIFS($B$5:$B39,"&gt;="&amp;UBI_RTL1_RepStart,$B$5:$B39,"&lt;="&amp;UBI_RTL1_Maturity)&lt;=48,INDEX('Facility Master'!K:K,MATCH(UBI_RTL1_SNo,'Facility Master'!A:A,0))*0.0225,0)))),0)</f>
        <v>25.3125</v>
      </c>
      <c r="G39" s="500" t="n">
        <f aca="false">IFERROR((D39+(E39-F39)/2)*INDEX('Facility Master'!R:R,MATCH(UBI_RTL1_SNo,'Facility Master'!A:A,0))*(B39-B38)/DaysInYear,0)</f>
        <v>17.6921198630137</v>
      </c>
      <c r="H39" s="500" t="n">
        <f aca="false">IFERROR(ROUND(MAX(D39+E39-F39,0),6),0)</f>
        <v>734.0625</v>
      </c>
      <c r="I39" s="500" t="n">
        <f aca="false">IFERROR(MAX(M38,0),0)</f>
        <v>159.3</v>
      </c>
      <c r="J39" s="500" t="n">
        <f aca="false">IFERROR(IF(AND(INDEX('Facility Master'!X:X,MATCH(UBI_RTL2_SNo,'Facility Master'!A:A,0))&lt;=B39,INDEX('Facility Master'!X:X,MATCH(UBI_RTL2_SNo,'Facility Master'!A:A,0))&gt;B38),INDEX('Facility Master'!K:K,MATCH(UBI_RTL2_SNo,'Facility Master'!A:A,0)),0),0)</f>
        <v>0</v>
      </c>
      <c r="K39" s="500" t="n">
        <f aca="false">IFERROR(IF(B39&lt;UBI_RTL2_RepStart,0,IF(B39&gt;UBI_RTL2_Maturity,0,IF(COUNTIFS($B$5:$B39,"&gt;="&amp;UBI_RTL2_RepStart,$B$5:$B39,"&lt;="&amp;UBI_RTL2_Maturity)&lt;=8,INDEX('Facility Master'!K:K,MATCH(UBI_RTL2_SNo,'Facility Master'!A:A,0))*0.0125,IF(COUNTIFS($B$5:$B39,"&gt;="&amp;UBI_RTL2_RepStart,$B$5:$B39,"&lt;="&amp;UBI_RTL2_Maturity)&lt;=48,INDEX('Facility Master'!K:K,MATCH(UBI_RTL2_SNo,'Facility Master'!A:A,0))*0.0225,0)))),0)</f>
        <v>5.31</v>
      </c>
      <c r="L39" s="500" t="n">
        <f aca="false">IFERROR((I39+(J39-K39)/2)*INDEX('Facility Master'!R:R,MATCH(UBI_RTL2_SNo,'Facility Master'!A:A,0))*(B39-B38)/DaysInYear,0)</f>
        <v>3.59296421917808</v>
      </c>
      <c r="M39" s="500" t="n">
        <f aca="false">IFERROR(ROUND(MAX(I39+J39-K39,0),6),0)</f>
        <v>153.99</v>
      </c>
      <c r="N39" s="500" t="n">
        <f aca="false">IFERROR(MAX(R38,0),0)</f>
        <v>153.3375</v>
      </c>
      <c r="O39" s="500" t="n">
        <f aca="false">IFERROR(IF(AND(INDEX('Facility Master'!X:X,MATCH(IB_TL_SNo,'Facility Master'!A:A,0))&lt;=B39,INDEX('Facility Master'!X:X,MATCH(IB_TL_SNo,'Facility Master'!A:A,0))&gt;B38),INDEX('Facility Master'!K:K,MATCH(IB_TL_SNo,'Facility Master'!A:A,0)),0),0)</f>
        <v>0</v>
      </c>
      <c r="P39" s="500" t="n">
        <f aca="false">IFERROR(IF(B39&lt;IB_TL_RepStart,0,IF(B39&gt;IB_TL_Maturity,0,IF(COUNTIFS($B$5:$B39,"&gt;="&amp;IB_TL_RepStart,$B$5:$B39,"&lt;="&amp;IB_TL_Maturity)&lt;=8,INDEX('Facility Master'!K:K,MATCH(IB_TL_SNo,'Facility Master'!A:A,0))*0.0125,IF(COUNTIFS($B$5:$B39,"&gt;="&amp;IB_TL_RepStart,$B$5:$B39,"&lt;="&amp;IB_TL_Maturity)&lt;=48,INDEX('Facility Master'!K:K,MATCH(IB_TL_SNo,'Facility Master'!A:A,0))*0.0225,0)))),0)</f>
        <v>5.2875</v>
      </c>
      <c r="Q39" s="500" t="n">
        <f aca="false">IFERROR((N39+(O39-P39)/2)*INDEX('Facility Master'!R:R,MATCH(IB_TL_SNo,'Facility Master'!A:A,0))*(B39-B38)/DaysInYear,0)</f>
        <v>3.5704097260274</v>
      </c>
      <c r="R39" s="500" t="n">
        <f aca="false">IFERROR(ROUND(MAX(N39+O39-P39,0),6),0)</f>
        <v>148.05</v>
      </c>
      <c r="S39" s="697" t="n">
        <f aca="false">IFERROR(MAX(W38,0),0)</f>
        <v>0</v>
      </c>
      <c r="T39" s="697" t="n">
        <f aca="false">IFERROR(IF(AND(INDEX('Facility Master'!X:X,MATCH(RBL_TL_SNo,'Facility Master'!A:A,0))&lt;=B39,INDEX('Facility Master'!X:X,MATCH(RBL_TL_SNo,'Facility Master'!A:A,0))&gt;B38),INDEX('Facility Master'!K:K,MATCH(RBL_TL_SNo,'Facility Master'!A:A,0)),0),0)</f>
        <v>0</v>
      </c>
      <c r="U39" s="697" t="n">
        <f aca="false">IFERROR(IF(AND(RBL_TL_Maturity&lt;=B39,RBL_TL_Maturity&gt;B38),INDEX('Facility Master'!K:K,MATCH(RBL_TL_SNo,'Facility Master'!A:A,0)),0),0)</f>
        <v>0</v>
      </c>
      <c r="V39" s="697" t="n">
        <f aca="false">IFERROR((S39+(T39-U39)/2)*INDEX('Facility Master'!R:R,MATCH(RBL_TL_SNo,'Facility Master'!A:A,0))*(B39-B38)/DaysInYear,0)</f>
        <v>0</v>
      </c>
      <c r="W39" s="697" t="n">
        <f aca="false">IFERROR(ROUND(MAX(S39+T39-U39,0),6),0)</f>
        <v>0</v>
      </c>
      <c r="X39" s="500" t="n">
        <f aca="false">IFERROR(MAX(AB38,0),0)</f>
        <v>438.75</v>
      </c>
      <c r="Y39" s="500" t="n">
        <f aca="false">IFERROR(IF(AND(INDEX('Facility Master'!X:X,MATCH(YBL_TL_SNo,'Facility Master'!A:A,0))&lt;=B39,INDEX('Facility Master'!X:X,MATCH(YBL_TL_SNo,'Facility Master'!A:A,0))&gt;B38),INDEX('Facility Master'!K:K,MATCH(YBL_TL_SNo,'Facility Master'!A:A,0)),0),0)</f>
        <v>0</v>
      </c>
      <c r="Z39" s="500" t="n">
        <f aca="false">IFERROR(IF(B39&lt;YBL_TL_RepStart,0,IF(B39&gt;YBL_TL_Maturity,0,IF(COUNTIFS($B$5:$B39,"&gt;="&amp;YBL_TL_RepStart,$B$5:$B39,"&lt;="&amp;YBL_TL_Maturity)&lt;=8,INDEX('Facility Master'!K:K,MATCH(YBL_TL_SNo,'Facility Master'!A:A,0))*0.0125,IF(COUNTIFS($B$5:$B39,"&gt;="&amp;YBL_TL_RepStart,$B$5:$B39,"&lt;="&amp;YBL_TL_Maturity)&lt;=48,INDEX('Facility Master'!K:K,MATCH(YBL_TL_SNo,'Facility Master'!A:A,0))*0.0225,0)))),0)</f>
        <v>14.625</v>
      </c>
      <c r="AA39" s="500" t="n">
        <f aca="false">IFERROR((X39+(Y39-Z39)/2)*INDEX('Facility Master'!R:R,MATCH(YBL_TL_SNo,'Facility Master'!A:A,0))*(B39-B38)/DaysInYear,0)</f>
        <v>10.3852325342466</v>
      </c>
      <c r="AB39" s="500" t="n">
        <f aca="false">IFERROR(ROUND(MAX(X39+Y39-Z39,0),6),0)</f>
        <v>424.125</v>
      </c>
      <c r="AC39" s="500" t="n">
        <f aca="false">IFERROR(MAX(AG38,0),0)</f>
        <v>357.75</v>
      </c>
      <c r="AD39" s="500" t="n">
        <f aca="false">IFERROR(IF(AND(INDEX('Facility Master'!X:X,MATCH(IDFC_TL_SNo,'Facility Master'!A:A,0))&lt;=B39,INDEX('Facility Master'!X:X,MATCH(IDFC_TL_SNo,'Facility Master'!A:A,0))&gt;B38),INDEX('Facility Master'!K:K,MATCH(IDFC_TL_SNo,'Facility Master'!A:A,0)),0),0)</f>
        <v>0</v>
      </c>
      <c r="AE39" s="500" t="n">
        <f aca="false">IFERROR(IF(B39&lt;IDFC_TL_RepStart,0,IF(B39&gt;IDFC_TL_Maturity,0,IF(COUNTIFS($B$5:$B39,"&gt;="&amp;IDFC_TL_RepStart,$B$5:$B39,"&lt;="&amp;IDFC_TL_Maturity)&lt;=8,INDEX('Facility Master'!K:K,MATCH(IDFC_TL_SNo,'Facility Master'!A:A,0))*0.0125,IF(COUNTIFS($B$5:$B39,"&gt;="&amp;IDFC_TL_RepStart,$B$5:$B39,"&lt;="&amp;IDFC_TL_Maturity)&lt;=48,INDEX('Facility Master'!K:K,MATCH(IDFC_TL_SNo,'Facility Master'!A:A,0))*0.0225,0)))),0)</f>
        <v>11.925</v>
      </c>
      <c r="AF39" s="500" t="n">
        <f aca="false">IFERROR((AC39+(AD39-AE39)/2)*INDEX('Facility Master'!R:R,MATCH(IDFC_TL_SNo,'Facility Master'!A:A,0))*(B39-B38)/DaysInYear,0)</f>
        <v>7.80293589041096</v>
      </c>
      <c r="AG39" s="500" t="n">
        <f aca="false">IFERROR(ROUND(MAX(AC39+AD39-AE39,0),6),0)</f>
        <v>345.825</v>
      </c>
      <c r="AH39" s="698" t="n">
        <f aca="false">IFERROR(MAX(AL38,0),0)</f>
        <v>567</v>
      </c>
      <c r="AI39" s="698" t="n">
        <f aca="false">IFERROR(IF(AND(INDEX('Facility Master'!X:X,MATCH(ICICI_TL_SNo,'Facility Master'!A:A,0))&lt;=B39,INDEX('Facility Master'!X:X,MATCH(ICICI_TL_SNo,'Facility Master'!A:A,0))&gt;B38),INDEX('Facility Master'!K:K,MATCH(ICICI_TL_SNo,'Facility Master'!A:A,0)),0),0)</f>
        <v>0</v>
      </c>
      <c r="AJ39" s="698" t="n">
        <f aca="false">IFERROR(IF(B39&lt;ICICI_TL_RepStart,0,IF(B39&gt;ICICI_TL_Maturity,0,IF(COUNTIFS($B$5:$B39,"&gt;="&amp;ICICI_TL_RepStart,$B$5:$B39,"&lt;="&amp;ICICI_TL_Maturity)&lt;=8,INDEX('Facility Master'!K:K,MATCH(ICICI_TL_SNo,'Facility Master'!A:A,0))*0.0125,IF(COUNTIFS($B$5:$B39,"&gt;="&amp;ICICI_TL_RepStart,$B$5:$B39,"&lt;="&amp;ICICI_TL_Maturity)&lt;=48,INDEX('Facility Master'!K:K,MATCH(ICICI_TL_SNo,'Facility Master'!A:A,0))*0.0225,0)))),0)</f>
        <v>18.9</v>
      </c>
      <c r="AK39" s="698" t="n">
        <f aca="false">IFERROR((AH39+(AI39-AJ39)/2)*INDEX('Facility Master'!R:R,MATCH(ICICI_TL_SNo,'Facility Master'!A:A,0))*(B39-B38)/DaysInYear,0)</f>
        <v>12.226384109589</v>
      </c>
      <c r="AL39" s="698" t="n">
        <f aca="false">IFERROR(ROUND(MAX(AH39+AI39-AJ39,0),6),0)</f>
        <v>548.1</v>
      </c>
      <c r="AM39" s="500" t="n">
        <f aca="false">F39+K39+P39+Z39+AE39+AJ39</f>
        <v>81.36</v>
      </c>
      <c r="AN39" s="500" t="n">
        <f aca="false">G39+L39+Q39+AA39+AF39+AK39</f>
        <v>55.2700463424658</v>
      </c>
      <c r="AO39" s="500" t="n">
        <f aca="false">AM39+AN39</f>
        <v>136.630046342466</v>
      </c>
      <c r="AP39" s="500" t="n">
        <f aca="false">H39+M39+R39+AB39+AG39+AL39</f>
        <v>2354.1525</v>
      </c>
    </row>
    <row r="40" customFormat="false" ht="15.75" hidden="false" customHeight="true" outlineLevel="0" collapsed="false">
      <c r="A40" s="699" t="n">
        <v>36</v>
      </c>
      <c r="B40" s="700" t="n">
        <v>48304</v>
      </c>
      <c r="C40" s="699" t="s">
        <v>700</v>
      </c>
      <c r="D40" s="701" t="n">
        <f aca="false">IFERROR(MAX(H39,0),0)</f>
        <v>734.0625</v>
      </c>
      <c r="E40" s="701" t="n">
        <f aca="false">IFERROR(IF(AND(INDEX('Facility Master'!X:X,MATCH(UBI_RTL1_SNo,'Facility Master'!A:A,0))&lt;=B40,INDEX('Facility Master'!X:X,MATCH(UBI_RTL1_SNo,'Facility Master'!A:A,0))&gt;B39),INDEX('Facility Master'!K:K,MATCH(UBI_RTL1_SNo,'Facility Master'!A:A,0)),0),0)</f>
        <v>0</v>
      </c>
      <c r="F40" s="701" t="n">
        <f aca="false">IFERROR(IF(B40&lt;UBI_RTL1_RepStart,0,IF(B40&gt;UBI_RTL1_Maturity,0,IF(COUNTIFS($B$5:$B40,"&gt;="&amp;UBI_RTL1_RepStart,$B$5:$B40,"&lt;="&amp;UBI_RTL1_Maturity)&lt;=8,INDEX('Facility Master'!K:K,MATCH(UBI_RTL1_SNo,'Facility Master'!A:A,0))*0.0125,IF(COUNTIFS($B$5:$B40,"&gt;="&amp;UBI_RTL1_RepStart,$B$5:$B40,"&lt;="&amp;UBI_RTL1_Maturity)&lt;=48,INDEX('Facility Master'!K:K,MATCH(UBI_RTL1_SNo,'Facility Master'!A:A,0))*0.0225,0)))),0)</f>
        <v>25.3125</v>
      </c>
      <c r="G40" s="701" t="n">
        <f aca="false">IFERROR((D40+(E40-F40)/2)*INDEX('Facility Master'!R:R,MATCH(UBI_RTL1_SNo,'Facility Master'!A:A,0))*(B40-B39)/DaysInYear,0)</f>
        <v>16.9066001712329</v>
      </c>
      <c r="H40" s="701" t="n">
        <f aca="false">IFERROR(ROUND(MAX(D40+E40-F40,0),6),0)</f>
        <v>708.75</v>
      </c>
      <c r="I40" s="701" t="n">
        <f aca="false">IFERROR(MAX(M39,0),0)</f>
        <v>153.99</v>
      </c>
      <c r="J40" s="701" t="n">
        <f aca="false">IFERROR(IF(AND(INDEX('Facility Master'!X:X,MATCH(UBI_RTL2_SNo,'Facility Master'!A:A,0))&lt;=B40,INDEX('Facility Master'!X:X,MATCH(UBI_RTL2_SNo,'Facility Master'!A:A,0))&gt;B39),INDEX('Facility Master'!K:K,MATCH(UBI_RTL2_SNo,'Facility Master'!A:A,0)),0),0)</f>
        <v>0</v>
      </c>
      <c r="K40" s="701" t="n">
        <f aca="false">IFERROR(IF(B40&lt;UBI_RTL2_RepStart,0,IF(B40&gt;UBI_RTL2_Maturity,0,IF(COUNTIFS($B$5:$B40,"&gt;="&amp;UBI_RTL2_RepStart,$B$5:$B40,"&lt;="&amp;UBI_RTL2_Maturity)&lt;=8,INDEX('Facility Master'!K:K,MATCH(UBI_RTL2_SNo,'Facility Master'!A:A,0))*0.0125,IF(COUNTIFS($B$5:$B40,"&gt;="&amp;UBI_RTL2_RepStart,$B$5:$B40,"&lt;="&amp;UBI_RTL2_Maturity)&lt;=48,INDEX('Facility Master'!K:K,MATCH(UBI_RTL2_SNo,'Facility Master'!A:A,0))*0.0225,0)))),0)</f>
        <v>5.31</v>
      </c>
      <c r="L40" s="701" t="n">
        <f aca="false">IFERROR((I40+(J40-K40)/2)*INDEX('Facility Master'!R:R,MATCH(UBI_RTL2_SNo,'Facility Master'!A:A,0))*(B40-B39)/DaysInYear,0)</f>
        <v>3.4334387260274</v>
      </c>
      <c r="M40" s="701" t="n">
        <f aca="false">IFERROR(ROUND(MAX(I40+J40-K40,0),6),0)</f>
        <v>148.68</v>
      </c>
      <c r="N40" s="701" t="n">
        <f aca="false">IFERROR(MAX(R39,0),0)</f>
        <v>148.05</v>
      </c>
      <c r="O40" s="701" t="n">
        <f aca="false">IFERROR(IF(AND(INDEX('Facility Master'!X:X,MATCH(IB_TL_SNo,'Facility Master'!A:A,0))&lt;=B40,INDEX('Facility Master'!X:X,MATCH(IB_TL_SNo,'Facility Master'!A:A,0))&gt;B39),INDEX('Facility Master'!K:K,MATCH(IB_TL_SNo,'Facility Master'!A:A,0)),0),0)</f>
        <v>0</v>
      </c>
      <c r="P40" s="701" t="n">
        <f aca="false">IFERROR(IF(B40&lt;IB_TL_RepStart,0,IF(B40&gt;IB_TL_Maturity,0,IF(COUNTIFS($B$5:$B40,"&gt;="&amp;IB_TL_RepStart,$B$5:$B40,"&lt;="&amp;IB_TL_Maturity)&lt;=8,INDEX('Facility Master'!K:K,MATCH(IB_TL_SNo,'Facility Master'!A:A,0))*0.0125,IF(COUNTIFS($B$5:$B40,"&gt;="&amp;IB_TL_RepStart,$B$5:$B40,"&lt;="&amp;IB_TL_Maturity)&lt;=48,INDEX('Facility Master'!K:K,MATCH(IB_TL_SNo,'Facility Master'!A:A,0))*0.0225,0)))),0)</f>
        <v>5.2875</v>
      </c>
      <c r="Q40" s="701" t="n">
        <f aca="false">IFERROR((N40+(O40-P40)/2)*INDEX('Facility Master'!R:R,MATCH(IB_TL_SNo,'Facility Master'!A:A,0))*(B40-B39)/DaysInYear,0)</f>
        <v>3.40768510273973</v>
      </c>
      <c r="R40" s="701" t="n">
        <f aca="false">IFERROR(ROUND(MAX(N40+O40-P40,0),6),0)</f>
        <v>142.7625</v>
      </c>
      <c r="S40" s="702" t="n">
        <f aca="false">IFERROR(MAX(W39,0),0)</f>
        <v>0</v>
      </c>
      <c r="T40" s="702" t="n">
        <f aca="false">IFERROR(IF(AND(INDEX('Facility Master'!X:X,MATCH(RBL_TL_SNo,'Facility Master'!A:A,0))&lt;=B40,INDEX('Facility Master'!X:X,MATCH(RBL_TL_SNo,'Facility Master'!A:A,0))&gt;B39),INDEX('Facility Master'!K:K,MATCH(RBL_TL_SNo,'Facility Master'!A:A,0)),0),0)</f>
        <v>0</v>
      </c>
      <c r="U40" s="702" t="n">
        <f aca="false">IFERROR(IF(AND(RBL_TL_Maturity&lt;=B40,RBL_TL_Maturity&gt;B39),INDEX('Facility Master'!K:K,MATCH(RBL_TL_SNo,'Facility Master'!A:A,0)),0),0)</f>
        <v>0</v>
      </c>
      <c r="V40" s="702" t="n">
        <f aca="false">IFERROR((S40+(T40-U40)/2)*INDEX('Facility Master'!R:R,MATCH(RBL_TL_SNo,'Facility Master'!A:A,0))*(B40-B39)/DaysInYear,0)</f>
        <v>0</v>
      </c>
      <c r="W40" s="702" t="n">
        <f aca="false">IFERROR(ROUND(MAX(S40+T40-U40,0),6),0)</f>
        <v>0</v>
      </c>
      <c r="X40" s="701" t="n">
        <f aca="false">IFERROR(MAX(AB39,0),0)</f>
        <v>424.125</v>
      </c>
      <c r="Y40" s="701" t="n">
        <f aca="false">IFERROR(IF(AND(INDEX('Facility Master'!X:X,MATCH(YBL_TL_SNo,'Facility Master'!A:A,0))&lt;=B40,INDEX('Facility Master'!X:X,MATCH(YBL_TL_SNo,'Facility Master'!A:A,0))&gt;B39),INDEX('Facility Master'!K:K,MATCH(YBL_TL_SNo,'Facility Master'!A:A,0)),0),0)</f>
        <v>0</v>
      </c>
      <c r="Z40" s="701" t="n">
        <f aca="false">IFERROR(IF(B40&lt;YBL_TL_RepStart,0,IF(B40&gt;YBL_TL_Maturity,0,IF(COUNTIFS($B$5:$B40,"&gt;="&amp;YBL_TL_RepStart,$B$5:$B40,"&lt;="&amp;YBL_TL_Maturity)&lt;=8,INDEX('Facility Master'!K:K,MATCH(YBL_TL_SNo,'Facility Master'!A:A,0))*0.0125,IF(COUNTIFS($B$5:$B40,"&gt;="&amp;YBL_TL_RepStart,$B$5:$B40,"&lt;="&amp;YBL_TL_Maturity)&lt;=48,INDEX('Facility Master'!K:K,MATCH(YBL_TL_SNo,'Facility Master'!A:A,0))*0.0225,0)))),0)</f>
        <v>14.625</v>
      </c>
      <c r="AA40" s="701" t="n">
        <f aca="false">IFERROR((X40+(Y40-Z40)/2)*INDEX('Facility Master'!R:R,MATCH(YBL_TL_SNo,'Facility Master'!A:A,0))*(B40-B39)/DaysInYear,0)</f>
        <v>9.92413433219178</v>
      </c>
      <c r="AB40" s="701" t="n">
        <f aca="false">IFERROR(ROUND(MAX(X40+Y40-Z40,0),6),0)</f>
        <v>409.5</v>
      </c>
      <c r="AC40" s="701" t="n">
        <f aca="false">IFERROR(MAX(AG39,0),0)</f>
        <v>345.825</v>
      </c>
      <c r="AD40" s="701" t="n">
        <f aca="false">IFERROR(IF(AND(INDEX('Facility Master'!X:X,MATCH(IDFC_TL_SNo,'Facility Master'!A:A,0))&lt;=B40,INDEX('Facility Master'!X:X,MATCH(IDFC_TL_SNo,'Facility Master'!A:A,0))&gt;B39),INDEX('Facility Master'!K:K,MATCH(IDFC_TL_SNo,'Facility Master'!A:A,0)),0),0)</f>
        <v>0</v>
      </c>
      <c r="AE40" s="701" t="n">
        <f aca="false">IFERROR(IF(B40&lt;IDFC_TL_RepStart,0,IF(B40&gt;IDFC_TL_Maturity,0,IF(COUNTIFS($B$5:$B40,"&gt;="&amp;IDFC_TL_RepStart,$B$5:$B40,"&lt;="&amp;IDFC_TL_Maturity)&lt;=8,INDEX('Facility Master'!K:K,MATCH(IDFC_TL_SNo,'Facility Master'!A:A,0))*0.0125,IF(COUNTIFS($B$5:$B40,"&gt;="&amp;IDFC_TL_RepStart,$B$5:$B40,"&lt;="&amp;IDFC_TL_Maturity)&lt;=48,INDEX('Facility Master'!K:K,MATCH(IDFC_TL_SNo,'Facility Master'!A:A,0))*0.0225,0)))),0)</f>
        <v>11.925</v>
      </c>
      <c r="AF40" s="701" t="n">
        <f aca="false">IFERROR((AC40+(AD40-AE40)/2)*INDEX('Facility Master'!R:R,MATCH(IDFC_TL_SNo,'Facility Master'!A:A,0))*(B40-B39)/DaysInYear,0)</f>
        <v>7.4564901369863</v>
      </c>
      <c r="AG40" s="701" t="n">
        <f aca="false">IFERROR(ROUND(MAX(AC40+AD40-AE40,0),6),0)</f>
        <v>333.9</v>
      </c>
      <c r="AH40" s="703" t="n">
        <f aca="false">IFERROR(MAX(AL39,0),0)</f>
        <v>548.1</v>
      </c>
      <c r="AI40" s="703" t="n">
        <f aca="false">IFERROR(IF(AND(INDEX('Facility Master'!X:X,MATCH(ICICI_TL_SNo,'Facility Master'!A:A,0))&lt;=B40,INDEX('Facility Master'!X:X,MATCH(ICICI_TL_SNo,'Facility Master'!A:A,0))&gt;B39),INDEX('Facility Master'!K:K,MATCH(ICICI_TL_SNo,'Facility Master'!A:A,0)),0),0)</f>
        <v>0</v>
      </c>
      <c r="AJ40" s="703" t="n">
        <f aca="false">IFERROR(IF(B40&lt;ICICI_TL_RepStart,0,IF(B40&gt;ICICI_TL_Maturity,0,IF(COUNTIFS($B$5:$B40,"&gt;="&amp;ICICI_TL_RepStart,$B$5:$B40,"&lt;="&amp;ICICI_TL_Maturity)&lt;=8,INDEX('Facility Master'!K:K,MATCH(ICICI_TL_SNo,'Facility Master'!A:A,0))*0.0125,IF(COUNTIFS($B$5:$B40,"&gt;="&amp;ICICI_TL_RepStart,$B$5:$B40,"&lt;="&amp;ICICI_TL_Maturity)&lt;=48,INDEX('Facility Master'!K:K,MATCH(ICICI_TL_SNo,'Facility Master'!A:A,0))*0.0225,0)))),0)</f>
        <v>18.9</v>
      </c>
      <c r="AK40" s="703" t="n">
        <f aca="false">IFERROR((AH40+(AI40-AJ40)/2)*INDEX('Facility Master'!R:R,MATCH(ICICI_TL_SNo,'Facility Master'!A:A,0))*(B40-B39)/DaysInYear,0)</f>
        <v>11.6835398630137</v>
      </c>
      <c r="AL40" s="703" t="n">
        <f aca="false">IFERROR(ROUND(MAX(AH40+AI40-AJ40,0),6),0)</f>
        <v>529.2</v>
      </c>
      <c r="AM40" s="701" t="n">
        <f aca="false">F40+K40+P40+Z40+AE40+AJ40</f>
        <v>81.36</v>
      </c>
      <c r="AN40" s="701" t="n">
        <f aca="false">G40+L40+Q40+AA40+AF40+AK40</f>
        <v>52.8118883321918</v>
      </c>
      <c r="AO40" s="701" t="n">
        <f aca="false">AM40+AN40</f>
        <v>134.171888332192</v>
      </c>
      <c r="AP40" s="701" t="n">
        <f aca="false">H40+M40+R40+AB40+AG40+AL40</f>
        <v>2272.7925</v>
      </c>
    </row>
    <row r="41" customFormat="false" ht="15.75" hidden="false" customHeight="true" outlineLevel="0" collapsed="false">
      <c r="A41" s="496" t="n">
        <v>37</v>
      </c>
      <c r="B41" s="696" t="n">
        <v>48395</v>
      </c>
      <c r="C41" s="496" t="s">
        <v>701</v>
      </c>
      <c r="D41" s="500" t="n">
        <f aca="false">IFERROR(MAX(H40,0),0)</f>
        <v>708.75</v>
      </c>
      <c r="E41" s="500" t="n">
        <f aca="false">IFERROR(IF(AND(INDEX('Facility Master'!X:X,MATCH(UBI_RTL1_SNo,'Facility Master'!A:A,0))&lt;=B41,INDEX('Facility Master'!X:X,MATCH(UBI_RTL1_SNo,'Facility Master'!A:A,0))&gt;B40),INDEX('Facility Master'!K:K,MATCH(UBI_RTL1_SNo,'Facility Master'!A:A,0)),0),0)</f>
        <v>0</v>
      </c>
      <c r="F41" s="500" t="n">
        <f aca="false">IFERROR(IF(B41&lt;UBI_RTL1_RepStart,0,IF(B41&gt;UBI_RTL1_Maturity,0,IF(COUNTIFS($B$5:$B41,"&gt;="&amp;UBI_RTL1_RepStart,$B$5:$B41,"&lt;="&amp;UBI_RTL1_Maturity)&lt;=8,INDEX('Facility Master'!K:K,MATCH(UBI_RTL1_SNo,'Facility Master'!A:A,0))*0.0125,IF(COUNTIFS($B$5:$B41,"&gt;="&amp;UBI_RTL1_RepStart,$B$5:$B41,"&lt;="&amp;UBI_RTL1_Maturity)&lt;=48,INDEX('Facility Master'!K:K,MATCH(UBI_RTL1_SNo,'Facility Master'!A:A,0))*0.0225,0)))),0)</f>
        <v>25.3125</v>
      </c>
      <c r="G41" s="500" t="n">
        <f aca="false">IFERROR((D41+(E41-F41)/2)*INDEX('Facility Master'!R:R,MATCH(UBI_RTL1_SNo,'Facility Master'!A:A,0))*(B41-B40)/DaysInYear,0)</f>
        <v>16.313386130137</v>
      </c>
      <c r="H41" s="500" t="n">
        <f aca="false">IFERROR(ROUND(MAX(D41+E41-F41,0),6),0)</f>
        <v>683.4375</v>
      </c>
      <c r="I41" s="500" t="n">
        <f aca="false">IFERROR(MAX(M40,0),0)</f>
        <v>148.68</v>
      </c>
      <c r="J41" s="500" t="n">
        <f aca="false">IFERROR(IF(AND(INDEX('Facility Master'!X:X,MATCH(UBI_RTL2_SNo,'Facility Master'!A:A,0))&lt;=B41,INDEX('Facility Master'!X:X,MATCH(UBI_RTL2_SNo,'Facility Master'!A:A,0))&gt;B40),INDEX('Facility Master'!K:K,MATCH(UBI_RTL2_SNo,'Facility Master'!A:A,0)),0),0)</f>
        <v>0</v>
      </c>
      <c r="K41" s="500" t="n">
        <f aca="false">IFERROR(IF(B41&lt;UBI_RTL2_RepStart,0,IF(B41&gt;UBI_RTL2_Maturity,0,IF(COUNTIFS($B$5:$B41,"&gt;="&amp;UBI_RTL2_RepStart,$B$5:$B41,"&lt;="&amp;UBI_RTL2_Maturity)&lt;=8,INDEX('Facility Master'!K:K,MATCH(UBI_RTL2_SNo,'Facility Master'!A:A,0))*0.0125,IF(COUNTIFS($B$5:$B41,"&gt;="&amp;UBI_RTL2_RepStart,$B$5:$B41,"&lt;="&amp;UBI_RTL2_Maturity)&lt;=48,INDEX('Facility Master'!K:K,MATCH(UBI_RTL2_SNo,'Facility Master'!A:A,0))*0.0225,0)))),0)</f>
        <v>5.31</v>
      </c>
      <c r="L41" s="500" t="n">
        <f aca="false">IFERROR((I41+(J41-K41)/2)*INDEX('Facility Master'!R:R,MATCH(UBI_RTL2_SNo,'Facility Master'!A:A,0))*(B41-B40)/DaysInYear,0)</f>
        <v>3.31296719178082</v>
      </c>
      <c r="M41" s="500" t="n">
        <f aca="false">IFERROR(ROUND(MAX(I41+J41-K41,0),6),0)</f>
        <v>143.37</v>
      </c>
      <c r="N41" s="500" t="n">
        <f aca="false">IFERROR(MAX(R40,0),0)</f>
        <v>142.7625</v>
      </c>
      <c r="O41" s="500" t="n">
        <f aca="false">IFERROR(IF(AND(INDEX('Facility Master'!X:X,MATCH(IB_TL_SNo,'Facility Master'!A:A,0))&lt;=B41,INDEX('Facility Master'!X:X,MATCH(IB_TL_SNo,'Facility Master'!A:A,0))&gt;B40),INDEX('Facility Master'!K:K,MATCH(IB_TL_SNo,'Facility Master'!A:A,0)),0),0)</f>
        <v>0</v>
      </c>
      <c r="P41" s="500" t="n">
        <f aca="false">IFERROR(IF(B41&lt;IB_TL_RepStart,0,IF(B41&gt;IB_TL_Maturity,0,IF(COUNTIFS($B$5:$B41,"&gt;="&amp;IB_TL_RepStart,$B$5:$B41,"&lt;="&amp;IB_TL_Maturity)&lt;=8,INDEX('Facility Master'!K:K,MATCH(IB_TL_SNo,'Facility Master'!A:A,0))*0.0125,IF(COUNTIFS($B$5:$B41,"&gt;="&amp;IB_TL_RepStart,$B$5:$B41,"&lt;="&amp;IB_TL_Maturity)&lt;=48,INDEX('Facility Master'!K:K,MATCH(IB_TL_SNo,'Facility Master'!A:A,0))*0.0225,0)))),0)</f>
        <v>5.2875</v>
      </c>
      <c r="Q41" s="500" t="n">
        <f aca="false">IFERROR((N41+(O41-P41)/2)*INDEX('Facility Master'!R:R,MATCH(IB_TL_SNo,'Facility Master'!A:A,0))*(B41-B40)/DaysInYear,0)</f>
        <v>3.28376928082192</v>
      </c>
      <c r="R41" s="500" t="n">
        <f aca="false">IFERROR(ROUND(MAX(N41+O41-P41,0),6),0)</f>
        <v>137.475</v>
      </c>
      <c r="S41" s="697" t="n">
        <f aca="false">IFERROR(MAX(W40,0),0)</f>
        <v>0</v>
      </c>
      <c r="T41" s="697" t="n">
        <f aca="false">IFERROR(IF(AND(INDEX('Facility Master'!X:X,MATCH(RBL_TL_SNo,'Facility Master'!A:A,0))&lt;=B41,INDEX('Facility Master'!X:X,MATCH(RBL_TL_SNo,'Facility Master'!A:A,0))&gt;B40),INDEX('Facility Master'!K:K,MATCH(RBL_TL_SNo,'Facility Master'!A:A,0)),0),0)</f>
        <v>0</v>
      </c>
      <c r="U41" s="697" t="n">
        <f aca="false">IFERROR(IF(AND(RBL_TL_Maturity&lt;=B41,RBL_TL_Maturity&gt;B40),INDEX('Facility Master'!K:K,MATCH(RBL_TL_SNo,'Facility Master'!A:A,0)),0),0)</f>
        <v>0</v>
      </c>
      <c r="V41" s="697" t="n">
        <f aca="false">IFERROR((S41+(T41-U41)/2)*INDEX('Facility Master'!R:R,MATCH(RBL_TL_SNo,'Facility Master'!A:A,0))*(B41-B40)/DaysInYear,0)</f>
        <v>0</v>
      </c>
      <c r="W41" s="697" t="n">
        <f aca="false">IFERROR(ROUND(MAX(S41+T41-U41,0),6),0)</f>
        <v>0</v>
      </c>
      <c r="X41" s="500" t="n">
        <f aca="false">IFERROR(MAX(AB40,0),0)</f>
        <v>409.5</v>
      </c>
      <c r="Y41" s="500" t="n">
        <f aca="false">IFERROR(IF(AND(INDEX('Facility Master'!X:X,MATCH(YBL_TL_SNo,'Facility Master'!A:A,0))&lt;=B41,INDEX('Facility Master'!X:X,MATCH(YBL_TL_SNo,'Facility Master'!A:A,0))&gt;B40),INDEX('Facility Master'!K:K,MATCH(YBL_TL_SNo,'Facility Master'!A:A,0)),0),0)</f>
        <v>0</v>
      </c>
      <c r="Z41" s="500" t="n">
        <f aca="false">IFERROR(IF(B41&lt;YBL_TL_RepStart,0,IF(B41&gt;YBL_TL_Maturity,0,IF(COUNTIFS($B$5:$B41,"&gt;="&amp;YBL_TL_RepStart,$B$5:$B41,"&lt;="&amp;YBL_TL_Maturity)&lt;=8,INDEX('Facility Master'!K:K,MATCH(YBL_TL_SNo,'Facility Master'!A:A,0))*0.0125,IF(COUNTIFS($B$5:$B41,"&gt;="&amp;YBL_TL_RepStart,$B$5:$B41,"&lt;="&amp;YBL_TL_Maturity)&lt;=48,INDEX('Facility Master'!K:K,MATCH(YBL_TL_SNo,'Facility Master'!A:A,0))*0.0225,0)))),0)</f>
        <v>14.625</v>
      </c>
      <c r="AA41" s="500" t="n">
        <f aca="false">IFERROR((X41+(Y41-Z41)/2)*INDEX('Facility Master'!R:R,MATCH(YBL_TL_SNo,'Facility Master'!A:A,0))*(B41-B40)/DaysInYear,0)</f>
        <v>9.57591909246575</v>
      </c>
      <c r="AB41" s="500" t="n">
        <f aca="false">IFERROR(ROUND(MAX(X41+Y41-Z41,0),6),0)</f>
        <v>394.875</v>
      </c>
      <c r="AC41" s="500" t="n">
        <f aca="false">IFERROR(MAX(AG40,0),0)</f>
        <v>333.9</v>
      </c>
      <c r="AD41" s="500" t="n">
        <f aca="false">IFERROR(IF(AND(INDEX('Facility Master'!X:X,MATCH(IDFC_TL_SNo,'Facility Master'!A:A,0))&lt;=B41,INDEX('Facility Master'!X:X,MATCH(IDFC_TL_SNo,'Facility Master'!A:A,0))&gt;B40),INDEX('Facility Master'!K:K,MATCH(IDFC_TL_SNo,'Facility Master'!A:A,0)),0),0)</f>
        <v>0</v>
      </c>
      <c r="AE41" s="500" t="n">
        <f aca="false">IFERROR(IF(B41&lt;IDFC_TL_RepStart,0,IF(B41&gt;IDFC_TL_Maturity,0,IF(COUNTIFS($B$5:$B41,"&gt;="&amp;IDFC_TL_RepStart,$B$5:$B41,"&lt;="&amp;IDFC_TL_Maturity)&lt;=8,INDEX('Facility Master'!K:K,MATCH(IDFC_TL_SNo,'Facility Master'!A:A,0))*0.0125,IF(COUNTIFS($B$5:$B41,"&gt;="&amp;IDFC_TL_RepStart,$B$5:$B41,"&lt;="&amp;IDFC_TL_Maturity)&lt;=48,INDEX('Facility Master'!K:K,MATCH(IDFC_TL_SNo,'Facility Master'!A:A,0))*0.0225,0)))),0)</f>
        <v>11.925</v>
      </c>
      <c r="AF41" s="500" t="n">
        <f aca="false">IFERROR((AC41+(AD41-AE41)/2)*INDEX('Facility Master'!R:R,MATCH(IDFC_TL_SNo,'Facility Master'!A:A,0))*(B41-B40)/DaysInYear,0)</f>
        <v>7.19485890410959</v>
      </c>
      <c r="AG41" s="500" t="n">
        <f aca="false">IFERROR(ROUND(MAX(AC41+AD41-AE41,0),6),0)</f>
        <v>321.975</v>
      </c>
      <c r="AH41" s="698" t="n">
        <f aca="false">IFERROR(MAX(AL40,0),0)</f>
        <v>529.2</v>
      </c>
      <c r="AI41" s="698" t="n">
        <f aca="false">IFERROR(IF(AND(INDEX('Facility Master'!X:X,MATCH(ICICI_TL_SNo,'Facility Master'!A:A,0))&lt;=B41,INDEX('Facility Master'!X:X,MATCH(ICICI_TL_SNo,'Facility Master'!A:A,0))&gt;B40),INDEX('Facility Master'!K:K,MATCH(ICICI_TL_SNo,'Facility Master'!A:A,0)),0),0)</f>
        <v>0</v>
      </c>
      <c r="AJ41" s="698" t="n">
        <f aca="false">IFERROR(IF(B41&lt;ICICI_TL_RepStart,0,IF(B41&gt;ICICI_TL_Maturity,0,IF(COUNTIFS($B$5:$B41,"&gt;="&amp;ICICI_TL_RepStart,$B$5:$B41,"&lt;="&amp;ICICI_TL_Maturity)&lt;=8,INDEX('Facility Master'!K:K,MATCH(ICICI_TL_SNo,'Facility Master'!A:A,0))*0.0125,IF(COUNTIFS($B$5:$B41,"&gt;="&amp;ICICI_TL_RepStart,$B$5:$B41,"&lt;="&amp;ICICI_TL_Maturity)&lt;=48,INDEX('Facility Master'!K:K,MATCH(ICICI_TL_SNo,'Facility Master'!A:A,0))*0.0225,0)))),0)</f>
        <v>18.9</v>
      </c>
      <c r="AK41" s="698" t="n">
        <f aca="false">IFERROR((AH41+(AI41-AJ41)/2)*INDEX('Facility Master'!R:R,MATCH(ICICI_TL_SNo,'Facility Master'!A:A,0))*(B41-B40)/DaysInYear,0)</f>
        <v>11.2735910958904</v>
      </c>
      <c r="AL41" s="698" t="n">
        <f aca="false">IFERROR(ROUND(MAX(AH41+AI41-AJ41,0),6),0)</f>
        <v>510.3</v>
      </c>
      <c r="AM41" s="500" t="n">
        <f aca="false">F41+K41+P41+Z41+AE41+AJ41</f>
        <v>81.36</v>
      </c>
      <c r="AN41" s="500" t="n">
        <f aca="false">G41+L41+Q41+AA41+AF41+AK41</f>
        <v>50.9544916952055</v>
      </c>
      <c r="AO41" s="500" t="n">
        <f aca="false">AM41+AN41</f>
        <v>132.314491695205</v>
      </c>
      <c r="AP41" s="500" t="n">
        <f aca="false">H41+M41+R41+AB41+AG41+AL41</f>
        <v>2191.4325</v>
      </c>
    </row>
    <row r="42" customFormat="false" ht="15.75" hidden="false" customHeight="true" outlineLevel="0" collapsed="false">
      <c r="A42" s="699" t="n">
        <v>38</v>
      </c>
      <c r="B42" s="700" t="n">
        <v>48487</v>
      </c>
      <c r="C42" s="699" t="s">
        <v>702</v>
      </c>
      <c r="D42" s="701" t="n">
        <f aca="false">IFERROR(MAX(H41,0),0)</f>
        <v>683.4375</v>
      </c>
      <c r="E42" s="701" t="n">
        <f aca="false">IFERROR(IF(AND(INDEX('Facility Master'!X:X,MATCH(UBI_RTL1_SNo,'Facility Master'!A:A,0))&lt;=B42,INDEX('Facility Master'!X:X,MATCH(UBI_RTL1_SNo,'Facility Master'!A:A,0))&gt;B41),INDEX('Facility Master'!K:K,MATCH(UBI_RTL1_SNo,'Facility Master'!A:A,0)),0),0)</f>
        <v>0</v>
      </c>
      <c r="F42" s="701" t="n">
        <f aca="false">IFERROR(IF(B42&lt;UBI_RTL1_RepStart,0,IF(B42&gt;UBI_RTL1_Maturity,0,IF(COUNTIFS($B$5:$B42,"&gt;="&amp;UBI_RTL1_RepStart,$B$5:$B42,"&lt;="&amp;UBI_RTL1_Maturity)&lt;=8,INDEX('Facility Master'!K:K,MATCH(UBI_RTL1_SNo,'Facility Master'!A:A,0))*0.0125,IF(COUNTIFS($B$5:$B42,"&gt;="&amp;UBI_RTL1_RepStart,$B$5:$B42,"&lt;="&amp;UBI_RTL1_Maturity)&lt;=48,INDEX('Facility Master'!K:K,MATCH(UBI_RTL1_SNo,'Facility Master'!A:A,0))*0.0225,0)))),0)</f>
        <v>25.3125</v>
      </c>
      <c r="G42" s="701" t="n">
        <f aca="false">IFERROR((D42+(E42-F42)/2)*INDEX('Facility Master'!R:R,MATCH(UBI_RTL1_SNo,'Facility Master'!A:A,0))*(B42-B41)/DaysInYear,0)</f>
        <v>15.8929212328767</v>
      </c>
      <c r="H42" s="701" t="n">
        <f aca="false">IFERROR(ROUND(MAX(D42+E42-F42,0),6),0)</f>
        <v>658.125</v>
      </c>
      <c r="I42" s="701" t="n">
        <f aca="false">IFERROR(MAX(M41,0),0)</f>
        <v>143.37</v>
      </c>
      <c r="J42" s="701" t="n">
        <f aca="false">IFERROR(IF(AND(INDEX('Facility Master'!X:X,MATCH(UBI_RTL2_SNo,'Facility Master'!A:A,0))&lt;=B42,INDEX('Facility Master'!X:X,MATCH(UBI_RTL2_SNo,'Facility Master'!A:A,0))&gt;B41),INDEX('Facility Master'!K:K,MATCH(UBI_RTL2_SNo,'Facility Master'!A:A,0)),0),0)</f>
        <v>0</v>
      </c>
      <c r="K42" s="701" t="n">
        <f aca="false">IFERROR(IF(B42&lt;UBI_RTL2_RepStart,0,IF(B42&gt;UBI_RTL2_Maturity,0,IF(COUNTIFS($B$5:$B42,"&gt;="&amp;UBI_RTL2_RepStart,$B$5:$B42,"&lt;="&amp;UBI_RTL2_Maturity)&lt;=8,INDEX('Facility Master'!K:K,MATCH(UBI_RTL2_SNo,'Facility Master'!A:A,0))*0.0125,IF(COUNTIFS($B$5:$B42,"&gt;="&amp;UBI_RTL2_RepStart,$B$5:$B42,"&lt;="&amp;UBI_RTL2_Maturity)&lt;=48,INDEX('Facility Master'!K:K,MATCH(UBI_RTL2_SNo,'Facility Master'!A:A,0))*0.0225,0)))),0)</f>
        <v>5.31</v>
      </c>
      <c r="L42" s="701" t="n">
        <f aca="false">IFERROR((I42+(J42-K42)/2)*INDEX('Facility Master'!R:R,MATCH(UBI_RTL2_SNo,'Facility Master'!A:A,0))*(B42-B41)/DaysInYear,0)</f>
        <v>3.22757802739726</v>
      </c>
      <c r="M42" s="701" t="n">
        <f aca="false">IFERROR(ROUND(MAX(I42+J42-K42,0),6),0)</f>
        <v>138.06</v>
      </c>
      <c r="N42" s="701" t="n">
        <f aca="false">IFERROR(MAX(R41,0),0)</f>
        <v>137.475</v>
      </c>
      <c r="O42" s="701" t="n">
        <f aca="false">IFERROR(IF(AND(INDEX('Facility Master'!X:X,MATCH(IB_TL_SNo,'Facility Master'!A:A,0))&lt;=B42,INDEX('Facility Master'!X:X,MATCH(IB_TL_SNo,'Facility Master'!A:A,0))&gt;B41),INDEX('Facility Master'!K:K,MATCH(IB_TL_SNo,'Facility Master'!A:A,0)),0),0)</f>
        <v>0</v>
      </c>
      <c r="P42" s="701" t="n">
        <f aca="false">IFERROR(IF(B42&lt;IB_TL_RepStart,0,IF(B42&gt;IB_TL_Maturity,0,IF(COUNTIFS($B$5:$B42,"&gt;="&amp;IB_TL_RepStart,$B$5:$B42,"&lt;="&amp;IB_TL_Maturity)&lt;=8,INDEX('Facility Master'!K:K,MATCH(IB_TL_SNo,'Facility Master'!A:A,0))*0.0125,IF(COUNTIFS($B$5:$B42,"&gt;="&amp;IB_TL_RepStart,$B$5:$B42,"&lt;="&amp;IB_TL_Maturity)&lt;=48,INDEX('Facility Master'!K:K,MATCH(IB_TL_SNo,'Facility Master'!A:A,0))*0.0225,0)))),0)</f>
        <v>5.2875</v>
      </c>
      <c r="Q42" s="701" t="n">
        <f aca="false">IFERROR((N42+(O42-P42)/2)*INDEX('Facility Master'!R:R,MATCH(IB_TL_SNo,'Facility Master'!A:A,0))*(B42-B41)/DaysInYear,0)</f>
        <v>3.19457712328767</v>
      </c>
      <c r="R42" s="701" t="n">
        <f aca="false">IFERROR(ROUND(MAX(N42+O42-P42,0),6),0)</f>
        <v>132.1875</v>
      </c>
      <c r="S42" s="702" t="n">
        <f aca="false">IFERROR(MAX(W41,0),0)</f>
        <v>0</v>
      </c>
      <c r="T42" s="702" t="n">
        <f aca="false">IFERROR(IF(AND(INDEX('Facility Master'!X:X,MATCH(RBL_TL_SNo,'Facility Master'!A:A,0))&lt;=B42,INDEX('Facility Master'!X:X,MATCH(RBL_TL_SNo,'Facility Master'!A:A,0))&gt;B41),INDEX('Facility Master'!K:K,MATCH(RBL_TL_SNo,'Facility Master'!A:A,0)),0),0)</f>
        <v>0</v>
      </c>
      <c r="U42" s="702" t="n">
        <f aca="false">IFERROR(IF(AND(RBL_TL_Maturity&lt;=B42,RBL_TL_Maturity&gt;B41),INDEX('Facility Master'!K:K,MATCH(RBL_TL_SNo,'Facility Master'!A:A,0)),0),0)</f>
        <v>0</v>
      </c>
      <c r="V42" s="702" t="n">
        <f aca="false">IFERROR((S42+(T42-U42)/2)*INDEX('Facility Master'!R:R,MATCH(RBL_TL_SNo,'Facility Master'!A:A,0))*(B42-B41)/DaysInYear,0)</f>
        <v>0</v>
      </c>
      <c r="W42" s="702" t="n">
        <f aca="false">IFERROR(ROUND(MAX(S42+T42-U42,0),6),0)</f>
        <v>0</v>
      </c>
      <c r="X42" s="701" t="n">
        <f aca="false">IFERROR(MAX(AB41,0),0)</f>
        <v>394.875</v>
      </c>
      <c r="Y42" s="701" t="n">
        <f aca="false">IFERROR(IF(AND(INDEX('Facility Master'!X:X,MATCH(YBL_TL_SNo,'Facility Master'!A:A,0))&lt;=B42,INDEX('Facility Master'!X:X,MATCH(YBL_TL_SNo,'Facility Master'!A:A,0))&gt;B41),INDEX('Facility Master'!K:K,MATCH(YBL_TL_SNo,'Facility Master'!A:A,0)),0),0)</f>
        <v>0</v>
      </c>
      <c r="Z42" s="701" t="n">
        <f aca="false">IFERROR(IF(B42&lt;YBL_TL_RepStart,0,IF(B42&gt;YBL_TL_Maturity,0,IF(COUNTIFS($B$5:$B42,"&gt;="&amp;YBL_TL_RepStart,$B$5:$B42,"&lt;="&amp;YBL_TL_Maturity)&lt;=8,INDEX('Facility Master'!K:K,MATCH(YBL_TL_SNo,'Facility Master'!A:A,0))*0.0125,IF(COUNTIFS($B$5:$B42,"&gt;="&amp;YBL_TL_RepStart,$B$5:$B42,"&lt;="&amp;YBL_TL_Maturity)&lt;=48,INDEX('Facility Master'!K:K,MATCH(YBL_TL_SNo,'Facility Master'!A:A,0))*0.0225,0)))),0)</f>
        <v>14.625</v>
      </c>
      <c r="AA42" s="701" t="n">
        <f aca="false">IFERROR((X42+(Y42-Z42)/2)*INDEX('Facility Master'!R:R,MATCH(YBL_TL_SNo,'Facility Master'!A:A,0))*(B42-B41)/DaysInYear,0)</f>
        <v>9.32910719178082</v>
      </c>
      <c r="AB42" s="701" t="n">
        <f aca="false">IFERROR(ROUND(MAX(X42+Y42-Z42,0),6),0)</f>
        <v>380.25</v>
      </c>
      <c r="AC42" s="701" t="n">
        <f aca="false">IFERROR(MAX(AG41,0),0)</f>
        <v>321.975</v>
      </c>
      <c r="AD42" s="701" t="n">
        <f aca="false">IFERROR(IF(AND(INDEX('Facility Master'!X:X,MATCH(IDFC_TL_SNo,'Facility Master'!A:A,0))&lt;=B42,INDEX('Facility Master'!X:X,MATCH(IDFC_TL_SNo,'Facility Master'!A:A,0))&gt;B41),INDEX('Facility Master'!K:K,MATCH(IDFC_TL_SNo,'Facility Master'!A:A,0)),0),0)</f>
        <v>0</v>
      </c>
      <c r="AE42" s="701" t="n">
        <f aca="false">IFERROR(IF(B42&lt;IDFC_TL_RepStart,0,IF(B42&gt;IDFC_TL_Maturity,0,IF(COUNTIFS($B$5:$B42,"&gt;="&amp;IDFC_TL_RepStart,$B$5:$B42,"&lt;="&amp;IDFC_TL_Maturity)&lt;=8,INDEX('Facility Master'!K:K,MATCH(IDFC_TL_SNo,'Facility Master'!A:A,0))*0.0125,IF(COUNTIFS($B$5:$B42,"&gt;="&amp;IDFC_TL_RepStart,$B$5:$B42,"&lt;="&amp;IDFC_TL_Maturity)&lt;=48,INDEX('Facility Master'!K:K,MATCH(IDFC_TL_SNo,'Facility Master'!A:A,0))*0.0225,0)))),0)</f>
        <v>11.925</v>
      </c>
      <c r="AF42" s="701" t="n">
        <f aca="false">IFERROR((AC42+(AD42-AE42)/2)*INDEX('Facility Master'!R:R,MATCH(IDFC_TL_SNo,'Facility Master'!A:A,0))*(B42-B41)/DaysInYear,0)</f>
        <v>7.00941698630137</v>
      </c>
      <c r="AG42" s="701" t="n">
        <f aca="false">IFERROR(ROUND(MAX(AC42+AD42-AE42,0),6),0)</f>
        <v>310.05</v>
      </c>
      <c r="AH42" s="703" t="n">
        <f aca="false">IFERROR(MAX(AL41,0),0)</f>
        <v>510.3</v>
      </c>
      <c r="AI42" s="703" t="n">
        <f aca="false">IFERROR(IF(AND(INDEX('Facility Master'!X:X,MATCH(ICICI_TL_SNo,'Facility Master'!A:A,0))&lt;=B42,INDEX('Facility Master'!X:X,MATCH(ICICI_TL_SNo,'Facility Master'!A:A,0))&gt;B41),INDEX('Facility Master'!K:K,MATCH(ICICI_TL_SNo,'Facility Master'!A:A,0)),0),0)</f>
        <v>0</v>
      </c>
      <c r="AJ42" s="703" t="n">
        <f aca="false">IFERROR(IF(B42&lt;ICICI_TL_RepStart,0,IF(B42&gt;ICICI_TL_Maturity,0,IF(COUNTIFS($B$5:$B42,"&gt;="&amp;ICICI_TL_RepStart,$B$5:$B42,"&lt;="&amp;ICICI_TL_Maturity)&lt;=8,INDEX('Facility Master'!K:K,MATCH(ICICI_TL_SNo,'Facility Master'!A:A,0))*0.0125,IF(COUNTIFS($B$5:$B42,"&gt;="&amp;ICICI_TL_RepStart,$B$5:$B42,"&lt;="&amp;ICICI_TL_Maturity)&lt;=48,INDEX('Facility Master'!K:K,MATCH(ICICI_TL_SNo,'Facility Master'!A:A,0))*0.0225,0)))),0)</f>
        <v>18.9</v>
      </c>
      <c r="AK42" s="703" t="n">
        <f aca="false">IFERROR((AH42+(AI42-AJ42)/2)*INDEX('Facility Master'!R:R,MATCH(ICICI_TL_SNo,'Facility Master'!A:A,0))*(B42-B41)/DaysInYear,0)</f>
        <v>10.9830230136986</v>
      </c>
      <c r="AL42" s="703" t="n">
        <f aca="false">IFERROR(ROUND(MAX(AH42+AI42-AJ42,0),6),0)</f>
        <v>491.4</v>
      </c>
      <c r="AM42" s="701" t="n">
        <f aca="false">F42+K42+P42+Z42+AE42+AJ42</f>
        <v>81.36</v>
      </c>
      <c r="AN42" s="701" t="n">
        <f aca="false">G42+L42+Q42+AA42+AF42+AK42</f>
        <v>49.6366235753425</v>
      </c>
      <c r="AO42" s="701" t="n">
        <f aca="false">AM42+AN42</f>
        <v>130.996623575342</v>
      </c>
      <c r="AP42" s="701" t="n">
        <f aca="false">H42+M42+R42+AB42+AG42+AL42</f>
        <v>2110.0725</v>
      </c>
    </row>
    <row r="43" customFormat="false" ht="15.75" hidden="false" customHeight="true" outlineLevel="0" collapsed="false">
      <c r="A43" s="496" t="n">
        <v>39</v>
      </c>
      <c r="B43" s="696" t="n">
        <v>48579</v>
      </c>
      <c r="C43" s="496" t="s">
        <v>703</v>
      </c>
      <c r="D43" s="500" t="n">
        <f aca="false">IFERROR(MAX(H42,0),0)</f>
        <v>658.125</v>
      </c>
      <c r="E43" s="500" t="n">
        <f aca="false">IFERROR(IF(AND(INDEX('Facility Master'!X:X,MATCH(UBI_RTL1_SNo,'Facility Master'!A:A,0))&lt;=B43,INDEX('Facility Master'!X:X,MATCH(UBI_RTL1_SNo,'Facility Master'!A:A,0))&gt;B42),INDEX('Facility Master'!K:K,MATCH(UBI_RTL1_SNo,'Facility Master'!A:A,0)),0),0)</f>
        <v>0</v>
      </c>
      <c r="F43" s="500" t="n">
        <f aca="false">IFERROR(IF(B43&lt;UBI_RTL1_RepStart,0,IF(B43&gt;UBI_RTL1_Maturity,0,IF(COUNTIFS($B$5:$B43,"&gt;="&amp;UBI_RTL1_RepStart,$B$5:$B43,"&lt;="&amp;UBI_RTL1_Maturity)&lt;=8,INDEX('Facility Master'!K:K,MATCH(UBI_RTL1_SNo,'Facility Master'!A:A,0))*0.0125,IF(COUNTIFS($B$5:$B43,"&gt;="&amp;UBI_RTL1_RepStart,$B$5:$B43,"&lt;="&amp;UBI_RTL1_Maturity)&lt;=48,INDEX('Facility Master'!K:K,MATCH(UBI_RTL1_SNo,'Facility Master'!A:A,0))*0.0225,0)))),0)</f>
        <v>25.3125</v>
      </c>
      <c r="G43" s="500" t="n">
        <f aca="false">IFERROR((D43+(E43-F43)/2)*INDEX('Facility Master'!R:R,MATCH(UBI_RTL1_SNo,'Facility Master'!A:A,0))*(B43-B42)/DaysInYear,0)</f>
        <v>15.2931883561644</v>
      </c>
      <c r="H43" s="500" t="n">
        <f aca="false">IFERROR(ROUND(MAX(D43+E43-F43,0),6),0)</f>
        <v>632.8125</v>
      </c>
      <c r="I43" s="500" t="n">
        <f aca="false">IFERROR(MAX(M42,0),0)</f>
        <v>138.06</v>
      </c>
      <c r="J43" s="500" t="n">
        <f aca="false">IFERROR(IF(AND(INDEX('Facility Master'!X:X,MATCH(UBI_RTL2_SNo,'Facility Master'!A:A,0))&lt;=B43,INDEX('Facility Master'!X:X,MATCH(UBI_RTL2_SNo,'Facility Master'!A:A,0))&gt;B42),INDEX('Facility Master'!K:K,MATCH(UBI_RTL2_SNo,'Facility Master'!A:A,0)),0),0)</f>
        <v>0</v>
      </c>
      <c r="K43" s="500" t="n">
        <f aca="false">IFERROR(IF(B43&lt;UBI_RTL2_RepStart,0,IF(B43&gt;UBI_RTL2_Maturity,0,IF(COUNTIFS($B$5:$B43,"&gt;="&amp;UBI_RTL2_RepStart,$B$5:$B43,"&lt;="&amp;UBI_RTL2_Maturity)&lt;=8,INDEX('Facility Master'!K:K,MATCH(UBI_RTL2_SNo,'Facility Master'!A:A,0))*0.0125,IF(COUNTIFS($B$5:$B43,"&gt;="&amp;UBI_RTL2_RepStart,$B$5:$B43,"&lt;="&amp;UBI_RTL2_Maturity)&lt;=48,INDEX('Facility Master'!K:K,MATCH(UBI_RTL2_SNo,'Facility Master'!A:A,0))*0.0225,0)))),0)</f>
        <v>5.31</v>
      </c>
      <c r="L43" s="500" t="n">
        <f aca="false">IFERROR((I43+(J43-K43)/2)*INDEX('Facility Master'!R:R,MATCH(UBI_RTL2_SNo,'Facility Master'!A:A,0))*(B43-B42)/DaysInYear,0)</f>
        <v>3.10578263013699</v>
      </c>
      <c r="M43" s="500" t="n">
        <f aca="false">IFERROR(ROUND(MAX(I43+J43-K43,0),6),0)</f>
        <v>132.75</v>
      </c>
      <c r="N43" s="500" t="n">
        <f aca="false">IFERROR(MAX(R42,0),0)</f>
        <v>132.1875</v>
      </c>
      <c r="O43" s="500" t="n">
        <f aca="false">IFERROR(IF(AND(INDEX('Facility Master'!X:X,MATCH(IB_TL_SNo,'Facility Master'!A:A,0))&lt;=B43,INDEX('Facility Master'!X:X,MATCH(IB_TL_SNo,'Facility Master'!A:A,0))&gt;B42),INDEX('Facility Master'!K:K,MATCH(IB_TL_SNo,'Facility Master'!A:A,0)),0),0)</f>
        <v>0</v>
      </c>
      <c r="P43" s="500" t="n">
        <f aca="false">IFERROR(IF(B43&lt;IB_TL_RepStart,0,IF(B43&gt;IB_TL_Maturity,0,IF(COUNTIFS($B$5:$B43,"&gt;="&amp;IB_TL_RepStart,$B$5:$B43,"&lt;="&amp;IB_TL_Maturity)&lt;=8,INDEX('Facility Master'!K:K,MATCH(IB_TL_SNo,'Facility Master'!A:A,0))*0.0125,IF(COUNTIFS($B$5:$B43,"&gt;="&amp;IB_TL_RepStart,$B$5:$B43,"&lt;="&amp;IB_TL_Maturity)&lt;=48,INDEX('Facility Master'!K:K,MATCH(IB_TL_SNo,'Facility Master'!A:A,0))*0.0225,0)))),0)</f>
        <v>5.2875</v>
      </c>
      <c r="Q43" s="500" t="n">
        <f aca="false">IFERROR((N43+(O43-P43)/2)*INDEX('Facility Master'!R:R,MATCH(IB_TL_SNo,'Facility Master'!A:A,0))*(B43-B42)/DaysInYear,0)</f>
        <v>3.0692995890411</v>
      </c>
      <c r="R43" s="500" t="n">
        <f aca="false">IFERROR(ROUND(MAX(N43+O43-P43,0),6),0)</f>
        <v>126.9</v>
      </c>
      <c r="S43" s="697" t="n">
        <f aca="false">IFERROR(MAX(W42,0),0)</f>
        <v>0</v>
      </c>
      <c r="T43" s="697" t="n">
        <f aca="false">IFERROR(IF(AND(INDEX('Facility Master'!X:X,MATCH(RBL_TL_SNo,'Facility Master'!A:A,0))&lt;=B43,INDEX('Facility Master'!X:X,MATCH(RBL_TL_SNo,'Facility Master'!A:A,0))&gt;B42),INDEX('Facility Master'!K:K,MATCH(RBL_TL_SNo,'Facility Master'!A:A,0)),0),0)</f>
        <v>0</v>
      </c>
      <c r="U43" s="697" t="n">
        <f aca="false">IFERROR(IF(AND(RBL_TL_Maturity&lt;=B43,RBL_TL_Maturity&gt;B42),INDEX('Facility Master'!K:K,MATCH(RBL_TL_SNo,'Facility Master'!A:A,0)),0),0)</f>
        <v>0</v>
      </c>
      <c r="V43" s="697" t="n">
        <f aca="false">IFERROR((S43+(T43-U43)/2)*INDEX('Facility Master'!R:R,MATCH(RBL_TL_SNo,'Facility Master'!A:A,0))*(B43-B42)/DaysInYear,0)</f>
        <v>0</v>
      </c>
      <c r="W43" s="697" t="n">
        <f aca="false">IFERROR(ROUND(MAX(S43+T43-U43,0),6),0)</f>
        <v>0</v>
      </c>
      <c r="X43" s="500" t="n">
        <f aca="false">IFERROR(MAX(AB42,0),0)</f>
        <v>380.25</v>
      </c>
      <c r="Y43" s="500" t="n">
        <f aca="false">IFERROR(IF(AND(INDEX('Facility Master'!X:X,MATCH(YBL_TL_SNo,'Facility Master'!A:A,0))&lt;=B43,INDEX('Facility Master'!X:X,MATCH(YBL_TL_SNo,'Facility Master'!A:A,0))&gt;B42),INDEX('Facility Master'!K:K,MATCH(YBL_TL_SNo,'Facility Master'!A:A,0)),0),0)</f>
        <v>0</v>
      </c>
      <c r="Z43" s="500" t="n">
        <f aca="false">IFERROR(IF(B43&lt;YBL_TL_RepStart,0,IF(B43&gt;YBL_TL_Maturity,0,IF(COUNTIFS($B$5:$B43,"&gt;="&amp;YBL_TL_RepStart,$B$5:$B43,"&lt;="&amp;YBL_TL_Maturity)&lt;=8,INDEX('Facility Master'!K:K,MATCH(YBL_TL_SNo,'Facility Master'!A:A,0))*0.0125,IF(COUNTIFS($B$5:$B43,"&gt;="&amp;YBL_TL_RepStart,$B$5:$B43,"&lt;="&amp;YBL_TL_Maturity)&lt;=48,INDEX('Facility Master'!K:K,MATCH(YBL_TL_SNo,'Facility Master'!A:A,0))*0.0225,0)))),0)</f>
        <v>14.625</v>
      </c>
      <c r="AA43" s="500" t="n">
        <f aca="false">IFERROR((X43+(Y43-Z43)/2)*INDEX('Facility Master'!R:R,MATCH(YBL_TL_SNo,'Facility Master'!A:A,0))*(B43-B42)/DaysInYear,0)</f>
        <v>8.97706541095891</v>
      </c>
      <c r="AB43" s="500" t="n">
        <f aca="false">IFERROR(ROUND(MAX(X43+Y43-Z43,0),6),0)</f>
        <v>365.625</v>
      </c>
      <c r="AC43" s="500" t="n">
        <f aca="false">IFERROR(MAX(AG42,0),0)</f>
        <v>310.05</v>
      </c>
      <c r="AD43" s="500" t="n">
        <f aca="false">IFERROR(IF(AND(INDEX('Facility Master'!X:X,MATCH(IDFC_TL_SNo,'Facility Master'!A:A,0))&lt;=B43,INDEX('Facility Master'!X:X,MATCH(IDFC_TL_SNo,'Facility Master'!A:A,0))&gt;B42),INDEX('Facility Master'!K:K,MATCH(IDFC_TL_SNo,'Facility Master'!A:A,0)),0),0)</f>
        <v>0</v>
      </c>
      <c r="AE43" s="500" t="n">
        <f aca="false">IFERROR(IF(B43&lt;IDFC_TL_RepStart,0,IF(B43&gt;IDFC_TL_Maturity,0,IF(COUNTIFS($B$5:$B43,"&gt;="&amp;IDFC_TL_RepStart,$B$5:$B43,"&lt;="&amp;IDFC_TL_Maturity)&lt;=8,INDEX('Facility Master'!K:K,MATCH(IDFC_TL_SNo,'Facility Master'!A:A,0))*0.0125,IF(COUNTIFS($B$5:$B43,"&gt;="&amp;IDFC_TL_RepStart,$B$5:$B43,"&lt;="&amp;IDFC_TL_Maturity)&lt;=48,INDEX('Facility Master'!K:K,MATCH(IDFC_TL_SNo,'Facility Master'!A:A,0))*0.0225,0)))),0)</f>
        <v>11.925</v>
      </c>
      <c r="AF43" s="500" t="n">
        <f aca="false">IFERROR((AC43+(AD43-AE43)/2)*INDEX('Facility Master'!R:R,MATCH(IDFC_TL_SNo,'Facility Master'!A:A,0))*(B43-B42)/DaysInYear,0)</f>
        <v>6.74491068493151</v>
      </c>
      <c r="AG43" s="500" t="n">
        <f aca="false">IFERROR(ROUND(MAX(AC43+AD43-AE43,0),6),0)</f>
        <v>298.125</v>
      </c>
      <c r="AH43" s="698" t="n">
        <f aca="false">IFERROR(MAX(AL42,0),0)</f>
        <v>491.4</v>
      </c>
      <c r="AI43" s="698" t="n">
        <f aca="false">IFERROR(IF(AND(INDEX('Facility Master'!X:X,MATCH(ICICI_TL_SNo,'Facility Master'!A:A,0))&lt;=B43,INDEX('Facility Master'!X:X,MATCH(ICICI_TL_SNo,'Facility Master'!A:A,0))&gt;B42),INDEX('Facility Master'!K:K,MATCH(ICICI_TL_SNo,'Facility Master'!A:A,0)),0),0)</f>
        <v>0</v>
      </c>
      <c r="AJ43" s="698" t="n">
        <f aca="false">IFERROR(IF(B43&lt;ICICI_TL_RepStart,0,IF(B43&gt;ICICI_TL_Maturity,0,IF(COUNTIFS($B$5:$B43,"&gt;="&amp;ICICI_TL_RepStart,$B$5:$B43,"&lt;="&amp;ICICI_TL_Maturity)&lt;=8,INDEX('Facility Master'!K:K,MATCH(ICICI_TL_SNo,'Facility Master'!A:A,0))*0.0125,IF(COUNTIFS($B$5:$B43,"&gt;="&amp;ICICI_TL_RepStart,$B$5:$B43,"&lt;="&amp;ICICI_TL_Maturity)&lt;=48,INDEX('Facility Master'!K:K,MATCH(ICICI_TL_SNo,'Facility Master'!A:A,0))*0.0225,0)))),0)</f>
        <v>18.9</v>
      </c>
      <c r="AK43" s="698" t="n">
        <f aca="false">IFERROR((AH43+(AI43-AJ43)/2)*INDEX('Facility Master'!R:R,MATCH(ICICI_TL_SNo,'Facility Master'!A:A,0))*(B43-B42)/DaysInYear,0)</f>
        <v>10.5685693150685</v>
      </c>
      <c r="AL43" s="698" t="n">
        <f aca="false">IFERROR(ROUND(MAX(AH43+AI43-AJ43,0),6),0)</f>
        <v>472.5</v>
      </c>
      <c r="AM43" s="500" t="n">
        <f aca="false">F43+K43+P43+Z43+AE43+AJ43</f>
        <v>81.36</v>
      </c>
      <c r="AN43" s="500" t="n">
        <f aca="false">G43+L43+Q43+AA43+AF43+AK43</f>
        <v>47.7588159863014</v>
      </c>
      <c r="AO43" s="500" t="n">
        <f aca="false">AM43+AN43</f>
        <v>129.118815986301</v>
      </c>
      <c r="AP43" s="500" t="n">
        <f aca="false">H43+M43+R43+AB43+AG43+AL43</f>
        <v>2028.7125</v>
      </c>
    </row>
    <row r="44" customFormat="false" ht="15.75" hidden="false" customHeight="true" outlineLevel="0" collapsed="false">
      <c r="A44" s="699" t="n">
        <v>40</v>
      </c>
      <c r="B44" s="700" t="n">
        <v>48669</v>
      </c>
      <c r="C44" s="699" t="s">
        <v>704</v>
      </c>
      <c r="D44" s="701" t="n">
        <f aca="false">IFERROR(MAX(H43,0),0)</f>
        <v>632.8125</v>
      </c>
      <c r="E44" s="701" t="n">
        <f aca="false">IFERROR(IF(AND(INDEX('Facility Master'!X:X,MATCH(UBI_RTL1_SNo,'Facility Master'!A:A,0))&lt;=B44,INDEX('Facility Master'!X:X,MATCH(UBI_RTL1_SNo,'Facility Master'!A:A,0))&gt;B43),INDEX('Facility Master'!K:K,MATCH(UBI_RTL1_SNo,'Facility Master'!A:A,0)),0),0)</f>
        <v>0</v>
      </c>
      <c r="F44" s="701" t="n">
        <f aca="false">IFERROR(IF(B44&lt;UBI_RTL1_RepStart,0,IF(B44&gt;UBI_RTL1_Maturity,0,IF(COUNTIFS($B$5:$B44,"&gt;="&amp;UBI_RTL1_RepStart,$B$5:$B44,"&lt;="&amp;UBI_RTL1_Maturity)&lt;=8,INDEX('Facility Master'!K:K,MATCH(UBI_RTL1_SNo,'Facility Master'!A:A,0))*0.0125,IF(COUNTIFS($B$5:$B44,"&gt;="&amp;UBI_RTL1_RepStart,$B$5:$B44,"&lt;="&amp;UBI_RTL1_Maturity)&lt;=48,INDEX('Facility Master'!K:K,MATCH(UBI_RTL1_SNo,'Facility Master'!A:A,0))*0.0225,0)))),0)</f>
        <v>25.3125</v>
      </c>
      <c r="G44" s="701" t="n">
        <f aca="false">IFERROR((D44+(E44-F44)/2)*INDEX('Facility Master'!R:R,MATCH(UBI_RTL1_SNo,'Facility Master'!A:A,0))*(B44-B43)/DaysInYear,0)</f>
        <v>14.3740325342466</v>
      </c>
      <c r="H44" s="701" t="n">
        <f aca="false">IFERROR(ROUND(MAX(D44+E44-F44,0),6),0)</f>
        <v>607.5</v>
      </c>
      <c r="I44" s="701" t="n">
        <f aca="false">IFERROR(MAX(M43,0),0)</f>
        <v>132.75</v>
      </c>
      <c r="J44" s="701" t="n">
        <f aca="false">IFERROR(IF(AND(INDEX('Facility Master'!X:X,MATCH(UBI_RTL2_SNo,'Facility Master'!A:A,0))&lt;=B44,INDEX('Facility Master'!X:X,MATCH(UBI_RTL2_SNo,'Facility Master'!A:A,0))&gt;B43),INDEX('Facility Master'!K:K,MATCH(UBI_RTL2_SNo,'Facility Master'!A:A,0)),0),0)</f>
        <v>0</v>
      </c>
      <c r="K44" s="701" t="n">
        <f aca="false">IFERROR(IF(B44&lt;UBI_RTL2_RepStart,0,IF(B44&gt;UBI_RTL2_Maturity,0,IF(COUNTIFS($B$5:$B44,"&gt;="&amp;UBI_RTL2_RepStart,$B$5:$B44,"&lt;="&amp;UBI_RTL2_Maturity)&lt;=8,INDEX('Facility Master'!K:K,MATCH(UBI_RTL2_SNo,'Facility Master'!A:A,0))*0.0125,IF(COUNTIFS($B$5:$B44,"&gt;="&amp;UBI_RTL2_RepStart,$B$5:$B44,"&lt;="&amp;UBI_RTL2_Maturity)&lt;=48,INDEX('Facility Master'!K:K,MATCH(UBI_RTL2_SNo,'Facility Master'!A:A,0))*0.0225,0)))),0)</f>
        <v>5.31</v>
      </c>
      <c r="L44" s="701" t="n">
        <f aca="false">IFERROR((I44+(J44-K44)/2)*INDEX('Facility Master'!R:R,MATCH(UBI_RTL2_SNo,'Facility Master'!A:A,0))*(B44-B43)/DaysInYear,0)</f>
        <v>2.91911794520548</v>
      </c>
      <c r="M44" s="701" t="n">
        <f aca="false">IFERROR(ROUND(MAX(I44+J44-K44,0),6),0)</f>
        <v>127.44</v>
      </c>
      <c r="N44" s="701" t="n">
        <f aca="false">IFERROR(MAX(R43,0),0)</f>
        <v>126.9</v>
      </c>
      <c r="O44" s="701" t="n">
        <f aca="false">IFERROR(IF(AND(INDEX('Facility Master'!X:X,MATCH(IB_TL_SNo,'Facility Master'!A:A,0))&lt;=B44,INDEX('Facility Master'!X:X,MATCH(IB_TL_SNo,'Facility Master'!A:A,0))&gt;B43),INDEX('Facility Master'!K:K,MATCH(IB_TL_SNo,'Facility Master'!A:A,0)),0),0)</f>
        <v>0</v>
      </c>
      <c r="P44" s="701" t="n">
        <f aca="false">IFERROR(IF(B44&lt;IB_TL_RepStart,0,IF(B44&gt;IB_TL_Maturity,0,IF(COUNTIFS($B$5:$B44,"&gt;="&amp;IB_TL_RepStart,$B$5:$B44,"&lt;="&amp;IB_TL_Maturity)&lt;=8,INDEX('Facility Master'!K:K,MATCH(IB_TL_SNo,'Facility Master'!A:A,0))*0.0125,IF(COUNTIFS($B$5:$B44,"&gt;="&amp;IB_TL_RepStart,$B$5:$B44,"&lt;="&amp;IB_TL_Maturity)&lt;=48,INDEX('Facility Master'!K:K,MATCH(IB_TL_SNo,'Facility Master'!A:A,0))*0.0225,0)))),0)</f>
        <v>5.2875</v>
      </c>
      <c r="Q44" s="701" t="n">
        <f aca="false">IFERROR((N44+(O44-P44)/2)*INDEX('Facility Master'!R:R,MATCH(IB_TL_SNo,'Facility Master'!A:A,0))*(B44-B43)/DaysInYear,0)</f>
        <v>2.88002157534247</v>
      </c>
      <c r="R44" s="701" t="n">
        <f aca="false">IFERROR(ROUND(MAX(N44+O44-P44,0),6),0)</f>
        <v>121.6125</v>
      </c>
      <c r="S44" s="702" t="n">
        <f aca="false">IFERROR(MAX(W43,0),0)</f>
        <v>0</v>
      </c>
      <c r="T44" s="702" t="n">
        <f aca="false">IFERROR(IF(AND(INDEX('Facility Master'!X:X,MATCH(RBL_TL_SNo,'Facility Master'!A:A,0))&lt;=B44,INDEX('Facility Master'!X:X,MATCH(RBL_TL_SNo,'Facility Master'!A:A,0))&gt;B43),INDEX('Facility Master'!K:K,MATCH(RBL_TL_SNo,'Facility Master'!A:A,0)),0),0)</f>
        <v>0</v>
      </c>
      <c r="U44" s="702" t="n">
        <f aca="false">IFERROR(IF(AND(RBL_TL_Maturity&lt;=B44,RBL_TL_Maturity&gt;B43),INDEX('Facility Master'!K:K,MATCH(RBL_TL_SNo,'Facility Master'!A:A,0)),0),0)</f>
        <v>0</v>
      </c>
      <c r="V44" s="702" t="n">
        <f aca="false">IFERROR((S44+(T44-U44)/2)*INDEX('Facility Master'!R:R,MATCH(RBL_TL_SNo,'Facility Master'!A:A,0))*(B44-B43)/DaysInYear,0)</f>
        <v>0</v>
      </c>
      <c r="W44" s="702" t="n">
        <f aca="false">IFERROR(ROUND(MAX(S44+T44-U44,0),6),0)</f>
        <v>0</v>
      </c>
      <c r="X44" s="701" t="n">
        <f aca="false">IFERROR(MAX(AB43,0),0)</f>
        <v>365.625</v>
      </c>
      <c r="Y44" s="701" t="n">
        <f aca="false">IFERROR(IF(AND(INDEX('Facility Master'!X:X,MATCH(YBL_TL_SNo,'Facility Master'!A:A,0))&lt;=B44,INDEX('Facility Master'!X:X,MATCH(YBL_TL_SNo,'Facility Master'!A:A,0))&gt;B43),INDEX('Facility Master'!K:K,MATCH(YBL_TL_SNo,'Facility Master'!A:A,0)),0),0)</f>
        <v>0</v>
      </c>
      <c r="Z44" s="701" t="n">
        <f aca="false">IFERROR(IF(B44&lt;YBL_TL_RepStart,0,IF(B44&gt;YBL_TL_Maturity,0,IF(COUNTIFS($B$5:$B44,"&gt;="&amp;YBL_TL_RepStart,$B$5:$B44,"&lt;="&amp;YBL_TL_Maturity)&lt;=8,INDEX('Facility Master'!K:K,MATCH(YBL_TL_SNo,'Facility Master'!A:A,0))*0.0125,IF(COUNTIFS($B$5:$B44,"&gt;="&amp;YBL_TL_RepStart,$B$5:$B44,"&lt;="&amp;YBL_TL_Maturity)&lt;=48,INDEX('Facility Master'!K:K,MATCH(YBL_TL_SNo,'Facility Master'!A:A,0))*0.0225,0)))),0)</f>
        <v>14.625</v>
      </c>
      <c r="AA44" s="701" t="n">
        <f aca="false">IFERROR((X44+(Y44-Z44)/2)*INDEX('Facility Master'!R:R,MATCH(YBL_TL_SNo,'Facility Master'!A:A,0))*(B44-B43)/DaysInYear,0)</f>
        <v>8.43752311643836</v>
      </c>
      <c r="AB44" s="701" t="n">
        <f aca="false">IFERROR(ROUND(MAX(X44+Y44-Z44,0),6),0)</f>
        <v>351</v>
      </c>
      <c r="AC44" s="701" t="n">
        <f aca="false">IFERROR(MAX(AG43,0),0)</f>
        <v>298.125</v>
      </c>
      <c r="AD44" s="701" t="n">
        <f aca="false">IFERROR(IF(AND(INDEX('Facility Master'!X:X,MATCH(IDFC_TL_SNo,'Facility Master'!A:A,0))&lt;=B44,INDEX('Facility Master'!X:X,MATCH(IDFC_TL_SNo,'Facility Master'!A:A,0))&gt;B43),INDEX('Facility Master'!K:K,MATCH(IDFC_TL_SNo,'Facility Master'!A:A,0)),0),0)</f>
        <v>0</v>
      </c>
      <c r="AE44" s="701" t="n">
        <f aca="false">IFERROR(IF(B44&lt;IDFC_TL_RepStart,0,IF(B44&gt;IDFC_TL_Maturity,0,IF(COUNTIFS($B$5:$B44,"&gt;="&amp;IDFC_TL_RepStart,$B$5:$B44,"&lt;="&amp;IDFC_TL_Maturity)&lt;=8,INDEX('Facility Master'!K:K,MATCH(IDFC_TL_SNo,'Facility Master'!A:A,0))*0.0125,IF(COUNTIFS($B$5:$B44,"&gt;="&amp;IDFC_TL_RepStart,$B$5:$B44,"&lt;="&amp;IDFC_TL_Maturity)&lt;=48,INDEX('Facility Master'!K:K,MATCH(IDFC_TL_SNo,'Facility Master'!A:A,0))*0.0225,0)))),0)</f>
        <v>11.925</v>
      </c>
      <c r="AF44" s="701" t="n">
        <f aca="false">IFERROR((AC44+(AD44-AE44)/2)*INDEX('Facility Master'!R:R,MATCH(IDFC_TL_SNo,'Facility Master'!A:A,0))*(B44-B43)/DaysInYear,0)</f>
        <v>6.33952602739726</v>
      </c>
      <c r="AG44" s="701" t="n">
        <f aca="false">IFERROR(ROUND(MAX(AC44+AD44-AE44,0),6),0)</f>
        <v>286.2</v>
      </c>
      <c r="AH44" s="703" t="n">
        <f aca="false">IFERROR(MAX(AL43,0),0)</f>
        <v>472.5</v>
      </c>
      <c r="AI44" s="703" t="n">
        <f aca="false">IFERROR(IF(AND(INDEX('Facility Master'!X:X,MATCH(ICICI_TL_SNo,'Facility Master'!A:A,0))&lt;=B44,INDEX('Facility Master'!X:X,MATCH(ICICI_TL_SNo,'Facility Master'!A:A,0))&gt;B43),INDEX('Facility Master'!K:K,MATCH(ICICI_TL_SNo,'Facility Master'!A:A,0)),0),0)</f>
        <v>0</v>
      </c>
      <c r="AJ44" s="703" t="n">
        <f aca="false">IFERROR(IF(B44&lt;ICICI_TL_RepStart,0,IF(B44&gt;ICICI_TL_Maturity,0,IF(COUNTIFS($B$5:$B44,"&gt;="&amp;ICICI_TL_RepStart,$B$5:$B44,"&lt;="&amp;ICICI_TL_Maturity)&lt;=8,INDEX('Facility Master'!K:K,MATCH(ICICI_TL_SNo,'Facility Master'!A:A,0))*0.0125,IF(COUNTIFS($B$5:$B44,"&gt;="&amp;ICICI_TL_RepStart,$B$5:$B44,"&lt;="&amp;ICICI_TL_Maturity)&lt;=48,INDEX('Facility Master'!K:K,MATCH(ICICI_TL_SNo,'Facility Master'!A:A,0))*0.0225,0)))),0)</f>
        <v>18.9</v>
      </c>
      <c r="AK44" s="703" t="n">
        <f aca="false">IFERROR((AH44+(AI44-AJ44)/2)*INDEX('Facility Master'!R:R,MATCH(ICICI_TL_SNo,'Facility Master'!A:A,0))*(B44-B43)/DaysInYear,0)</f>
        <v>9.93337397260274</v>
      </c>
      <c r="AL44" s="703" t="n">
        <f aca="false">IFERROR(ROUND(MAX(AH44+AI44-AJ44,0),6),0)</f>
        <v>453.6</v>
      </c>
      <c r="AM44" s="701" t="n">
        <f aca="false">F44+K44+P44+Z44+AE44+AJ44</f>
        <v>81.36</v>
      </c>
      <c r="AN44" s="701" t="n">
        <f aca="false">G44+L44+Q44+AA44+AF44+AK44</f>
        <v>44.8835951712329</v>
      </c>
      <c r="AO44" s="701" t="n">
        <f aca="false">AM44+AN44</f>
        <v>126.243595171233</v>
      </c>
      <c r="AP44" s="701" t="n">
        <f aca="false">H44+M44+R44+AB44+AG44+AL44</f>
        <v>1947.3525</v>
      </c>
    </row>
    <row r="45" customFormat="false" ht="15.75" hidden="false" customHeight="true" outlineLevel="0" collapsed="false">
      <c r="A45" s="496" t="n">
        <v>41</v>
      </c>
      <c r="B45" s="696" t="n">
        <v>48760</v>
      </c>
      <c r="C45" s="496" t="s">
        <v>705</v>
      </c>
      <c r="D45" s="500" t="n">
        <f aca="false">IFERROR(MAX(H44,0),0)</f>
        <v>607.5</v>
      </c>
      <c r="E45" s="500" t="n">
        <f aca="false">IFERROR(IF(AND(INDEX('Facility Master'!X:X,MATCH(UBI_RTL1_SNo,'Facility Master'!A:A,0))&lt;=B45,INDEX('Facility Master'!X:X,MATCH(UBI_RTL1_SNo,'Facility Master'!A:A,0))&gt;B44),INDEX('Facility Master'!K:K,MATCH(UBI_RTL1_SNo,'Facility Master'!A:A,0)),0),0)</f>
        <v>0</v>
      </c>
      <c r="F45" s="500" t="n">
        <f aca="false">IFERROR(IF(B45&lt;UBI_RTL1_RepStart,0,IF(B45&gt;UBI_RTL1_Maturity,0,IF(COUNTIFS($B$5:$B45,"&gt;="&amp;UBI_RTL1_RepStart,$B$5:$B45,"&lt;="&amp;UBI_RTL1_Maturity)&lt;=8,INDEX('Facility Master'!K:K,MATCH(UBI_RTL1_SNo,'Facility Master'!A:A,0))*0.0125,IF(COUNTIFS($B$5:$B45,"&gt;="&amp;UBI_RTL1_RepStart,$B$5:$B45,"&lt;="&amp;UBI_RTL1_Maturity)&lt;=48,INDEX('Facility Master'!K:K,MATCH(UBI_RTL1_SNo,'Facility Master'!A:A,0))*0.0225,0)))),0)</f>
        <v>25.3125</v>
      </c>
      <c r="G45" s="500" t="n">
        <f aca="false">IFERROR((D45+(E45-F45)/2)*INDEX('Facility Master'!R:R,MATCH(UBI_RTL1_SNo,'Facility Master'!A:A,0))*(B45-B44)/DaysInYear,0)</f>
        <v>13.9405299657534</v>
      </c>
      <c r="H45" s="500" t="n">
        <f aca="false">IFERROR(ROUND(MAX(D45+E45-F45,0),6),0)</f>
        <v>582.1875</v>
      </c>
      <c r="I45" s="500" t="n">
        <f aca="false">IFERROR(MAX(M44,0),0)</f>
        <v>127.44</v>
      </c>
      <c r="J45" s="500" t="n">
        <f aca="false">IFERROR(IF(AND(INDEX('Facility Master'!X:X,MATCH(UBI_RTL2_SNo,'Facility Master'!A:A,0))&lt;=B45,INDEX('Facility Master'!X:X,MATCH(UBI_RTL2_SNo,'Facility Master'!A:A,0))&gt;B44),INDEX('Facility Master'!K:K,MATCH(UBI_RTL2_SNo,'Facility Master'!A:A,0)),0),0)</f>
        <v>0</v>
      </c>
      <c r="K45" s="500" t="n">
        <f aca="false">IFERROR(IF(B45&lt;UBI_RTL2_RepStart,0,IF(B45&gt;UBI_RTL2_Maturity,0,IF(COUNTIFS($B$5:$B45,"&gt;="&amp;UBI_RTL2_RepStart,$B$5:$B45,"&lt;="&amp;UBI_RTL2_Maturity)&lt;=8,INDEX('Facility Master'!K:K,MATCH(UBI_RTL2_SNo,'Facility Master'!A:A,0))*0.0125,IF(COUNTIFS($B$5:$B45,"&gt;="&amp;UBI_RTL2_RepStart,$B$5:$B45,"&lt;="&amp;UBI_RTL2_Maturity)&lt;=48,INDEX('Facility Master'!K:K,MATCH(UBI_RTL2_SNo,'Facility Master'!A:A,0))*0.0225,0)))),0)</f>
        <v>5.31</v>
      </c>
      <c r="L45" s="500" t="n">
        <f aca="false">IFERROR((I45+(J45-K45)/2)*INDEX('Facility Master'!R:R,MATCH(UBI_RTL2_SNo,'Facility Master'!A:A,0))*(B45-B44)/DaysInYear,0)</f>
        <v>2.83108105479452</v>
      </c>
      <c r="M45" s="500" t="n">
        <f aca="false">IFERROR(ROUND(MAX(I45+J45-K45,0),6),0)</f>
        <v>122.13</v>
      </c>
      <c r="N45" s="500" t="n">
        <f aca="false">IFERROR(MAX(R44,0),0)</f>
        <v>121.6125</v>
      </c>
      <c r="O45" s="500" t="n">
        <f aca="false">IFERROR(IF(AND(INDEX('Facility Master'!X:X,MATCH(IB_TL_SNo,'Facility Master'!A:A,0))&lt;=B45,INDEX('Facility Master'!X:X,MATCH(IB_TL_SNo,'Facility Master'!A:A,0))&gt;B44),INDEX('Facility Master'!K:K,MATCH(IB_TL_SNo,'Facility Master'!A:A,0)),0),0)</f>
        <v>0</v>
      </c>
      <c r="P45" s="500" t="n">
        <f aca="false">IFERROR(IF(B45&lt;IB_TL_RepStart,0,IF(B45&gt;IB_TL_Maturity,0,IF(COUNTIFS($B$5:$B45,"&gt;="&amp;IB_TL_RepStart,$B$5:$B45,"&lt;="&amp;IB_TL_Maturity)&lt;=8,INDEX('Facility Master'!K:K,MATCH(IB_TL_SNo,'Facility Master'!A:A,0))*0.0125,IF(COUNTIFS($B$5:$B45,"&gt;="&amp;IB_TL_RepStart,$B$5:$B45,"&lt;="&amp;IB_TL_Maturity)&lt;=48,INDEX('Facility Master'!K:K,MATCH(IB_TL_SNo,'Facility Master'!A:A,0))*0.0225,0)))),0)</f>
        <v>5.2875</v>
      </c>
      <c r="Q45" s="500" t="n">
        <f aca="false">IFERROR((N45+(O45-P45)/2)*INDEX('Facility Master'!R:R,MATCH(IB_TL_SNo,'Facility Master'!A:A,0))*(B45-B44)/DaysInYear,0)</f>
        <v>2.78810599315069</v>
      </c>
      <c r="R45" s="500" t="n">
        <f aca="false">IFERROR(ROUND(MAX(N45+O45-P45,0),6),0)</f>
        <v>116.325</v>
      </c>
      <c r="S45" s="697" t="n">
        <f aca="false">IFERROR(MAX(W44,0),0)</f>
        <v>0</v>
      </c>
      <c r="T45" s="697" t="n">
        <f aca="false">IFERROR(IF(AND(INDEX('Facility Master'!X:X,MATCH(RBL_TL_SNo,'Facility Master'!A:A,0))&lt;=B45,INDEX('Facility Master'!X:X,MATCH(RBL_TL_SNo,'Facility Master'!A:A,0))&gt;B44),INDEX('Facility Master'!K:K,MATCH(RBL_TL_SNo,'Facility Master'!A:A,0)),0),0)</f>
        <v>0</v>
      </c>
      <c r="U45" s="697" t="n">
        <f aca="false">IFERROR(IF(AND(RBL_TL_Maturity&lt;=B45,RBL_TL_Maturity&gt;B44),INDEX('Facility Master'!K:K,MATCH(RBL_TL_SNo,'Facility Master'!A:A,0)),0),0)</f>
        <v>0</v>
      </c>
      <c r="V45" s="697" t="n">
        <f aca="false">IFERROR((S45+(T45-U45)/2)*INDEX('Facility Master'!R:R,MATCH(RBL_TL_SNo,'Facility Master'!A:A,0))*(B45-B44)/DaysInYear,0)</f>
        <v>0</v>
      </c>
      <c r="W45" s="697" t="n">
        <f aca="false">IFERROR(ROUND(MAX(S45+T45-U45,0),6),0)</f>
        <v>0</v>
      </c>
      <c r="X45" s="500" t="n">
        <f aca="false">IFERROR(MAX(AB44,0),0)</f>
        <v>351</v>
      </c>
      <c r="Y45" s="500" t="n">
        <f aca="false">IFERROR(IF(AND(INDEX('Facility Master'!X:X,MATCH(YBL_TL_SNo,'Facility Master'!A:A,0))&lt;=B45,INDEX('Facility Master'!X:X,MATCH(YBL_TL_SNo,'Facility Master'!A:A,0))&gt;B44),INDEX('Facility Master'!K:K,MATCH(YBL_TL_SNo,'Facility Master'!A:A,0)),0),0)</f>
        <v>0</v>
      </c>
      <c r="Z45" s="500" t="n">
        <f aca="false">IFERROR(IF(B45&lt;YBL_TL_RepStart,0,IF(B45&gt;YBL_TL_Maturity,0,IF(COUNTIFS($B$5:$B45,"&gt;="&amp;YBL_TL_RepStart,$B$5:$B45,"&lt;="&amp;YBL_TL_Maturity)&lt;=8,INDEX('Facility Master'!K:K,MATCH(YBL_TL_SNo,'Facility Master'!A:A,0))*0.0125,IF(COUNTIFS($B$5:$B45,"&gt;="&amp;YBL_TL_RepStart,$B$5:$B45,"&lt;="&amp;YBL_TL_Maturity)&lt;=48,INDEX('Facility Master'!K:K,MATCH(YBL_TL_SNo,'Facility Master'!A:A,0))*0.0225,0)))),0)</f>
        <v>14.625</v>
      </c>
      <c r="AA45" s="500" t="n">
        <f aca="false">IFERROR((X45+(Y45-Z45)/2)*INDEX('Facility Master'!R:R,MATCH(YBL_TL_SNo,'Facility Master'!A:A,0))*(B45-B44)/DaysInYear,0)</f>
        <v>8.18305813356164</v>
      </c>
      <c r="AB45" s="500" t="n">
        <f aca="false">IFERROR(ROUND(MAX(X45+Y45-Z45,0),6),0)</f>
        <v>336.375</v>
      </c>
      <c r="AC45" s="500" t="n">
        <f aca="false">IFERROR(MAX(AG44,0),0)</f>
        <v>286.2</v>
      </c>
      <c r="AD45" s="500" t="n">
        <f aca="false">IFERROR(IF(AND(INDEX('Facility Master'!X:X,MATCH(IDFC_TL_SNo,'Facility Master'!A:A,0))&lt;=B45,INDEX('Facility Master'!X:X,MATCH(IDFC_TL_SNo,'Facility Master'!A:A,0))&gt;B44),INDEX('Facility Master'!K:K,MATCH(IDFC_TL_SNo,'Facility Master'!A:A,0)),0),0)</f>
        <v>0</v>
      </c>
      <c r="AE45" s="500" t="n">
        <f aca="false">IFERROR(IF(B45&lt;IDFC_TL_RepStart,0,IF(B45&gt;IDFC_TL_Maturity,0,IF(COUNTIFS($B$5:$B45,"&gt;="&amp;IDFC_TL_RepStart,$B$5:$B45,"&lt;="&amp;IDFC_TL_Maturity)&lt;=8,INDEX('Facility Master'!K:K,MATCH(IDFC_TL_SNo,'Facility Master'!A:A,0))*0.0125,IF(COUNTIFS($B$5:$B45,"&gt;="&amp;IDFC_TL_RepStart,$B$5:$B45,"&lt;="&amp;IDFC_TL_Maturity)&lt;=48,INDEX('Facility Master'!K:K,MATCH(IDFC_TL_SNo,'Facility Master'!A:A,0))*0.0225,0)))),0)</f>
        <v>11.925</v>
      </c>
      <c r="AF45" s="500" t="n">
        <f aca="false">IFERROR((AC45+(AD45-AE45)/2)*INDEX('Facility Master'!R:R,MATCH(IDFC_TL_SNo,'Facility Master'!A:A,0))*(B45-B44)/DaysInYear,0)</f>
        <v>6.14833397260274</v>
      </c>
      <c r="AG45" s="500" t="n">
        <f aca="false">IFERROR(ROUND(MAX(AC45+AD45-AE45,0),6),0)</f>
        <v>274.275</v>
      </c>
      <c r="AH45" s="698" t="n">
        <f aca="false">IFERROR(MAX(AL44,0),0)</f>
        <v>453.6</v>
      </c>
      <c r="AI45" s="698" t="n">
        <f aca="false">IFERROR(IF(AND(INDEX('Facility Master'!X:X,MATCH(ICICI_TL_SNo,'Facility Master'!A:A,0))&lt;=B45,INDEX('Facility Master'!X:X,MATCH(ICICI_TL_SNo,'Facility Master'!A:A,0))&gt;B44),INDEX('Facility Master'!K:K,MATCH(ICICI_TL_SNo,'Facility Master'!A:A,0)),0),0)</f>
        <v>0</v>
      </c>
      <c r="AJ45" s="698" t="n">
        <f aca="false">IFERROR(IF(B45&lt;ICICI_TL_RepStart,0,IF(B45&gt;ICICI_TL_Maturity,0,IF(COUNTIFS($B$5:$B45,"&gt;="&amp;ICICI_TL_RepStart,$B$5:$B45,"&lt;="&amp;ICICI_TL_Maturity)&lt;=8,INDEX('Facility Master'!K:K,MATCH(ICICI_TL_SNo,'Facility Master'!A:A,0))*0.0125,IF(COUNTIFS($B$5:$B45,"&gt;="&amp;ICICI_TL_RepStart,$B$5:$B45,"&lt;="&amp;ICICI_TL_Maturity)&lt;=48,INDEX('Facility Master'!K:K,MATCH(ICICI_TL_SNo,'Facility Master'!A:A,0))*0.0225,0)))),0)</f>
        <v>18.9</v>
      </c>
      <c r="AK45" s="698" t="n">
        <f aca="false">IFERROR((AH45+(AI45-AJ45)/2)*INDEX('Facility Master'!R:R,MATCH(ICICI_TL_SNo,'Facility Master'!A:A,0))*(B45-B44)/DaysInYear,0)</f>
        <v>9.63379602739726</v>
      </c>
      <c r="AL45" s="698" t="n">
        <f aca="false">IFERROR(ROUND(MAX(AH45+AI45-AJ45,0),6),0)</f>
        <v>434.7</v>
      </c>
      <c r="AM45" s="500" t="n">
        <f aca="false">F45+K45+P45+Z45+AE45+AJ45</f>
        <v>81.36</v>
      </c>
      <c r="AN45" s="500" t="n">
        <f aca="false">G45+L45+Q45+AA45+AF45+AK45</f>
        <v>43.5249051472603</v>
      </c>
      <c r="AO45" s="500" t="n">
        <f aca="false">AM45+AN45</f>
        <v>124.88490514726</v>
      </c>
      <c r="AP45" s="500" t="n">
        <f aca="false">H45+M45+R45+AB45+AG45+AL45</f>
        <v>1865.9925</v>
      </c>
    </row>
    <row r="46" customFormat="false" ht="15.75" hidden="false" customHeight="true" outlineLevel="0" collapsed="false">
      <c r="A46" s="699" t="n">
        <v>42</v>
      </c>
      <c r="B46" s="700" t="n">
        <v>48852</v>
      </c>
      <c r="C46" s="699" t="s">
        <v>706</v>
      </c>
      <c r="D46" s="701" t="n">
        <f aca="false">IFERROR(MAX(H45,0),0)</f>
        <v>582.1875</v>
      </c>
      <c r="E46" s="701" t="n">
        <f aca="false">IFERROR(IF(AND(INDEX('Facility Master'!X:X,MATCH(UBI_RTL1_SNo,'Facility Master'!A:A,0))&lt;=B46,INDEX('Facility Master'!X:X,MATCH(UBI_RTL1_SNo,'Facility Master'!A:A,0))&gt;B45),INDEX('Facility Master'!K:K,MATCH(UBI_RTL1_SNo,'Facility Master'!A:A,0)),0),0)</f>
        <v>0</v>
      </c>
      <c r="F46" s="701" t="n">
        <f aca="false">IFERROR(IF(B46&lt;UBI_RTL1_RepStart,0,IF(B46&gt;UBI_RTL1_Maturity,0,IF(COUNTIFS($B$5:$B46,"&gt;="&amp;UBI_RTL1_RepStart,$B$5:$B46,"&lt;="&amp;UBI_RTL1_Maturity)&lt;=8,INDEX('Facility Master'!K:K,MATCH(UBI_RTL1_SNo,'Facility Master'!A:A,0))*0.0125,IF(COUNTIFS($B$5:$B46,"&gt;="&amp;UBI_RTL1_RepStart,$B$5:$B46,"&lt;="&amp;UBI_RTL1_Maturity)&lt;=48,INDEX('Facility Master'!K:K,MATCH(UBI_RTL1_SNo,'Facility Master'!A:A,0))*0.0225,0)))),0)</f>
        <v>25.3125</v>
      </c>
      <c r="G46" s="701" t="n">
        <f aca="false">IFERROR((D46+(E46-F46)/2)*INDEX('Facility Master'!R:R,MATCH(UBI_RTL1_SNo,'Facility Master'!A:A,0))*(B46-B45)/DaysInYear,0)</f>
        <v>13.4939897260274</v>
      </c>
      <c r="H46" s="701" t="n">
        <f aca="false">IFERROR(ROUND(MAX(D46+E46-F46,0),6),0)</f>
        <v>556.875</v>
      </c>
      <c r="I46" s="701" t="n">
        <f aca="false">IFERROR(MAX(M45,0),0)</f>
        <v>122.13</v>
      </c>
      <c r="J46" s="701" t="n">
        <f aca="false">IFERROR(IF(AND(INDEX('Facility Master'!X:X,MATCH(UBI_RTL2_SNo,'Facility Master'!A:A,0))&lt;=B46,INDEX('Facility Master'!X:X,MATCH(UBI_RTL2_SNo,'Facility Master'!A:A,0))&gt;B45),INDEX('Facility Master'!K:K,MATCH(UBI_RTL2_SNo,'Facility Master'!A:A,0)),0),0)</f>
        <v>0</v>
      </c>
      <c r="K46" s="701" t="n">
        <f aca="false">IFERROR(IF(B46&lt;UBI_RTL2_RepStart,0,IF(B46&gt;UBI_RTL2_Maturity,0,IF(COUNTIFS($B$5:$B46,"&gt;="&amp;UBI_RTL2_RepStart,$B$5:$B46,"&lt;="&amp;UBI_RTL2_Maturity)&lt;=8,INDEX('Facility Master'!K:K,MATCH(UBI_RTL2_SNo,'Facility Master'!A:A,0))*0.0125,IF(COUNTIFS($B$5:$B46,"&gt;="&amp;UBI_RTL2_RepStart,$B$5:$B46,"&lt;="&amp;UBI_RTL2_Maturity)&lt;=48,INDEX('Facility Master'!K:K,MATCH(UBI_RTL2_SNo,'Facility Master'!A:A,0))*0.0225,0)))),0)</f>
        <v>5.31</v>
      </c>
      <c r="L46" s="701" t="n">
        <f aca="false">IFERROR((I46+(J46-K46)/2)*INDEX('Facility Master'!R:R,MATCH(UBI_RTL2_SNo,'Facility Master'!A:A,0))*(B46-B45)/DaysInYear,0)</f>
        <v>2.74039643835616</v>
      </c>
      <c r="M46" s="701" t="n">
        <f aca="false">IFERROR(ROUND(MAX(I46+J46-K46,0),6),0)</f>
        <v>116.82</v>
      </c>
      <c r="N46" s="701" t="n">
        <f aca="false">IFERROR(MAX(R45,0),0)</f>
        <v>116.325</v>
      </c>
      <c r="O46" s="701" t="n">
        <f aca="false">IFERROR(IF(AND(INDEX('Facility Master'!X:X,MATCH(IB_TL_SNo,'Facility Master'!A:A,0))&lt;=B46,INDEX('Facility Master'!X:X,MATCH(IB_TL_SNo,'Facility Master'!A:A,0))&gt;B45),INDEX('Facility Master'!K:K,MATCH(IB_TL_SNo,'Facility Master'!A:A,0)),0),0)</f>
        <v>0</v>
      </c>
      <c r="P46" s="701" t="n">
        <f aca="false">IFERROR(IF(B46&lt;IB_TL_RepStart,0,IF(B46&gt;IB_TL_Maturity,0,IF(COUNTIFS($B$5:$B46,"&gt;="&amp;IB_TL_RepStart,$B$5:$B46,"&lt;="&amp;IB_TL_Maturity)&lt;=8,INDEX('Facility Master'!K:K,MATCH(IB_TL_SNo,'Facility Master'!A:A,0))*0.0125,IF(COUNTIFS($B$5:$B46,"&gt;="&amp;IB_TL_RepStart,$B$5:$B46,"&lt;="&amp;IB_TL_Maturity)&lt;=48,INDEX('Facility Master'!K:K,MATCH(IB_TL_SNo,'Facility Master'!A:A,0))*0.0225,0)))),0)</f>
        <v>5.2875</v>
      </c>
      <c r="Q46" s="701" t="n">
        <f aca="false">IFERROR((N46+(O46-P46)/2)*INDEX('Facility Master'!R:R,MATCH(IB_TL_SNo,'Facility Master'!A:A,0))*(B46-B45)/DaysInYear,0)</f>
        <v>2.69346698630137</v>
      </c>
      <c r="R46" s="701" t="n">
        <f aca="false">IFERROR(ROUND(MAX(N46+O46-P46,0),6),0)</f>
        <v>111.0375</v>
      </c>
      <c r="S46" s="702" t="n">
        <f aca="false">IFERROR(MAX(W45,0),0)</f>
        <v>0</v>
      </c>
      <c r="T46" s="702" t="n">
        <f aca="false">IFERROR(IF(AND(INDEX('Facility Master'!X:X,MATCH(RBL_TL_SNo,'Facility Master'!A:A,0))&lt;=B46,INDEX('Facility Master'!X:X,MATCH(RBL_TL_SNo,'Facility Master'!A:A,0))&gt;B45),INDEX('Facility Master'!K:K,MATCH(RBL_TL_SNo,'Facility Master'!A:A,0)),0),0)</f>
        <v>0</v>
      </c>
      <c r="U46" s="702" t="n">
        <f aca="false">IFERROR(IF(AND(RBL_TL_Maturity&lt;=B46,RBL_TL_Maturity&gt;B45),INDEX('Facility Master'!K:K,MATCH(RBL_TL_SNo,'Facility Master'!A:A,0)),0),0)</f>
        <v>0</v>
      </c>
      <c r="V46" s="702" t="n">
        <f aca="false">IFERROR((S46+(T46-U46)/2)*INDEX('Facility Master'!R:R,MATCH(RBL_TL_SNo,'Facility Master'!A:A,0))*(B46-B45)/DaysInYear,0)</f>
        <v>0</v>
      </c>
      <c r="W46" s="702" t="n">
        <f aca="false">IFERROR(ROUND(MAX(S46+T46-U46,0),6),0)</f>
        <v>0</v>
      </c>
      <c r="X46" s="701" t="n">
        <f aca="false">IFERROR(MAX(AB45,0),0)</f>
        <v>336.375</v>
      </c>
      <c r="Y46" s="701" t="n">
        <f aca="false">IFERROR(IF(AND(INDEX('Facility Master'!X:X,MATCH(YBL_TL_SNo,'Facility Master'!A:A,0))&lt;=B46,INDEX('Facility Master'!X:X,MATCH(YBL_TL_SNo,'Facility Master'!A:A,0))&gt;B45),INDEX('Facility Master'!K:K,MATCH(YBL_TL_SNo,'Facility Master'!A:A,0)),0),0)</f>
        <v>0</v>
      </c>
      <c r="Z46" s="701" t="n">
        <f aca="false">IFERROR(IF(B46&lt;YBL_TL_RepStart,0,IF(B46&gt;YBL_TL_Maturity,0,IF(COUNTIFS($B$5:$B46,"&gt;="&amp;YBL_TL_RepStart,$B$5:$B46,"&lt;="&amp;YBL_TL_Maturity)&lt;=8,INDEX('Facility Master'!K:K,MATCH(YBL_TL_SNo,'Facility Master'!A:A,0))*0.0125,IF(COUNTIFS($B$5:$B46,"&gt;="&amp;YBL_TL_RepStart,$B$5:$B46,"&lt;="&amp;YBL_TL_Maturity)&lt;=48,INDEX('Facility Master'!K:K,MATCH(YBL_TL_SNo,'Facility Master'!A:A,0))*0.0225,0)))),0)</f>
        <v>14.625</v>
      </c>
      <c r="AA46" s="701" t="n">
        <f aca="false">IFERROR((X46+(Y46-Z46)/2)*INDEX('Facility Master'!R:R,MATCH(YBL_TL_SNo,'Facility Master'!A:A,0))*(B46-B45)/DaysInYear,0)</f>
        <v>7.92094006849315</v>
      </c>
      <c r="AB46" s="701" t="n">
        <f aca="false">IFERROR(ROUND(MAX(X46+Y46-Z46,0),6),0)</f>
        <v>321.75</v>
      </c>
      <c r="AC46" s="701" t="n">
        <f aca="false">IFERROR(MAX(AG45,0),0)</f>
        <v>274.275</v>
      </c>
      <c r="AD46" s="701" t="n">
        <f aca="false">IFERROR(IF(AND(INDEX('Facility Master'!X:X,MATCH(IDFC_TL_SNo,'Facility Master'!A:A,0))&lt;=B46,INDEX('Facility Master'!X:X,MATCH(IDFC_TL_SNo,'Facility Master'!A:A,0))&gt;B45),INDEX('Facility Master'!K:K,MATCH(IDFC_TL_SNo,'Facility Master'!A:A,0)),0),0)</f>
        <v>0</v>
      </c>
      <c r="AE46" s="701" t="n">
        <f aca="false">IFERROR(IF(B46&lt;IDFC_TL_RepStart,0,IF(B46&gt;IDFC_TL_Maturity,0,IF(COUNTIFS($B$5:$B46,"&gt;="&amp;IDFC_TL_RepStart,$B$5:$B46,"&lt;="&amp;IDFC_TL_Maturity)&lt;=8,INDEX('Facility Master'!K:K,MATCH(IDFC_TL_SNo,'Facility Master'!A:A,0))*0.0125,IF(COUNTIFS($B$5:$B46,"&gt;="&amp;IDFC_TL_RepStart,$B$5:$B46,"&lt;="&amp;IDFC_TL_Maturity)&lt;=48,INDEX('Facility Master'!K:K,MATCH(IDFC_TL_SNo,'Facility Master'!A:A,0))*0.0225,0)))),0)</f>
        <v>11.925</v>
      </c>
      <c r="AF46" s="701" t="n">
        <f aca="false">IFERROR((AC46+(AD46-AE46)/2)*INDEX('Facility Master'!R:R,MATCH(IDFC_TL_SNo,'Facility Master'!A:A,0))*(B46-B45)/DaysInYear,0)</f>
        <v>5.95139178082192</v>
      </c>
      <c r="AG46" s="701" t="n">
        <f aca="false">IFERROR(ROUND(MAX(AC46+AD46-AE46,0),6),0)</f>
        <v>262.35</v>
      </c>
      <c r="AH46" s="703" t="n">
        <f aca="false">IFERROR(MAX(AL45,0),0)</f>
        <v>434.7</v>
      </c>
      <c r="AI46" s="703" t="n">
        <f aca="false">IFERROR(IF(AND(INDEX('Facility Master'!X:X,MATCH(ICICI_TL_SNo,'Facility Master'!A:A,0))&lt;=B46,INDEX('Facility Master'!X:X,MATCH(ICICI_TL_SNo,'Facility Master'!A:A,0))&gt;B45),INDEX('Facility Master'!K:K,MATCH(ICICI_TL_SNo,'Facility Master'!A:A,0)),0),0)</f>
        <v>0</v>
      </c>
      <c r="AJ46" s="703" t="n">
        <f aca="false">IFERROR(IF(B46&lt;ICICI_TL_RepStart,0,IF(B46&gt;ICICI_TL_Maturity,0,IF(COUNTIFS($B$5:$B46,"&gt;="&amp;ICICI_TL_RepStart,$B$5:$B46,"&lt;="&amp;ICICI_TL_Maturity)&lt;=8,INDEX('Facility Master'!K:K,MATCH(ICICI_TL_SNo,'Facility Master'!A:A,0))*0.0125,IF(COUNTIFS($B$5:$B46,"&gt;="&amp;ICICI_TL_RepStart,$B$5:$B46,"&lt;="&amp;ICICI_TL_Maturity)&lt;=48,INDEX('Facility Master'!K:K,MATCH(ICICI_TL_SNo,'Facility Master'!A:A,0))*0.0225,0)))),0)</f>
        <v>18.9</v>
      </c>
      <c r="AK46" s="703" t="n">
        <f aca="false">IFERROR((AH46+(AI46-AJ46)/2)*INDEX('Facility Master'!R:R,MATCH(ICICI_TL_SNo,'Facility Master'!A:A,0))*(B46-B45)/DaysInYear,0)</f>
        <v>9.32520821917808</v>
      </c>
      <c r="AL46" s="703" t="n">
        <f aca="false">IFERROR(ROUND(MAX(AH46+AI46-AJ46,0),6),0)</f>
        <v>415.8</v>
      </c>
      <c r="AM46" s="701" t="n">
        <f aca="false">F46+K46+P46+Z46+AE46+AJ46</f>
        <v>81.36</v>
      </c>
      <c r="AN46" s="701" t="n">
        <f aca="false">G46+L46+Q46+AA46+AF46+AK46</f>
        <v>42.1253932191781</v>
      </c>
      <c r="AO46" s="701" t="n">
        <f aca="false">AM46+AN46</f>
        <v>123.485393219178</v>
      </c>
      <c r="AP46" s="701" t="n">
        <f aca="false">H46+M46+R46+AB46+AG46+AL46</f>
        <v>1784.6325</v>
      </c>
    </row>
    <row r="47" customFormat="false" ht="15.75" hidden="false" customHeight="true" outlineLevel="0" collapsed="false">
      <c r="A47" s="496" t="n">
        <v>43</v>
      </c>
      <c r="B47" s="696" t="n">
        <v>48944</v>
      </c>
      <c r="C47" s="496" t="s">
        <v>707</v>
      </c>
      <c r="D47" s="500" t="n">
        <f aca="false">IFERROR(MAX(H46,0),0)</f>
        <v>556.875</v>
      </c>
      <c r="E47" s="500" t="n">
        <f aca="false">IFERROR(IF(AND(INDEX('Facility Master'!X:X,MATCH(UBI_RTL1_SNo,'Facility Master'!A:A,0))&lt;=B47,INDEX('Facility Master'!X:X,MATCH(UBI_RTL1_SNo,'Facility Master'!A:A,0))&gt;B46),INDEX('Facility Master'!K:K,MATCH(UBI_RTL1_SNo,'Facility Master'!A:A,0)),0),0)</f>
        <v>0</v>
      </c>
      <c r="F47" s="500" t="n">
        <f aca="false">IFERROR(IF(B47&lt;UBI_RTL1_RepStart,0,IF(B47&gt;UBI_RTL1_Maturity,0,IF(COUNTIFS($B$5:$B47,"&gt;="&amp;UBI_RTL1_RepStart,$B$5:$B47,"&lt;="&amp;UBI_RTL1_Maturity)&lt;=8,INDEX('Facility Master'!K:K,MATCH(UBI_RTL1_SNo,'Facility Master'!A:A,0))*0.0125,IF(COUNTIFS($B$5:$B47,"&gt;="&amp;UBI_RTL1_RepStart,$B$5:$B47,"&lt;="&amp;UBI_RTL1_Maturity)&lt;=48,INDEX('Facility Master'!K:K,MATCH(UBI_RTL1_SNo,'Facility Master'!A:A,0))*0.0225,0)))),0)</f>
        <v>25.3125</v>
      </c>
      <c r="G47" s="500" t="n">
        <f aca="false">IFERROR((D47+(E47-F47)/2)*INDEX('Facility Master'!R:R,MATCH(UBI_RTL1_SNo,'Facility Master'!A:A,0))*(B47-B46)/DaysInYear,0)</f>
        <v>12.8942568493151</v>
      </c>
      <c r="H47" s="500" t="n">
        <f aca="false">IFERROR(ROUND(MAX(D47+E47-F47,0),6),0)</f>
        <v>531.5625</v>
      </c>
      <c r="I47" s="500" t="n">
        <f aca="false">IFERROR(MAX(M46,0),0)</f>
        <v>116.82</v>
      </c>
      <c r="J47" s="500" t="n">
        <f aca="false">IFERROR(IF(AND(INDEX('Facility Master'!X:X,MATCH(UBI_RTL2_SNo,'Facility Master'!A:A,0))&lt;=B47,INDEX('Facility Master'!X:X,MATCH(UBI_RTL2_SNo,'Facility Master'!A:A,0))&gt;B46),INDEX('Facility Master'!K:K,MATCH(UBI_RTL2_SNo,'Facility Master'!A:A,0)),0),0)</f>
        <v>0</v>
      </c>
      <c r="K47" s="500" t="n">
        <f aca="false">IFERROR(IF(B47&lt;UBI_RTL2_RepStart,0,IF(B47&gt;UBI_RTL2_Maturity,0,IF(COUNTIFS($B$5:$B47,"&gt;="&amp;UBI_RTL2_RepStart,$B$5:$B47,"&lt;="&amp;UBI_RTL2_Maturity)&lt;=8,INDEX('Facility Master'!K:K,MATCH(UBI_RTL2_SNo,'Facility Master'!A:A,0))*0.0125,IF(COUNTIFS($B$5:$B47,"&gt;="&amp;UBI_RTL2_RepStart,$B$5:$B47,"&lt;="&amp;UBI_RTL2_Maturity)&lt;=48,INDEX('Facility Master'!K:K,MATCH(UBI_RTL2_SNo,'Facility Master'!A:A,0))*0.0225,0)))),0)</f>
        <v>5.31</v>
      </c>
      <c r="L47" s="500" t="n">
        <f aca="false">IFERROR((I47+(J47-K47)/2)*INDEX('Facility Master'!R:R,MATCH(UBI_RTL2_SNo,'Facility Master'!A:A,0))*(B47-B46)/DaysInYear,0)</f>
        <v>2.61860104109589</v>
      </c>
      <c r="M47" s="500" t="n">
        <f aca="false">IFERROR(ROUND(MAX(I47+J47-K47,0),6),0)</f>
        <v>111.51</v>
      </c>
      <c r="N47" s="500" t="n">
        <f aca="false">IFERROR(MAX(R46,0),0)</f>
        <v>111.0375</v>
      </c>
      <c r="O47" s="500" t="n">
        <f aca="false">IFERROR(IF(AND(INDEX('Facility Master'!X:X,MATCH(IB_TL_SNo,'Facility Master'!A:A,0))&lt;=B47,INDEX('Facility Master'!X:X,MATCH(IB_TL_SNo,'Facility Master'!A:A,0))&gt;B46),INDEX('Facility Master'!K:K,MATCH(IB_TL_SNo,'Facility Master'!A:A,0)),0),0)</f>
        <v>0</v>
      </c>
      <c r="P47" s="500" t="n">
        <f aca="false">IFERROR(IF(B47&lt;IB_TL_RepStart,0,IF(B47&gt;IB_TL_Maturity,0,IF(COUNTIFS($B$5:$B47,"&gt;="&amp;IB_TL_RepStart,$B$5:$B47,"&lt;="&amp;IB_TL_Maturity)&lt;=8,INDEX('Facility Master'!K:K,MATCH(IB_TL_SNo,'Facility Master'!A:A,0))*0.0125,IF(COUNTIFS($B$5:$B47,"&gt;="&amp;IB_TL_RepStart,$B$5:$B47,"&lt;="&amp;IB_TL_Maturity)&lt;=48,INDEX('Facility Master'!K:K,MATCH(IB_TL_SNo,'Facility Master'!A:A,0))*0.0225,0)))),0)</f>
        <v>5.2875</v>
      </c>
      <c r="Q47" s="500" t="n">
        <f aca="false">IFERROR((N47+(O47-P47)/2)*INDEX('Facility Master'!R:R,MATCH(IB_TL_SNo,'Facility Master'!A:A,0))*(B47-B46)/DaysInYear,0)</f>
        <v>2.56818945205479</v>
      </c>
      <c r="R47" s="500" t="n">
        <f aca="false">IFERROR(ROUND(MAX(N47+O47-P47,0),6),0)</f>
        <v>105.75</v>
      </c>
      <c r="S47" s="697" t="n">
        <f aca="false">IFERROR(MAX(W46,0),0)</f>
        <v>0</v>
      </c>
      <c r="T47" s="697" t="n">
        <f aca="false">IFERROR(IF(AND(INDEX('Facility Master'!X:X,MATCH(RBL_TL_SNo,'Facility Master'!A:A,0))&lt;=B47,INDEX('Facility Master'!X:X,MATCH(RBL_TL_SNo,'Facility Master'!A:A,0))&gt;B46),INDEX('Facility Master'!K:K,MATCH(RBL_TL_SNo,'Facility Master'!A:A,0)),0),0)</f>
        <v>0</v>
      </c>
      <c r="U47" s="697" t="n">
        <f aca="false">IFERROR(IF(AND(RBL_TL_Maturity&lt;=B47,RBL_TL_Maturity&gt;B46),INDEX('Facility Master'!K:K,MATCH(RBL_TL_SNo,'Facility Master'!A:A,0)),0),0)</f>
        <v>0</v>
      </c>
      <c r="V47" s="697" t="n">
        <f aca="false">IFERROR((S47+(T47-U47)/2)*INDEX('Facility Master'!R:R,MATCH(RBL_TL_SNo,'Facility Master'!A:A,0))*(B47-B46)/DaysInYear,0)</f>
        <v>0</v>
      </c>
      <c r="W47" s="697" t="n">
        <f aca="false">IFERROR(ROUND(MAX(S47+T47-U47,0),6),0)</f>
        <v>0</v>
      </c>
      <c r="X47" s="500" t="n">
        <f aca="false">IFERROR(MAX(AB46,0),0)</f>
        <v>321.75</v>
      </c>
      <c r="Y47" s="500" t="n">
        <f aca="false">IFERROR(IF(AND(INDEX('Facility Master'!X:X,MATCH(YBL_TL_SNo,'Facility Master'!A:A,0))&lt;=B47,INDEX('Facility Master'!X:X,MATCH(YBL_TL_SNo,'Facility Master'!A:A,0))&gt;B46),INDEX('Facility Master'!K:K,MATCH(YBL_TL_SNo,'Facility Master'!A:A,0)),0),0)</f>
        <v>0</v>
      </c>
      <c r="Z47" s="500" t="n">
        <f aca="false">IFERROR(IF(B47&lt;YBL_TL_RepStart,0,IF(B47&gt;YBL_TL_Maturity,0,IF(COUNTIFS($B$5:$B47,"&gt;="&amp;YBL_TL_RepStart,$B$5:$B47,"&lt;="&amp;YBL_TL_Maturity)&lt;=8,INDEX('Facility Master'!K:K,MATCH(YBL_TL_SNo,'Facility Master'!A:A,0))*0.0125,IF(COUNTIFS($B$5:$B47,"&gt;="&amp;YBL_TL_RepStart,$B$5:$B47,"&lt;="&amp;YBL_TL_Maturity)&lt;=48,INDEX('Facility Master'!K:K,MATCH(YBL_TL_SNo,'Facility Master'!A:A,0))*0.0225,0)))),0)</f>
        <v>14.625</v>
      </c>
      <c r="AA47" s="500" t="n">
        <f aca="false">IFERROR((X47+(Y47-Z47)/2)*INDEX('Facility Master'!R:R,MATCH(YBL_TL_SNo,'Facility Master'!A:A,0))*(B47-B46)/DaysInYear,0)</f>
        <v>7.56889828767123</v>
      </c>
      <c r="AB47" s="500" t="n">
        <f aca="false">IFERROR(ROUND(MAX(X47+Y47-Z47,0),6),0)</f>
        <v>307.125</v>
      </c>
      <c r="AC47" s="500" t="n">
        <f aca="false">IFERROR(MAX(AG46,0),0)</f>
        <v>262.35</v>
      </c>
      <c r="AD47" s="500" t="n">
        <f aca="false">IFERROR(IF(AND(INDEX('Facility Master'!X:X,MATCH(IDFC_TL_SNo,'Facility Master'!A:A,0))&lt;=B47,INDEX('Facility Master'!X:X,MATCH(IDFC_TL_SNo,'Facility Master'!A:A,0))&gt;B46),INDEX('Facility Master'!K:K,MATCH(IDFC_TL_SNo,'Facility Master'!A:A,0)),0),0)</f>
        <v>0</v>
      </c>
      <c r="AE47" s="500" t="n">
        <f aca="false">IFERROR(IF(B47&lt;IDFC_TL_RepStart,0,IF(B47&gt;IDFC_TL_Maturity,0,IF(COUNTIFS($B$5:$B47,"&gt;="&amp;IDFC_TL_RepStart,$B$5:$B47,"&lt;="&amp;IDFC_TL_Maturity)&lt;=8,INDEX('Facility Master'!K:K,MATCH(IDFC_TL_SNo,'Facility Master'!A:A,0))*0.0125,IF(COUNTIFS($B$5:$B47,"&gt;="&amp;IDFC_TL_RepStart,$B$5:$B47,"&lt;="&amp;IDFC_TL_Maturity)&lt;=48,INDEX('Facility Master'!K:K,MATCH(IDFC_TL_SNo,'Facility Master'!A:A,0))*0.0225,0)))),0)</f>
        <v>11.925</v>
      </c>
      <c r="AF47" s="500" t="n">
        <f aca="false">IFERROR((AC47+(AD47-AE47)/2)*INDEX('Facility Master'!R:R,MATCH(IDFC_TL_SNo,'Facility Master'!A:A,0))*(B47-B46)/DaysInYear,0)</f>
        <v>5.68688547945206</v>
      </c>
      <c r="AG47" s="500" t="n">
        <f aca="false">IFERROR(ROUND(MAX(AC47+AD47-AE47,0),6),0)</f>
        <v>250.425</v>
      </c>
      <c r="AH47" s="698" t="n">
        <f aca="false">IFERROR(MAX(AL46,0),0)</f>
        <v>415.8</v>
      </c>
      <c r="AI47" s="698" t="n">
        <f aca="false">IFERROR(IF(AND(INDEX('Facility Master'!X:X,MATCH(ICICI_TL_SNo,'Facility Master'!A:A,0))&lt;=B47,INDEX('Facility Master'!X:X,MATCH(ICICI_TL_SNo,'Facility Master'!A:A,0))&gt;B46),INDEX('Facility Master'!K:K,MATCH(ICICI_TL_SNo,'Facility Master'!A:A,0)),0),0)</f>
        <v>0</v>
      </c>
      <c r="AJ47" s="698" t="n">
        <f aca="false">IFERROR(IF(B47&lt;ICICI_TL_RepStart,0,IF(B47&gt;ICICI_TL_Maturity,0,IF(COUNTIFS($B$5:$B47,"&gt;="&amp;ICICI_TL_RepStart,$B$5:$B47,"&lt;="&amp;ICICI_TL_Maturity)&lt;=8,INDEX('Facility Master'!K:K,MATCH(ICICI_TL_SNo,'Facility Master'!A:A,0))*0.0125,IF(COUNTIFS($B$5:$B47,"&gt;="&amp;ICICI_TL_RepStart,$B$5:$B47,"&lt;="&amp;ICICI_TL_Maturity)&lt;=48,INDEX('Facility Master'!K:K,MATCH(ICICI_TL_SNo,'Facility Master'!A:A,0))*0.0225,0)))),0)</f>
        <v>18.9</v>
      </c>
      <c r="AK47" s="698" t="n">
        <f aca="false">IFERROR((AH47+(AI47-AJ47)/2)*INDEX('Facility Master'!R:R,MATCH(ICICI_TL_SNo,'Facility Master'!A:A,0))*(B47-B46)/DaysInYear,0)</f>
        <v>8.91075452054795</v>
      </c>
      <c r="AL47" s="698" t="n">
        <f aca="false">IFERROR(ROUND(MAX(AH47+AI47-AJ47,0),6),0)</f>
        <v>396.9</v>
      </c>
      <c r="AM47" s="500" t="n">
        <f aca="false">F47+K47+P47+Z47+AE47+AJ47</f>
        <v>81.36</v>
      </c>
      <c r="AN47" s="500" t="n">
        <f aca="false">G47+L47+Q47+AA47+AF47+AK47</f>
        <v>40.247585630137</v>
      </c>
      <c r="AO47" s="500" t="n">
        <f aca="false">AM47+AN47</f>
        <v>121.607585630137</v>
      </c>
      <c r="AP47" s="500" t="n">
        <f aca="false">H47+M47+R47+AB47+AG47+AL47</f>
        <v>1703.2725</v>
      </c>
    </row>
    <row r="48" customFormat="false" ht="15.75" hidden="false" customHeight="true" outlineLevel="0" collapsed="false">
      <c r="A48" s="699" t="n">
        <v>44</v>
      </c>
      <c r="B48" s="700" t="n">
        <v>49034</v>
      </c>
      <c r="C48" s="699" t="s">
        <v>708</v>
      </c>
      <c r="D48" s="701" t="n">
        <f aca="false">IFERROR(MAX(H47,0),0)</f>
        <v>531.5625</v>
      </c>
      <c r="E48" s="701" t="n">
        <f aca="false">IFERROR(IF(AND(INDEX('Facility Master'!X:X,MATCH(UBI_RTL1_SNo,'Facility Master'!A:A,0))&lt;=B48,INDEX('Facility Master'!X:X,MATCH(UBI_RTL1_SNo,'Facility Master'!A:A,0))&gt;B47),INDEX('Facility Master'!K:K,MATCH(UBI_RTL1_SNo,'Facility Master'!A:A,0)),0),0)</f>
        <v>0</v>
      </c>
      <c r="F48" s="701" t="n">
        <f aca="false">IFERROR(IF(B48&lt;UBI_RTL1_RepStart,0,IF(B48&gt;UBI_RTL1_Maturity,0,IF(COUNTIFS($B$5:$B48,"&gt;="&amp;UBI_RTL1_RepStart,$B$5:$B48,"&lt;="&amp;UBI_RTL1_Maturity)&lt;=8,INDEX('Facility Master'!K:K,MATCH(UBI_RTL1_SNo,'Facility Master'!A:A,0))*0.0125,IF(COUNTIFS($B$5:$B48,"&gt;="&amp;UBI_RTL1_RepStart,$B$5:$B48,"&lt;="&amp;UBI_RTL1_Maturity)&lt;=48,INDEX('Facility Master'!K:K,MATCH(UBI_RTL1_SNo,'Facility Master'!A:A,0))*0.0225,0)))),0)</f>
        <v>25.3125</v>
      </c>
      <c r="G48" s="701" t="n">
        <f aca="false">IFERROR((D48+(E48-F48)/2)*INDEX('Facility Master'!R:R,MATCH(UBI_RTL1_SNo,'Facility Master'!A:A,0))*(B48-B47)/DaysInYear,0)</f>
        <v>12.0272517123288</v>
      </c>
      <c r="H48" s="701" t="n">
        <f aca="false">IFERROR(ROUND(MAX(D48+E48-F48,0),6),0)</f>
        <v>506.25</v>
      </c>
      <c r="I48" s="701" t="n">
        <f aca="false">IFERROR(MAX(M47,0),0)</f>
        <v>111.51</v>
      </c>
      <c r="J48" s="701" t="n">
        <f aca="false">IFERROR(IF(AND(INDEX('Facility Master'!X:X,MATCH(UBI_RTL2_SNo,'Facility Master'!A:A,0))&lt;=B48,INDEX('Facility Master'!X:X,MATCH(UBI_RTL2_SNo,'Facility Master'!A:A,0))&gt;B47),INDEX('Facility Master'!K:K,MATCH(UBI_RTL2_SNo,'Facility Master'!A:A,0)),0),0)</f>
        <v>0</v>
      </c>
      <c r="K48" s="701" t="n">
        <f aca="false">IFERROR(IF(B48&lt;UBI_RTL2_RepStart,0,IF(B48&gt;UBI_RTL2_Maturity,0,IF(COUNTIFS($B$5:$B48,"&gt;="&amp;UBI_RTL2_RepStart,$B$5:$B48,"&lt;="&amp;UBI_RTL2_Maturity)&lt;=8,INDEX('Facility Master'!K:K,MATCH(UBI_RTL2_SNo,'Facility Master'!A:A,0))*0.0125,IF(COUNTIFS($B$5:$B48,"&gt;="&amp;UBI_RTL2_RepStart,$B$5:$B48,"&lt;="&amp;UBI_RTL2_Maturity)&lt;=48,INDEX('Facility Master'!K:K,MATCH(UBI_RTL2_SNo,'Facility Master'!A:A,0))*0.0225,0)))),0)</f>
        <v>5.31</v>
      </c>
      <c r="L48" s="701" t="n">
        <f aca="false">IFERROR((I48+(J48-K48)/2)*INDEX('Facility Master'!R:R,MATCH(UBI_RTL2_SNo,'Facility Master'!A:A,0))*(B48-B47)/DaysInYear,0)</f>
        <v>2.44252726027397</v>
      </c>
      <c r="M48" s="701" t="n">
        <f aca="false">IFERROR(ROUND(MAX(I48+J48-K48,0),6),0)</f>
        <v>106.2</v>
      </c>
      <c r="N48" s="701" t="n">
        <f aca="false">IFERROR(MAX(R47,0),0)</f>
        <v>105.75</v>
      </c>
      <c r="O48" s="701" t="n">
        <f aca="false">IFERROR(IF(AND(INDEX('Facility Master'!X:X,MATCH(IB_TL_SNo,'Facility Master'!A:A,0))&lt;=B48,INDEX('Facility Master'!X:X,MATCH(IB_TL_SNo,'Facility Master'!A:A,0))&gt;B47),INDEX('Facility Master'!K:K,MATCH(IB_TL_SNo,'Facility Master'!A:A,0)),0),0)</f>
        <v>0</v>
      </c>
      <c r="P48" s="701" t="n">
        <f aca="false">IFERROR(IF(B48&lt;IB_TL_RepStart,0,IF(B48&gt;IB_TL_Maturity,0,IF(COUNTIFS($B$5:$B48,"&gt;="&amp;IB_TL_RepStart,$B$5:$B48,"&lt;="&amp;IB_TL_Maturity)&lt;=8,INDEX('Facility Master'!K:K,MATCH(IB_TL_SNo,'Facility Master'!A:A,0))*0.0125,IF(COUNTIFS($B$5:$B48,"&gt;="&amp;IB_TL_RepStart,$B$5:$B48,"&lt;="&amp;IB_TL_Maturity)&lt;=48,INDEX('Facility Master'!K:K,MATCH(IB_TL_SNo,'Facility Master'!A:A,0))*0.0225,0)))),0)</f>
        <v>5.2875</v>
      </c>
      <c r="Q48" s="701" t="n">
        <f aca="false">IFERROR((N48+(O48-P48)/2)*INDEX('Facility Master'!R:R,MATCH(IB_TL_SNo,'Facility Master'!A:A,0))*(B48-B47)/DaysInYear,0)</f>
        <v>2.3898051369863</v>
      </c>
      <c r="R48" s="701" t="n">
        <f aca="false">IFERROR(ROUND(MAX(N48+O48-P48,0),6),0)</f>
        <v>100.4625</v>
      </c>
      <c r="S48" s="702" t="n">
        <f aca="false">IFERROR(MAX(W47,0),0)</f>
        <v>0</v>
      </c>
      <c r="T48" s="702" t="n">
        <f aca="false">IFERROR(IF(AND(INDEX('Facility Master'!X:X,MATCH(RBL_TL_SNo,'Facility Master'!A:A,0))&lt;=B48,INDEX('Facility Master'!X:X,MATCH(RBL_TL_SNo,'Facility Master'!A:A,0))&gt;B47),INDEX('Facility Master'!K:K,MATCH(RBL_TL_SNo,'Facility Master'!A:A,0)),0),0)</f>
        <v>0</v>
      </c>
      <c r="U48" s="702" t="n">
        <f aca="false">IFERROR(IF(AND(RBL_TL_Maturity&lt;=B48,RBL_TL_Maturity&gt;B47),INDEX('Facility Master'!K:K,MATCH(RBL_TL_SNo,'Facility Master'!A:A,0)),0),0)</f>
        <v>0</v>
      </c>
      <c r="V48" s="702" t="n">
        <f aca="false">IFERROR((S48+(T48-U48)/2)*INDEX('Facility Master'!R:R,MATCH(RBL_TL_SNo,'Facility Master'!A:A,0))*(B48-B47)/DaysInYear,0)</f>
        <v>0</v>
      </c>
      <c r="W48" s="702" t="n">
        <f aca="false">IFERROR(ROUND(MAX(S48+T48-U48,0),6),0)</f>
        <v>0</v>
      </c>
      <c r="X48" s="701" t="n">
        <f aca="false">IFERROR(MAX(AB47,0),0)</f>
        <v>307.125</v>
      </c>
      <c r="Y48" s="701" t="n">
        <f aca="false">IFERROR(IF(AND(INDEX('Facility Master'!X:X,MATCH(YBL_TL_SNo,'Facility Master'!A:A,0))&lt;=B48,INDEX('Facility Master'!X:X,MATCH(YBL_TL_SNo,'Facility Master'!A:A,0))&gt;B47),INDEX('Facility Master'!K:K,MATCH(YBL_TL_SNo,'Facility Master'!A:A,0)),0),0)</f>
        <v>0</v>
      </c>
      <c r="Z48" s="701" t="n">
        <f aca="false">IFERROR(IF(B48&lt;YBL_TL_RepStart,0,IF(B48&gt;YBL_TL_Maturity,0,IF(COUNTIFS($B$5:$B48,"&gt;="&amp;YBL_TL_RepStart,$B$5:$B48,"&lt;="&amp;YBL_TL_Maturity)&lt;=8,INDEX('Facility Master'!K:K,MATCH(YBL_TL_SNo,'Facility Master'!A:A,0))*0.0125,IF(COUNTIFS($B$5:$B48,"&gt;="&amp;YBL_TL_RepStart,$B$5:$B48,"&lt;="&amp;YBL_TL_Maturity)&lt;=48,INDEX('Facility Master'!K:K,MATCH(YBL_TL_SNo,'Facility Master'!A:A,0))*0.0225,0)))),0)</f>
        <v>14.625</v>
      </c>
      <c r="AA48" s="701" t="n">
        <f aca="false">IFERROR((X48+(Y48-Z48)/2)*INDEX('Facility Master'!R:R,MATCH(YBL_TL_SNo,'Facility Master'!A:A,0))*(B48-B47)/DaysInYear,0)</f>
        <v>7.05996832191781</v>
      </c>
      <c r="AB48" s="701" t="n">
        <f aca="false">IFERROR(ROUND(MAX(X48+Y48-Z48,0),6),0)</f>
        <v>292.5</v>
      </c>
      <c r="AC48" s="701" t="n">
        <f aca="false">IFERROR(MAX(AG47,0),0)</f>
        <v>250.425</v>
      </c>
      <c r="AD48" s="701" t="n">
        <f aca="false">IFERROR(IF(AND(INDEX('Facility Master'!X:X,MATCH(IDFC_TL_SNo,'Facility Master'!A:A,0))&lt;=B48,INDEX('Facility Master'!X:X,MATCH(IDFC_TL_SNo,'Facility Master'!A:A,0))&gt;B47),INDEX('Facility Master'!K:K,MATCH(IDFC_TL_SNo,'Facility Master'!A:A,0)),0),0)</f>
        <v>0</v>
      </c>
      <c r="AE48" s="701" t="n">
        <f aca="false">IFERROR(IF(B48&lt;IDFC_TL_RepStart,0,IF(B48&gt;IDFC_TL_Maturity,0,IF(COUNTIFS($B$5:$B48,"&gt;="&amp;IDFC_TL_RepStart,$B$5:$B48,"&lt;="&amp;IDFC_TL_Maturity)&lt;=8,INDEX('Facility Master'!K:K,MATCH(IDFC_TL_SNo,'Facility Master'!A:A,0))*0.0125,IF(COUNTIFS($B$5:$B48,"&gt;="&amp;IDFC_TL_RepStart,$B$5:$B48,"&lt;="&amp;IDFC_TL_Maturity)&lt;=48,INDEX('Facility Master'!K:K,MATCH(IDFC_TL_SNo,'Facility Master'!A:A,0))*0.0225,0)))),0)</f>
        <v>11.925</v>
      </c>
      <c r="AF48" s="701" t="n">
        <f aca="false">IFERROR((AC48+(AD48-AE48)/2)*INDEX('Facility Master'!R:R,MATCH(IDFC_TL_SNo,'Facility Master'!A:A,0))*(B48-B47)/DaysInYear,0)</f>
        <v>5.30450136986301</v>
      </c>
      <c r="AG48" s="701" t="n">
        <f aca="false">IFERROR(ROUND(MAX(AC48+AD48-AE48,0),6),0)</f>
        <v>238.5</v>
      </c>
      <c r="AH48" s="703" t="n">
        <f aca="false">IFERROR(MAX(AL47,0),0)</f>
        <v>396.9</v>
      </c>
      <c r="AI48" s="703" t="n">
        <f aca="false">IFERROR(IF(AND(INDEX('Facility Master'!X:X,MATCH(ICICI_TL_SNo,'Facility Master'!A:A,0))&lt;=B48,INDEX('Facility Master'!X:X,MATCH(ICICI_TL_SNo,'Facility Master'!A:A,0))&gt;B47),INDEX('Facility Master'!K:K,MATCH(ICICI_TL_SNo,'Facility Master'!A:A,0)),0),0)</f>
        <v>0</v>
      </c>
      <c r="AJ48" s="703" t="n">
        <f aca="false">IFERROR(IF(B48&lt;ICICI_TL_RepStart,0,IF(B48&gt;ICICI_TL_Maturity,0,IF(COUNTIFS($B$5:$B48,"&gt;="&amp;ICICI_TL_RepStart,$B$5:$B48,"&lt;="&amp;ICICI_TL_Maturity)&lt;=8,INDEX('Facility Master'!K:K,MATCH(ICICI_TL_SNo,'Facility Master'!A:A,0))*0.0125,IF(COUNTIFS($B$5:$B48,"&gt;="&amp;ICICI_TL_RepStart,$B$5:$B48,"&lt;="&amp;ICICI_TL_Maturity)&lt;=48,INDEX('Facility Master'!K:K,MATCH(ICICI_TL_SNo,'Facility Master'!A:A,0))*0.0225,0)))),0)</f>
        <v>18.9</v>
      </c>
      <c r="AK48" s="703" t="n">
        <f aca="false">IFERROR((AH48+(AI48-AJ48)/2)*INDEX('Facility Master'!R:R,MATCH(ICICI_TL_SNo,'Facility Master'!A:A,0))*(B48-B47)/DaysInYear,0)</f>
        <v>8.31159863013699</v>
      </c>
      <c r="AL48" s="703" t="n">
        <f aca="false">IFERROR(ROUND(MAX(AH48+AI48-AJ48,0),6),0)</f>
        <v>378</v>
      </c>
      <c r="AM48" s="701" t="n">
        <f aca="false">F48+K48+P48+Z48+AE48+AJ48</f>
        <v>81.36</v>
      </c>
      <c r="AN48" s="701" t="n">
        <f aca="false">G48+L48+Q48+AA48+AF48+AK48</f>
        <v>37.5356524315069</v>
      </c>
      <c r="AO48" s="701" t="n">
        <f aca="false">AM48+AN48</f>
        <v>118.895652431507</v>
      </c>
      <c r="AP48" s="701" t="n">
        <f aca="false">H48+M48+R48+AB48+AG48+AL48</f>
        <v>1621.9125</v>
      </c>
    </row>
    <row r="49" customFormat="false" ht="15.75" hidden="false" customHeight="true" outlineLevel="0" collapsed="false">
      <c r="A49" s="496" t="n">
        <v>45</v>
      </c>
      <c r="B49" s="696" t="n">
        <v>49125</v>
      </c>
      <c r="C49" s="496" t="s">
        <v>709</v>
      </c>
      <c r="D49" s="500" t="n">
        <f aca="false">IFERROR(MAX(H48,0),0)</f>
        <v>506.25</v>
      </c>
      <c r="E49" s="500" t="n">
        <f aca="false">IFERROR(IF(AND(INDEX('Facility Master'!X:X,MATCH(UBI_RTL1_SNo,'Facility Master'!A:A,0))&lt;=B49,INDEX('Facility Master'!X:X,MATCH(UBI_RTL1_SNo,'Facility Master'!A:A,0))&gt;B48),INDEX('Facility Master'!K:K,MATCH(UBI_RTL1_SNo,'Facility Master'!A:A,0)),0),0)</f>
        <v>0</v>
      </c>
      <c r="F49" s="500" t="n">
        <f aca="false">IFERROR(IF(B49&lt;UBI_RTL1_RepStart,0,IF(B49&gt;UBI_RTL1_Maturity,0,IF(COUNTIFS($B$5:$B49,"&gt;="&amp;UBI_RTL1_RepStart,$B$5:$B49,"&lt;="&amp;UBI_RTL1_Maturity)&lt;=8,INDEX('Facility Master'!K:K,MATCH(UBI_RTL1_SNo,'Facility Master'!A:A,0))*0.0125,IF(COUNTIFS($B$5:$B49,"&gt;="&amp;UBI_RTL1_RepStart,$B$5:$B49,"&lt;="&amp;UBI_RTL1_Maturity)&lt;=48,INDEX('Facility Master'!K:K,MATCH(UBI_RTL1_SNo,'Facility Master'!A:A,0))*0.0225,0)))),0)</f>
        <v>25.3125</v>
      </c>
      <c r="G49" s="500" t="n">
        <f aca="false">IFERROR((D49+(E49-F49)/2)*INDEX('Facility Master'!R:R,MATCH(UBI_RTL1_SNo,'Facility Master'!A:A,0))*(B49-B48)/DaysInYear,0)</f>
        <v>11.5676738013699</v>
      </c>
      <c r="H49" s="500" t="n">
        <f aca="false">IFERROR(ROUND(MAX(D49+E49-F49,0),6),0)</f>
        <v>480.9375</v>
      </c>
      <c r="I49" s="500" t="n">
        <f aca="false">IFERROR(MAX(M48,0),0)</f>
        <v>106.2</v>
      </c>
      <c r="J49" s="500" t="n">
        <f aca="false">IFERROR(IF(AND(INDEX('Facility Master'!X:X,MATCH(UBI_RTL2_SNo,'Facility Master'!A:A,0))&lt;=B49,INDEX('Facility Master'!X:X,MATCH(UBI_RTL2_SNo,'Facility Master'!A:A,0))&gt;B48),INDEX('Facility Master'!K:K,MATCH(UBI_RTL2_SNo,'Facility Master'!A:A,0)),0),0)</f>
        <v>0</v>
      </c>
      <c r="K49" s="500" t="n">
        <f aca="false">IFERROR(IF(B49&lt;UBI_RTL2_RepStart,0,IF(B49&gt;UBI_RTL2_Maturity,0,IF(COUNTIFS($B$5:$B49,"&gt;="&amp;UBI_RTL2_RepStart,$B$5:$B49,"&lt;="&amp;UBI_RTL2_Maturity)&lt;=8,INDEX('Facility Master'!K:K,MATCH(UBI_RTL2_SNo,'Facility Master'!A:A,0))*0.0125,IF(COUNTIFS($B$5:$B49,"&gt;="&amp;UBI_RTL2_RepStart,$B$5:$B49,"&lt;="&amp;UBI_RTL2_Maturity)&lt;=48,INDEX('Facility Master'!K:K,MATCH(UBI_RTL2_SNo,'Facility Master'!A:A,0))*0.0225,0)))),0)</f>
        <v>5.31</v>
      </c>
      <c r="L49" s="500" t="n">
        <f aca="false">IFERROR((I49+(J49-K49)/2)*INDEX('Facility Master'!R:R,MATCH(UBI_RTL2_SNo,'Facility Master'!A:A,0))*(B49-B48)/DaysInYear,0)</f>
        <v>2.34919491780822</v>
      </c>
      <c r="M49" s="500" t="n">
        <f aca="false">IFERROR(ROUND(MAX(I49+J49-K49,0),6),0)</f>
        <v>100.89</v>
      </c>
      <c r="N49" s="500" t="n">
        <f aca="false">IFERROR(MAX(R48,0),0)</f>
        <v>100.4625</v>
      </c>
      <c r="O49" s="500" t="n">
        <f aca="false">IFERROR(IF(AND(INDEX('Facility Master'!X:X,MATCH(IB_TL_SNo,'Facility Master'!A:A,0))&lt;=B49,INDEX('Facility Master'!X:X,MATCH(IB_TL_SNo,'Facility Master'!A:A,0))&gt;B48),INDEX('Facility Master'!K:K,MATCH(IB_TL_SNo,'Facility Master'!A:A,0)),0),0)</f>
        <v>0</v>
      </c>
      <c r="P49" s="500" t="n">
        <f aca="false">IFERROR(IF(B49&lt;IB_TL_RepStart,0,IF(B49&gt;IB_TL_Maturity,0,IF(COUNTIFS($B$5:$B49,"&gt;="&amp;IB_TL_RepStart,$B$5:$B49,"&lt;="&amp;IB_TL_Maturity)&lt;=8,INDEX('Facility Master'!K:K,MATCH(IB_TL_SNo,'Facility Master'!A:A,0))*0.0125,IF(COUNTIFS($B$5:$B49,"&gt;="&amp;IB_TL_RepStart,$B$5:$B49,"&lt;="&amp;IB_TL_Maturity)&lt;=48,INDEX('Facility Master'!K:K,MATCH(IB_TL_SNo,'Facility Master'!A:A,0))*0.0225,0)))),0)</f>
        <v>5.2875</v>
      </c>
      <c r="Q49" s="500" t="n">
        <f aca="false">IFERROR((N49+(O49-P49)/2)*INDEX('Facility Master'!R:R,MATCH(IB_TL_SNo,'Facility Master'!A:A,0))*(B49-B48)/DaysInYear,0)</f>
        <v>2.29244270547945</v>
      </c>
      <c r="R49" s="500" t="n">
        <f aca="false">IFERROR(ROUND(MAX(N49+O49-P49,0),6),0)</f>
        <v>95.175</v>
      </c>
      <c r="S49" s="697" t="n">
        <f aca="false">IFERROR(MAX(W48,0),0)</f>
        <v>0</v>
      </c>
      <c r="T49" s="697" t="n">
        <f aca="false">IFERROR(IF(AND(INDEX('Facility Master'!X:X,MATCH(RBL_TL_SNo,'Facility Master'!A:A,0))&lt;=B49,INDEX('Facility Master'!X:X,MATCH(RBL_TL_SNo,'Facility Master'!A:A,0))&gt;B48),INDEX('Facility Master'!K:K,MATCH(RBL_TL_SNo,'Facility Master'!A:A,0)),0),0)</f>
        <v>0</v>
      </c>
      <c r="U49" s="697" t="n">
        <f aca="false">IFERROR(IF(AND(RBL_TL_Maturity&lt;=B49,RBL_TL_Maturity&gt;B48),INDEX('Facility Master'!K:K,MATCH(RBL_TL_SNo,'Facility Master'!A:A,0)),0),0)</f>
        <v>0</v>
      </c>
      <c r="V49" s="697" t="n">
        <f aca="false">IFERROR((S49+(T49-U49)/2)*INDEX('Facility Master'!R:R,MATCH(RBL_TL_SNo,'Facility Master'!A:A,0))*(B49-B48)/DaysInYear,0)</f>
        <v>0</v>
      </c>
      <c r="W49" s="697" t="n">
        <f aca="false">IFERROR(ROUND(MAX(S49+T49-U49,0),6),0)</f>
        <v>0</v>
      </c>
      <c r="X49" s="500" t="n">
        <f aca="false">IFERROR(MAX(AB48,0),0)</f>
        <v>292.5</v>
      </c>
      <c r="Y49" s="500" t="n">
        <f aca="false">IFERROR(IF(AND(INDEX('Facility Master'!X:X,MATCH(YBL_TL_SNo,'Facility Master'!A:A,0))&lt;=B49,INDEX('Facility Master'!X:X,MATCH(YBL_TL_SNo,'Facility Master'!A:A,0))&gt;B48),INDEX('Facility Master'!K:K,MATCH(YBL_TL_SNo,'Facility Master'!A:A,0)),0),0)</f>
        <v>0</v>
      </c>
      <c r="Z49" s="500" t="n">
        <f aca="false">IFERROR(IF(B49&lt;YBL_TL_RepStart,0,IF(B49&gt;YBL_TL_Maturity,0,IF(COUNTIFS($B$5:$B49,"&gt;="&amp;YBL_TL_RepStart,$B$5:$B49,"&lt;="&amp;YBL_TL_Maturity)&lt;=8,INDEX('Facility Master'!K:K,MATCH(YBL_TL_SNo,'Facility Master'!A:A,0))*0.0125,IF(COUNTIFS($B$5:$B49,"&gt;="&amp;YBL_TL_RepStart,$B$5:$B49,"&lt;="&amp;YBL_TL_Maturity)&lt;=48,INDEX('Facility Master'!K:K,MATCH(YBL_TL_SNo,'Facility Master'!A:A,0))*0.0225,0)))),0)</f>
        <v>14.625</v>
      </c>
      <c r="AA49" s="500" t="n">
        <f aca="false">IFERROR((X49+(Y49-Z49)/2)*INDEX('Facility Master'!R:R,MATCH(YBL_TL_SNo,'Facility Master'!A:A,0))*(B49-B48)/DaysInYear,0)</f>
        <v>6.79019717465753</v>
      </c>
      <c r="AB49" s="500" t="n">
        <f aca="false">IFERROR(ROUND(MAX(X49+Y49-Z49,0),6),0)</f>
        <v>277.875</v>
      </c>
      <c r="AC49" s="500" t="n">
        <f aca="false">IFERROR(MAX(AG48,0),0)</f>
        <v>238.5</v>
      </c>
      <c r="AD49" s="500" t="n">
        <f aca="false">IFERROR(IF(AND(INDEX('Facility Master'!X:X,MATCH(IDFC_TL_SNo,'Facility Master'!A:A,0))&lt;=B49,INDEX('Facility Master'!X:X,MATCH(IDFC_TL_SNo,'Facility Master'!A:A,0))&gt;B48),INDEX('Facility Master'!K:K,MATCH(IDFC_TL_SNo,'Facility Master'!A:A,0)),0),0)</f>
        <v>0</v>
      </c>
      <c r="AE49" s="500" t="n">
        <f aca="false">IFERROR(IF(B49&lt;IDFC_TL_RepStart,0,IF(B49&gt;IDFC_TL_Maturity,0,IF(COUNTIFS($B$5:$B49,"&gt;="&amp;IDFC_TL_RepStart,$B$5:$B49,"&lt;="&amp;IDFC_TL_Maturity)&lt;=8,INDEX('Facility Master'!K:K,MATCH(IDFC_TL_SNo,'Facility Master'!A:A,0))*0.0125,IF(COUNTIFS($B$5:$B49,"&gt;="&amp;IDFC_TL_RepStart,$B$5:$B49,"&lt;="&amp;IDFC_TL_Maturity)&lt;=48,INDEX('Facility Master'!K:K,MATCH(IDFC_TL_SNo,'Facility Master'!A:A,0))*0.0225,0)))),0)</f>
        <v>11.925</v>
      </c>
      <c r="AF49" s="500" t="n">
        <f aca="false">IFERROR((AC49+(AD49-AE49)/2)*INDEX('Facility Master'!R:R,MATCH(IDFC_TL_SNo,'Facility Master'!A:A,0))*(B49-B48)/DaysInYear,0)</f>
        <v>5.10180904109589</v>
      </c>
      <c r="AG49" s="500" t="n">
        <f aca="false">IFERROR(ROUND(MAX(AC49+AD49-AE49,0),6),0)</f>
        <v>226.575</v>
      </c>
      <c r="AH49" s="698" t="n">
        <f aca="false">IFERROR(MAX(AL48,0),0)</f>
        <v>378</v>
      </c>
      <c r="AI49" s="698" t="n">
        <f aca="false">IFERROR(IF(AND(INDEX('Facility Master'!X:X,MATCH(ICICI_TL_SNo,'Facility Master'!A:A,0))&lt;=B49,INDEX('Facility Master'!X:X,MATCH(ICICI_TL_SNo,'Facility Master'!A:A,0))&gt;B48),INDEX('Facility Master'!K:K,MATCH(ICICI_TL_SNo,'Facility Master'!A:A,0)),0),0)</f>
        <v>0</v>
      </c>
      <c r="AJ49" s="698" t="n">
        <f aca="false">IFERROR(IF(B49&lt;ICICI_TL_RepStart,0,IF(B49&gt;ICICI_TL_Maturity,0,IF(COUNTIFS($B$5:$B49,"&gt;="&amp;ICICI_TL_RepStart,$B$5:$B49,"&lt;="&amp;ICICI_TL_Maturity)&lt;=8,INDEX('Facility Master'!K:K,MATCH(ICICI_TL_SNo,'Facility Master'!A:A,0))*0.0125,IF(COUNTIFS($B$5:$B49,"&gt;="&amp;ICICI_TL_RepStart,$B$5:$B49,"&lt;="&amp;ICICI_TL_Maturity)&lt;=48,INDEX('Facility Master'!K:K,MATCH(ICICI_TL_SNo,'Facility Master'!A:A,0))*0.0225,0)))),0)</f>
        <v>18.9</v>
      </c>
      <c r="AK49" s="698" t="n">
        <f aca="false">IFERROR((AH49+(AI49-AJ49)/2)*INDEX('Facility Master'!R:R,MATCH(ICICI_TL_SNo,'Facility Master'!A:A,0))*(B49-B48)/DaysInYear,0)</f>
        <v>7.99400095890411</v>
      </c>
      <c r="AL49" s="698" t="n">
        <f aca="false">IFERROR(ROUND(MAX(AH49+AI49-AJ49,0),6),0)</f>
        <v>359.1</v>
      </c>
      <c r="AM49" s="500" t="n">
        <f aca="false">F49+K49+P49+Z49+AE49+AJ49</f>
        <v>81.36</v>
      </c>
      <c r="AN49" s="500" t="n">
        <f aca="false">G49+L49+Q49+AA49+AF49+AK49</f>
        <v>36.0953185993151</v>
      </c>
      <c r="AO49" s="500" t="n">
        <f aca="false">AM49+AN49</f>
        <v>117.455318599315</v>
      </c>
      <c r="AP49" s="500" t="n">
        <f aca="false">H49+M49+R49+AB49+AG49+AL49</f>
        <v>1540.5525</v>
      </c>
    </row>
    <row r="50" customFormat="false" ht="15.75" hidden="false" customHeight="true" outlineLevel="0" collapsed="false">
      <c r="A50" s="699" t="n">
        <v>46</v>
      </c>
      <c r="B50" s="700" t="n">
        <v>49217</v>
      </c>
      <c r="C50" s="699" t="s">
        <v>710</v>
      </c>
      <c r="D50" s="701" t="n">
        <f aca="false">IFERROR(MAX(H49,0),0)</f>
        <v>480.9375</v>
      </c>
      <c r="E50" s="701" t="n">
        <f aca="false">IFERROR(IF(AND(INDEX('Facility Master'!X:X,MATCH(UBI_RTL1_SNo,'Facility Master'!A:A,0))&lt;=B50,INDEX('Facility Master'!X:X,MATCH(UBI_RTL1_SNo,'Facility Master'!A:A,0))&gt;B49),INDEX('Facility Master'!K:K,MATCH(UBI_RTL1_SNo,'Facility Master'!A:A,0)),0),0)</f>
        <v>0</v>
      </c>
      <c r="F50" s="701" t="n">
        <f aca="false">IFERROR(IF(B50&lt;UBI_RTL1_RepStart,0,IF(B50&gt;UBI_RTL1_Maturity,0,IF(COUNTIFS($B$5:$B50,"&gt;="&amp;UBI_RTL1_RepStart,$B$5:$B50,"&lt;="&amp;UBI_RTL1_Maturity)&lt;=8,INDEX('Facility Master'!K:K,MATCH(UBI_RTL1_SNo,'Facility Master'!A:A,0))*0.0125,IF(COUNTIFS($B$5:$B50,"&gt;="&amp;UBI_RTL1_RepStart,$B$5:$B50,"&lt;="&amp;UBI_RTL1_Maturity)&lt;=48,INDEX('Facility Master'!K:K,MATCH(UBI_RTL1_SNo,'Facility Master'!A:A,0))*0.0225,0)))),0)</f>
        <v>25.3125</v>
      </c>
      <c r="G50" s="701" t="n">
        <f aca="false">IFERROR((D50+(E50-F50)/2)*INDEX('Facility Master'!R:R,MATCH(UBI_RTL1_SNo,'Facility Master'!A:A,0))*(B50-B49)/DaysInYear,0)</f>
        <v>11.0950582191781</v>
      </c>
      <c r="H50" s="701" t="n">
        <f aca="false">IFERROR(ROUND(MAX(D50+E50-F50,0),6),0)</f>
        <v>455.625</v>
      </c>
      <c r="I50" s="701" t="n">
        <f aca="false">IFERROR(MAX(M49,0),0)</f>
        <v>100.89</v>
      </c>
      <c r="J50" s="701" t="n">
        <f aca="false">IFERROR(IF(AND(INDEX('Facility Master'!X:X,MATCH(UBI_RTL2_SNo,'Facility Master'!A:A,0))&lt;=B50,INDEX('Facility Master'!X:X,MATCH(UBI_RTL2_SNo,'Facility Master'!A:A,0))&gt;B49),INDEX('Facility Master'!K:K,MATCH(UBI_RTL2_SNo,'Facility Master'!A:A,0)),0),0)</f>
        <v>0</v>
      </c>
      <c r="K50" s="701" t="n">
        <f aca="false">IFERROR(IF(B50&lt;UBI_RTL2_RepStart,0,IF(B50&gt;UBI_RTL2_Maturity,0,IF(COUNTIFS($B$5:$B50,"&gt;="&amp;UBI_RTL2_RepStart,$B$5:$B50,"&lt;="&amp;UBI_RTL2_Maturity)&lt;=8,INDEX('Facility Master'!K:K,MATCH(UBI_RTL2_SNo,'Facility Master'!A:A,0))*0.0125,IF(COUNTIFS($B$5:$B50,"&gt;="&amp;UBI_RTL2_RepStart,$B$5:$B50,"&lt;="&amp;UBI_RTL2_Maturity)&lt;=48,INDEX('Facility Master'!K:K,MATCH(UBI_RTL2_SNo,'Facility Master'!A:A,0))*0.0225,0)))),0)</f>
        <v>5.31</v>
      </c>
      <c r="L50" s="701" t="n">
        <f aca="false">IFERROR((I50+(J50-K50)/2)*INDEX('Facility Master'!R:R,MATCH(UBI_RTL2_SNo,'Facility Master'!A:A,0))*(B50-B49)/DaysInYear,0)</f>
        <v>2.25321484931507</v>
      </c>
      <c r="M50" s="701" t="n">
        <f aca="false">IFERROR(ROUND(MAX(I50+J50-K50,0),6),0)</f>
        <v>95.58</v>
      </c>
      <c r="N50" s="701" t="n">
        <f aca="false">IFERROR(MAX(R49,0),0)</f>
        <v>95.175</v>
      </c>
      <c r="O50" s="701" t="n">
        <f aca="false">IFERROR(IF(AND(INDEX('Facility Master'!X:X,MATCH(IB_TL_SNo,'Facility Master'!A:A,0))&lt;=B50,INDEX('Facility Master'!X:X,MATCH(IB_TL_SNo,'Facility Master'!A:A,0))&gt;B49),INDEX('Facility Master'!K:K,MATCH(IB_TL_SNo,'Facility Master'!A:A,0)),0),0)</f>
        <v>0</v>
      </c>
      <c r="P50" s="701" t="n">
        <f aca="false">IFERROR(IF(B50&lt;IB_TL_RepStart,0,IF(B50&gt;IB_TL_Maturity,0,IF(COUNTIFS($B$5:$B50,"&gt;="&amp;IB_TL_RepStart,$B$5:$B50,"&lt;="&amp;IB_TL_Maturity)&lt;=8,INDEX('Facility Master'!K:K,MATCH(IB_TL_SNo,'Facility Master'!A:A,0))*0.0125,IF(COUNTIFS($B$5:$B50,"&gt;="&amp;IB_TL_RepStart,$B$5:$B50,"&lt;="&amp;IB_TL_Maturity)&lt;=48,INDEX('Facility Master'!K:K,MATCH(IB_TL_SNo,'Facility Master'!A:A,0))*0.0225,0)))),0)</f>
        <v>5.2875</v>
      </c>
      <c r="Q50" s="701" t="n">
        <f aca="false">IFERROR((N50+(O50-P50)/2)*INDEX('Facility Master'!R:R,MATCH(IB_TL_SNo,'Facility Master'!A:A,0))*(B50-B49)/DaysInYear,0)</f>
        <v>2.19235684931507</v>
      </c>
      <c r="R50" s="701" t="n">
        <f aca="false">IFERROR(ROUND(MAX(N50+O50-P50,0),6),0)</f>
        <v>89.8875</v>
      </c>
      <c r="S50" s="702" t="n">
        <f aca="false">IFERROR(MAX(W49,0),0)</f>
        <v>0</v>
      </c>
      <c r="T50" s="702" t="n">
        <f aca="false">IFERROR(IF(AND(INDEX('Facility Master'!X:X,MATCH(RBL_TL_SNo,'Facility Master'!A:A,0))&lt;=B50,INDEX('Facility Master'!X:X,MATCH(RBL_TL_SNo,'Facility Master'!A:A,0))&gt;B49),INDEX('Facility Master'!K:K,MATCH(RBL_TL_SNo,'Facility Master'!A:A,0)),0),0)</f>
        <v>0</v>
      </c>
      <c r="U50" s="702" t="n">
        <f aca="false">IFERROR(IF(AND(RBL_TL_Maturity&lt;=B50,RBL_TL_Maturity&gt;B49),INDEX('Facility Master'!K:K,MATCH(RBL_TL_SNo,'Facility Master'!A:A,0)),0),0)</f>
        <v>0</v>
      </c>
      <c r="V50" s="702" t="n">
        <f aca="false">IFERROR((S50+(T50-U50)/2)*INDEX('Facility Master'!R:R,MATCH(RBL_TL_SNo,'Facility Master'!A:A,0))*(B50-B49)/DaysInYear,0)</f>
        <v>0</v>
      </c>
      <c r="W50" s="702" t="n">
        <f aca="false">IFERROR(ROUND(MAX(S50+T50-U50,0),6),0)</f>
        <v>0</v>
      </c>
      <c r="X50" s="701" t="n">
        <f aca="false">IFERROR(MAX(AB49,0),0)</f>
        <v>277.875</v>
      </c>
      <c r="Y50" s="701" t="n">
        <f aca="false">IFERROR(IF(AND(INDEX('Facility Master'!X:X,MATCH(YBL_TL_SNo,'Facility Master'!A:A,0))&lt;=B50,INDEX('Facility Master'!X:X,MATCH(YBL_TL_SNo,'Facility Master'!A:A,0))&gt;B49),INDEX('Facility Master'!K:K,MATCH(YBL_TL_SNo,'Facility Master'!A:A,0)),0),0)</f>
        <v>0</v>
      </c>
      <c r="Z50" s="701" t="n">
        <f aca="false">IFERROR(IF(B50&lt;YBL_TL_RepStart,0,IF(B50&gt;YBL_TL_Maturity,0,IF(COUNTIFS($B$5:$B50,"&gt;="&amp;YBL_TL_RepStart,$B$5:$B50,"&lt;="&amp;YBL_TL_Maturity)&lt;=8,INDEX('Facility Master'!K:K,MATCH(YBL_TL_SNo,'Facility Master'!A:A,0))*0.0125,IF(COUNTIFS($B$5:$B50,"&gt;="&amp;YBL_TL_RepStart,$B$5:$B50,"&lt;="&amp;YBL_TL_Maturity)&lt;=48,INDEX('Facility Master'!K:K,MATCH(YBL_TL_SNo,'Facility Master'!A:A,0))*0.0225,0)))),0)</f>
        <v>14.625</v>
      </c>
      <c r="AA50" s="701" t="n">
        <f aca="false">IFERROR((X50+(Y50-Z50)/2)*INDEX('Facility Master'!R:R,MATCH(YBL_TL_SNo,'Facility Master'!A:A,0))*(B50-B49)/DaysInYear,0)</f>
        <v>6.51277294520548</v>
      </c>
      <c r="AB50" s="701" t="n">
        <f aca="false">IFERROR(ROUND(MAX(X50+Y50-Z50,0),6),0)</f>
        <v>263.25</v>
      </c>
      <c r="AC50" s="701" t="n">
        <f aca="false">IFERROR(MAX(AG49,0),0)</f>
        <v>226.575</v>
      </c>
      <c r="AD50" s="701" t="n">
        <f aca="false">IFERROR(IF(AND(INDEX('Facility Master'!X:X,MATCH(IDFC_TL_SNo,'Facility Master'!A:A,0))&lt;=B50,INDEX('Facility Master'!X:X,MATCH(IDFC_TL_SNo,'Facility Master'!A:A,0))&gt;B49),INDEX('Facility Master'!K:K,MATCH(IDFC_TL_SNo,'Facility Master'!A:A,0)),0),0)</f>
        <v>0</v>
      </c>
      <c r="AE50" s="701" t="n">
        <f aca="false">IFERROR(IF(B50&lt;IDFC_TL_RepStart,0,IF(B50&gt;IDFC_TL_Maturity,0,IF(COUNTIFS($B$5:$B50,"&gt;="&amp;IDFC_TL_RepStart,$B$5:$B50,"&lt;="&amp;IDFC_TL_Maturity)&lt;=8,INDEX('Facility Master'!K:K,MATCH(IDFC_TL_SNo,'Facility Master'!A:A,0))*0.0125,IF(COUNTIFS($B$5:$B50,"&gt;="&amp;IDFC_TL_RepStart,$B$5:$B50,"&lt;="&amp;IDFC_TL_Maturity)&lt;=48,INDEX('Facility Master'!K:K,MATCH(IDFC_TL_SNo,'Facility Master'!A:A,0))*0.0225,0)))),0)</f>
        <v>11.925</v>
      </c>
      <c r="AF50" s="701" t="n">
        <f aca="false">IFERROR((AC50+(AD50-AE50)/2)*INDEX('Facility Master'!R:R,MATCH(IDFC_TL_SNo,'Facility Master'!A:A,0))*(B50-B49)/DaysInYear,0)</f>
        <v>4.89336657534247</v>
      </c>
      <c r="AG50" s="701" t="n">
        <f aca="false">IFERROR(ROUND(MAX(AC50+AD50-AE50,0),6),0)</f>
        <v>214.65</v>
      </c>
      <c r="AH50" s="703" t="n">
        <f aca="false">IFERROR(MAX(AL49,0),0)</f>
        <v>359.1</v>
      </c>
      <c r="AI50" s="703" t="n">
        <f aca="false">IFERROR(IF(AND(INDEX('Facility Master'!X:X,MATCH(ICICI_TL_SNo,'Facility Master'!A:A,0))&lt;=B50,INDEX('Facility Master'!X:X,MATCH(ICICI_TL_SNo,'Facility Master'!A:A,0))&gt;B49),INDEX('Facility Master'!K:K,MATCH(ICICI_TL_SNo,'Facility Master'!A:A,0)),0),0)</f>
        <v>0</v>
      </c>
      <c r="AJ50" s="703" t="n">
        <f aca="false">IFERROR(IF(B50&lt;ICICI_TL_RepStart,0,IF(B50&gt;ICICI_TL_Maturity,0,IF(COUNTIFS($B$5:$B50,"&gt;="&amp;ICICI_TL_RepStart,$B$5:$B50,"&lt;="&amp;ICICI_TL_Maturity)&lt;=8,INDEX('Facility Master'!K:K,MATCH(ICICI_TL_SNo,'Facility Master'!A:A,0))*0.0125,IF(COUNTIFS($B$5:$B50,"&gt;="&amp;ICICI_TL_RepStart,$B$5:$B50,"&lt;="&amp;ICICI_TL_Maturity)&lt;=48,INDEX('Facility Master'!K:K,MATCH(ICICI_TL_SNo,'Facility Master'!A:A,0))*0.0225,0)))),0)</f>
        <v>18.9</v>
      </c>
      <c r="AK50" s="703" t="n">
        <f aca="false">IFERROR((AH50+(AI50-AJ50)/2)*INDEX('Facility Master'!R:R,MATCH(ICICI_TL_SNo,'Facility Master'!A:A,0))*(B50-B49)/DaysInYear,0)</f>
        <v>7.66739342465754</v>
      </c>
      <c r="AL50" s="703" t="n">
        <f aca="false">IFERROR(ROUND(MAX(AH50+AI50-AJ50,0),6),0)</f>
        <v>340.2</v>
      </c>
      <c r="AM50" s="701" t="n">
        <f aca="false">F50+K50+P50+Z50+AE50+AJ50</f>
        <v>81.36</v>
      </c>
      <c r="AN50" s="701" t="n">
        <f aca="false">G50+L50+Q50+AA50+AF50+AK50</f>
        <v>34.6141628630137</v>
      </c>
      <c r="AO50" s="701" t="n">
        <f aca="false">AM50+AN50</f>
        <v>115.974162863014</v>
      </c>
      <c r="AP50" s="701" t="n">
        <f aca="false">H50+M50+R50+AB50+AG50+AL50</f>
        <v>1459.1925</v>
      </c>
    </row>
    <row r="51" customFormat="false" ht="15.75" hidden="false" customHeight="true" outlineLevel="0" collapsed="false">
      <c r="A51" s="496" t="n">
        <v>47</v>
      </c>
      <c r="B51" s="696" t="n">
        <v>49309</v>
      </c>
      <c r="C51" s="496" t="s">
        <v>711</v>
      </c>
      <c r="D51" s="500" t="n">
        <f aca="false">IFERROR(MAX(H50,0),0)</f>
        <v>455.625</v>
      </c>
      <c r="E51" s="500" t="n">
        <f aca="false">IFERROR(IF(AND(INDEX('Facility Master'!X:X,MATCH(UBI_RTL1_SNo,'Facility Master'!A:A,0))&lt;=B51,INDEX('Facility Master'!X:X,MATCH(UBI_RTL1_SNo,'Facility Master'!A:A,0))&gt;B50),INDEX('Facility Master'!K:K,MATCH(UBI_RTL1_SNo,'Facility Master'!A:A,0)),0),0)</f>
        <v>0</v>
      </c>
      <c r="F51" s="500" t="n">
        <f aca="false">IFERROR(IF(B51&lt;UBI_RTL1_RepStart,0,IF(B51&gt;UBI_RTL1_Maturity,0,IF(COUNTIFS($B$5:$B51,"&gt;="&amp;UBI_RTL1_RepStart,$B$5:$B51,"&lt;="&amp;UBI_RTL1_Maturity)&lt;=8,INDEX('Facility Master'!K:K,MATCH(UBI_RTL1_SNo,'Facility Master'!A:A,0))*0.0125,IF(COUNTIFS($B$5:$B51,"&gt;="&amp;UBI_RTL1_RepStart,$B$5:$B51,"&lt;="&amp;UBI_RTL1_Maturity)&lt;=48,INDEX('Facility Master'!K:K,MATCH(UBI_RTL1_SNo,'Facility Master'!A:A,0))*0.0225,0)))),0)</f>
        <v>25.3125</v>
      </c>
      <c r="G51" s="500" t="n">
        <f aca="false">IFERROR((D51+(E51-F51)/2)*INDEX('Facility Master'!R:R,MATCH(UBI_RTL1_SNo,'Facility Master'!A:A,0))*(B51-B50)/DaysInYear,0)</f>
        <v>10.4953253424658</v>
      </c>
      <c r="H51" s="500" t="n">
        <f aca="false">IFERROR(ROUND(MAX(D51+E51-F51,0),6),0)</f>
        <v>430.3125</v>
      </c>
      <c r="I51" s="500" t="n">
        <f aca="false">IFERROR(MAX(M50,0),0)</f>
        <v>95.58</v>
      </c>
      <c r="J51" s="500" t="n">
        <f aca="false">IFERROR(IF(AND(INDEX('Facility Master'!X:X,MATCH(UBI_RTL2_SNo,'Facility Master'!A:A,0))&lt;=B51,INDEX('Facility Master'!X:X,MATCH(UBI_RTL2_SNo,'Facility Master'!A:A,0))&gt;B50),INDEX('Facility Master'!K:K,MATCH(UBI_RTL2_SNo,'Facility Master'!A:A,0)),0),0)</f>
        <v>0</v>
      </c>
      <c r="K51" s="500" t="n">
        <f aca="false">IFERROR(IF(B51&lt;UBI_RTL2_RepStart,0,IF(B51&gt;UBI_RTL2_Maturity,0,IF(COUNTIFS($B$5:$B51,"&gt;="&amp;UBI_RTL2_RepStart,$B$5:$B51,"&lt;="&amp;UBI_RTL2_Maturity)&lt;=8,INDEX('Facility Master'!K:K,MATCH(UBI_RTL2_SNo,'Facility Master'!A:A,0))*0.0125,IF(COUNTIFS($B$5:$B51,"&gt;="&amp;UBI_RTL2_RepStart,$B$5:$B51,"&lt;="&amp;UBI_RTL2_Maturity)&lt;=48,INDEX('Facility Master'!K:K,MATCH(UBI_RTL2_SNo,'Facility Master'!A:A,0))*0.0225,0)))),0)</f>
        <v>5.31</v>
      </c>
      <c r="L51" s="500" t="n">
        <f aca="false">IFERROR((I51+(J51-K51)/2)*INDEX('Facility Master'!R:R,MATCH(UBI_RTL2_SNo,'Facility Master'!A:A,0))*(B51-B50)/DaysInYear,0)</f>
        <v>2.13141945205479</v>
      </c>
      <c r="M51" s="500" t="n">
        <f aca="false">IFERROR(ROUND(MAX(I51+J51-K51,0),6),0)</f>
        <v>90.27</v>
      </c>
      <c r="N51" s="500" t="n">
        <f aca="false">IFERROR(MAX(R50,0),0)</f>
        <v>89.8875</v>
      </c>
      <c r="O51" s="500" t="n">
        <f aca="false">IFERROR(IF(AND(INDEX('Facility Master'!X:X,MATCH(IB_TL_SNo,'Facility Master'!A:A,0))&lt;=B51,INDEX('Facility Master'!X:X,MATCH(IB_TL_SNo,'Facility Master'!A:A,0))&gt;B50),INDEX('Facility Master'!K:K,MATCH(IB_TL_SNo,'Facility Master'!A:A,0)),0),0)</f>
        <v>0</v>
      </c>
      <c r="P51" s="500" t="n">
        <f aca="false">IFERROR(IF(B51&lt;IB_TL_RepStart,0,IF(B51&gt;IB_TL_Maturity,0,IF(COUNTIFS($B$5:$B51,"&gt;="&amp;IB_TL_RepStart,$B$5:$B51,"&lt;="&amp;IB_TL_Maturity)&lt;=8,INDEX('Facility Master'!K:K,MATCH(IB_TL_SNo,'Facility Master'!A:A,0))*0.0125,IF(COUNTIFS($B$5:$B51,"&gt;="&amp;IB_TL_RepStart,$B$5:$B51,"&lt;="&amp;IB_TL_Maturity)&lt;=48,INDEX('Facility Master'!K:K,MATCH(IB_TL_SNo,'Facility Master'!A:A,0))*0.0225,0)))),0)</f>
        <v>5.2875</v>
      </c>
      <c r="Q51" s="500" t="n">
        <f aca="false">IFERROR((N51+(O51-P51)/2)*INDEX('Facility Master'!R:R,MATCH(IB_TL_SNo,'Facility Master'!A:A,0))*(B51-B50)/DaysInYear,0)</f>
        <v>2.06707931506849</v>
      </c>
      <c r="R51" s="500" t="n">
        <f aca="false">IFERROR(ROUND(MAX(N51+O51-P51,0),6),0)</f>
        <v>84.6</v>
      </c>
      <c r="S51" s="697" t="n">
        <f aca="false">IFERROR(MAX(W50,0),0)</f>
        <v>0</v>
      </c>
      <c r="T51" s="697" t="n">
        <f aca="false">IFERROR(IF(AND(INDEX('Facility Master'!X:X,MATCH(RBL_TL_SNo,'Facility Master'!A:A,0))&lt;=B51,INDEX('Facility Master'!X:X,MATCH(RBL_TL_SNo,'Facility Master'!A:A,0))&gt;B50),INDEX('Facility Master'!K:K,MATCH(RBL_TL_SNo,'Facility Master'!A:A,0)),0),0)</f>
        <v>0</v>
      </c>
      <c r="U51" s="697" t="n">
        <f aca="false">IFERROR(IF(AND(RBL_TL_Maturity&lt;=B51,RBL_TL_Maturity&gt;B50),INDEX('Facility Master'!K:K,MATCH(RBL_TL_SNo,'Facility Master'!A:A,0)),0),0)</f>
        <v>0</v>
      </c>
      <c r="V51" s="697" t="n">
        <f aca="false">IFERROR((S51+(T51-U51)/2)*INDEX('Facility Master'!R:R,MATCH(RBL_TL_SNo,'Facility Master'!A:A,0))*(B51-B50)/DaysInYear,0)</f>
        <v>0</v>
      </c>
      <c r="W51" s="697" t="n">
        <f aca="false">IFERROR(ROUND(MAX(S51+T51-U51,0),6),0)</f>
        <v>0</v>
      </c>
      <c r="X51" s="500" t="n">
        <f aca="false">IFERROR(MAX(AB50,0),0)</f>
        <v>263.25</v>
      </c>
      <c r="Y51" s="500" t="n">
        <f aca="false">IFERROR(IF(AND(INDEX('Facility Master'!X:X,MATCH(YBL_TL_SNo,'Facility Master'!A:A,0))&lt;=B51,INDEX('Facility Master'!X:X,MATCH(YBL_TL_SNo,'Facility Master'!A:A,0))&gt;B50),INDEX('Facility Master'!K:K,MATCH(YBL_TL_SNo,'Facility Master'!A:A,0)),0),0)</f>
        <v>0</v>
      </c>
      <c r="Z51" s="500" t="n">
        <f aca="false">IFERROR(IF(B51&lt;YBL_TL_RepStart,0,IF(B51&gt;YBL_TL_Maturity,0,IF(COUNTIFS($B$5:$B51,"&gt;="&amp;YBL_TL_RepStart,$B$5:$B51,"&lt;="&amp;YBL_TL_Maturity)&lt;=8,INDEX('Facility Master'!K:K,MATCH(YBL_TL_SNo,'Facility Master'!A:A,0))*0.0125,IF(COUNTIFS($B$5:$B51,"&gt;="&amp;YBL_TL_RepStart,$B$5:$B51,"&lt;="&amp;YBL_TL_Maturity)&lt;=48,INDEX('Facility Master'!K:K,MATCH(YBL_TL_SNo,'Facility Master'!A:A,0))*0.0225,0)))),0)</f>
        <v>14.625</v>
      </c>
      <c r="AA51" s="500" t="n">
        <f aca="false">IFERROR((X51+(Y51-Z51)/2)*INDEX('Facility Master'!R:R,MATCH(YBL_TL_SNo,'Facility Master'!A:A,0))*(B51-B50)/DaysInYear,0)</f>
        <v>6.16073116438356</v>
      </c>
      <c r="AB51" s="500" t="n">
        <f aca="false">IFERROR(ROUND(MAX(X51+Y51-Z51,0),6),0)</f>
        <v>248.625</v>
      </c>
      <c r="AC51" s="500" t="n">
        <f aca="false">IFERROR(MAX(AG50,0),0)</f>
        <v>214.65</v>
      </c>
      <c r="AD51" s="500" t="n">
        <f aca="false">IFERROR(IF(AND(INDEX('Facility Master'!X:X,MATCH(IDFC_TL_SNo,'Facility Master'!A:A,0))&lt;=B51,INDEX('Facility Master'!X:X,MATCH(IDFC_TL_SNo,'Facility Master'!A:A,0))&gt;B50),INDEX('Facility Master'!K:K,MATCH(IDFC_TL_SNo,'Facility Master'!A:A,0)),0),0)</f>
        <v>0</v>
      </c>
      <c r="AE51" s="500" t="n">
        <f aca="false">IFERROR(IF(B51&lt;IDFC_TL_RepStart,0,IF(B51&gt;IDFC_TL_Maturity,0,IF(COUNTIFS($B$5:$B51,"&gt;="&amp;IDFC_TL_RepStart,$B$5:$B51,"&lt;="&amp;IDFC_TL_Maturity)&lt;=8,INDEX('Facility Master'!K:K,MATCH(IDFC_TL_SNo,'Facility Master'!A:A,0))*0.0125,IF(COUNTIFS($B$5:$B51,"&gt;="&amp;IDFC_TL_RepStart,$B$5:$B51,"&lt;="&amp;IDFC_TL_Maturity)&lt;=48,INDEX('Facility Master'!K:K,MATCH(IDFC_TL_SNo,'Facility Master'!A:A,0))*0.0225,0)))),0)</f>
        <v>11.925</v>
      </c>
      <c r="AF51" s="500" t="n">
        <f aca="false">IFERROR((AC51+(AD51-AE51)/2)*INDEX('Facility Master'!R:R,MATCH(IDFC_TL_SNo,'Facility Master'!A:A,0))*(B51-B50)/DaysInYear,0)</f>
        <v>4.6288602739726</v>
      </c>
      <c r="AG51" s="500" t="n">
        <f aca="false">IFERROR(ROUND(MAX(AC51+AD51-AE51,0),6),0)</f>
        <v>202.725</v>
      </c>
      <c r="AH51" s="698" t="n">
        <f aca="false">IFERROR(MAX(AL50,0),0)</f>
        <v>340.2</v>
      </c>
      <c r="AI51" s="698" t="n">
        <f aca="false">IFERROR(IF(AND(INDEX('Facility Master'!X:X,MATCH(ICICI_TL_SNo,'Facility Master'!A:A,0))&lt;=B51,INDEX('Facility Master'!X:X,MATCH(ICICI_TL_SNo,'Facility Master'!A:A,0))&gt;B50),INDEX('Facility Master'!K:K,MATCH(ICICI_TL_SNo,'Facility Master'!A:A,0)),0),0)</f>
        <v>0</v>
      </c>
      <c r="AJ51" s="698" t="n">
        <f aca="false">IFERROR(IF(B51&lt;ICICI_TL_RepStart,0,IF(B51&gt;ICICI_TL_Maturity,0,IF(COUNTIFS($B$5:$B51,"&gt;="&amp;ICICI_TL_RepStart,$B$5:$B51,"&lt;="&amp;ICICI_TL_Maturity)&lt;=8,INDEX('Facility Master'!K:K,MATCH(ICICI_TL_SNo,'Facility Master'!A:A,0))*0.0125,IF(COUNTIFS($B$5:$B51,"&gt;="&amp;ICICI_TL_RepStart,$B$5:$B51,"&lt;="&amp;ICICI_TL_Maturity)&lt;=48,INDEX('Facility Master'!K:K,MATCH(ICICI_TL_SNo,'Facility Master'!A:A,0))*0.0225,0)))),0)</f>
        <v>18.9</v>
      </c>
      <c r="AK51" s="698" t="n">
        <f aca="false">IFERROR((AH51+(AI51-AJ51)/2)*INDEX('Facility Master'!R:R,MATCH(ICICI_TL_SNo,'Facility Master'!A:A,0))*(B51-B50)/DaysInYear,0)</f>
        <v>7.2529397260274</v>
      </c>
      <c r="AL51" s="698" t="n">
        <f aca="false">IFERROR(ROUND(MAX(AH51+AI51-AJ51,0),6),0)</f>
        <v>321.3</v>
      </c>
      <c r="AM51" s="500" t="n">
        <f aca="false">F51+K51+P51+Z51+AE51+AJ51</f>
        <v>81.36</v>
      </c>
      <c r="AN51" s="500" t="n">
        <f aca="false">G51+L51+Q51+AA51+AF51+AK51</f>
        <v>32.7363552739726</v>
      </c>
      <c r="AO51" s="500" t="n">
        <f aca="false">AM51+AN51</f>
        <v>114.096355273973</v>
      </c>
      <c r="AP51" s="500" t="n">
        <f aca="false">H51+M51+R51+AB51+AG51+AL51</f>
        <v>1377.8325</v>
      </c>
    </row>
    <row r="52" customFormat="false" ht="15.75" hidden="false" customHeight="true" outlineLevel="0" collapsed="false">
      <c r="A52" s="699" t="n">
        <v>48</v>
      </c>
      <c r="B52" s="700" t="n">
        <v>49399</v>
      </c>
      <c r="C52" s="699" t="s">
        <v>712</v>
      </c>
      <c r="D52" s="701" t="n">
        <f aca="false">IFERROR(MAX(H51,0),0)</f>
        <v>430.3125</v>
      </c>
      <c r="E52" s="701" t="n">
        <f aca="false">IFERROR(IF(AND(INDEX('Facility Master'!X:X,MATCH(UBI_RTL1_SNo,'Facility Master'!A:A,0))&lt;=B52,INDEX('Facility Master'!X:X,MATCH(UBI_RTL1_SNo,'Facility Master'!A:A,0))&gt;B51),INDEX('Facility Master'!K:K,MATCH(UBI_RTL1_SNo,'Facility Master'!A:A,0)),0),0)</f>
        <v>0</v>
      </c>
      <c r="F52" s="701" t="n">
        <f aca="false">IFERROR(IF(B52&lt;UBI_RTL1_RepStart,0,IF(B52&gt;UBI_RTL1_Maturity,0,IF(COUNTIFS($B$5:$B52,"&gt;="&amp;UBI_RTL1_RepStart,$B$5:$B52,"&lt;="&amp;UBI_RTL1_Maturity)&lt;=8,INDEX('Facility Master'!K:K,MATCH(UBI_RTL1_SNo,'Facility Master'!A:A,0))*0.0125,IF(COUNTIFS($B$5:$B52,"&gt;="&amp;UBI_RTL1_RepStart,$B$5:$B52,"&lt;="&amp;UBI_RTL1_Maturity)&lt;=48,INDEX('Facility Master'!K:K,MATCH(UBI_RTL1_SNo,'Facility Master'!A:A,0))*0.0225,0)))),0)</f>
        <v>25.3125</v>
      </c>
      <c r="G52" s="701" t="n">
        <f aca="false">IFERROR((D52+(E52-F52)/2)*INDEX('Facility Master'!R:R,MATCH(UBI_RTL1_SNo,'Facility Master'!A:A,0))*(B52-B51)/DaysInYear,0)</f>
        <v>9.68047089041096</v>
      </c>
      <c r="H52" s="701" t="n">
        <f aca="false">IFERROR(ROUND(MAX(D52+E52-F52,0),6),0)</f>
        <v>405</v>
      </c>
      <c r="I52" s="701" t="n">
        <f aca="false">IFERROR(MAX(M51,0),0)</f>
        <v>90.27</v>
      </c>
      <c r="J52" s="701" t="n">
        <f aca="false">IFERROR(IF(AND(INDEX('Facility Master'!X:X,MATCH(UBI_RTL2_SNo,'Facility Master'!A:A,0))&lt;=B52,INDEX('Facility Master'!X:X,MATCH(UBI_RTL2_SNo,'Facility Master'!A:A,0))&gt;B51),INDEX('Facility Master'!K:K,MATCH(UBI_RTL2_SNo,'Facility Master'!A:A,0)),0),0)</f>
        <v>0</v>
      </c>
      <c r="K52" s="701" t="n">
        <f aca="false">IFERROR(IF(B52&lt;UBI_RTL2_RepStart,0,IF(B52&gt;UBI_RTL2_Maturity,0,IF(COUNTIFS($B$5:$B52,"&gt;="&amp;UBI_RTL2_RepStart,$B$5:$B52,"&lt;="&amp;UBI_RTL2_Maturity)&lt;=8,INDEX('Facility Master'!K:K,MATCH(UBI_RTL2_SNo,'Facility Master'!A:A,0))*0.0125,IF(COUNTIFS($B$5:$B52,"&gt;="&amp;UBI_RTL2_RepStart,$B$5:$B52,"&lt;="&amp;UBI_RTL2_Maturity)&lt;=48,INDEX('Facility Master'!K:K,MATCH(UBI_RTL2_SNo,'Facility Master'!A:A,0))*0.0225,0)))),0)</f>
        <v>5.31</v>
      </c>
      <c r="L52" s="701" t="n">
        <f aca="false">IFERROR((I52+(J52-K52)/2)*INDEX('Facility Master'!R:R,MATCH(UBI_RTL2_SNo,'Facility Master'!A:A,0))*(B52-B51)/DaysInYear,0)</f>
        <v>1.96593657534247</v>
      </c>
      <c r="M52" s="701" t="n">
        <f aca="false">IFERROR(ROUND(MAX(I52+J52-K52,0),6),0)</f>
        <v>84.96</v>
      </c>
      <c r="N52" s="701" t="n">
        <f aca="false">IFERROR(MAX(R51,0),0)</f>
        <v>84.6</v>
      </c>
      <c r="O52" s="701" t="n">
        <f aca="false">IFERROR(IF(AND(INDEX('Facility Master'!X:X,MATCH(IB_TL_SNo,'Facility Master'!A:A,0))&lt;=B52,INDEX('Facility Master'!X:X,MATCH(IB_TL_SNo,'Facility Master'!A:A,0))&gt;B51),INDEX('Facility Master'!K:K,MATCH(IB_TL_SNo,'Facility Master'!A:A,0)),0),0)</f>
        <v>0</v>
      </c>
      <c r="P52" s="701" t="n">
        <f aca="false">IFERROR(IF(B52&lt;IB_TL_RepStart,0,IF(B52&gt;IB_TL_Maturity,0,IF(COUNTIFS($B$5:$B52,"&gt;="&amp;IB_TL_RepStart,$B$5:$B52,"&lt;="&amp;IB_TL_Maturity)&lt;=8,INDEX('Facility Master'!K:K,MATCH(IB_TL_SNo,'Facility Master'!A:A,0))*0.0125,IF(COUNTIFS($B$5:$B52,"&gt;="&amp;IB_TL_RepStart,$B$5:$B52,"&lt;="&amp;IB_TL_Maturity)&lt;=48,INDEX('Facility Master'!K:K,MATCH(IB_TL_SNo,'Facility Master'!A:A,0))*0.0225,0)))),0)</f>
        <v>5.2875</v>
      </c>
      <c r="Q52" s="701" t="n">
        <f aca="false">IFERROR((N52+(O52-P52)/2)*INDEX('Facility Master'!R:R,MATCH(IB_TL_SNo,'Facility Master'!A:A,0))*(B52-B51)/DaysInYear,0)</f>
        <v>1.89958869863014</v>
      </c>
      <c r="R52" s="701" t="n">
        <f aca="false">IFERROR(ROUND(MAX(N52+O52-P52,0),6),0)</f>
        <v>79.3125</v>
      </c>
      <c r="S52" s="702" t="n">
        <f aca="false">IFERROR(MAX(W51,0),0)</f>
        <v>0</v>
      </c>
      <c r="T52" s="702" t="n">
        <f aca="false">IFERROR(IF(AND(INDEX('Facility Master'!X:X,MATCH(RBL_TL_SNo,'Facility Master'!A:A,0))&lt;=B52,INDEX('Facility Master'!X:X,MATCH(RBL_TL_SNo,'Facility Master'!A:A,0))&gt;B51),INDEX('Facility Master'!K:K,MATCH(RBL_TL_SNo,'Facility Master'!A:A,0)),0),0)</f>
        <v>0</v>
      </c>
      <c r="U52" s="702" t="n">
        <f aca="false">IFERROR(IF(AND(RBL_TL_Maturity&lt;=B52,RBL_TL_Maturity&gt;B51),INDEX('Facility Master'!K:K,MATCH(RBL_TL_SNo,'Facility Master'!A:A,0)),0),0)</f>
        <v>0</v>
      </c>
      <c r="V52" s="702" t="n">
        <f aca="false">IFERROR((S52+(T52-U52)/2)*INDEX('Facility Master'!R:R,MATCH(RBL_TL_SNo,'Facility Master'!A:A,0))*(B52-B51)/DaysInYear,0)</f>
        <v>0</v>
      </c>
      <c r="W52" s="702" t="n">
        <f aca="false">IFERROR(ROUND(MAX(S52+T52-U52,0),6),0)</f>
        <v>0</v>
      </c>
      <c r="X52" s="701" t="n">
        <f aca="false">IFERROR(MAX(AB51,0),0)</f>
        <v>248.625</v>
      </c>
      <c r="Y52" s="701" t="n">
        <f aca="false">IFERROR(IF(AND(INDEX('Facility Master'!X:X,MATCH(YBL_TL_SNo,'Facility Master'!A:A,0))&lt;=B52,INDEX('Facility Master'!X:X,MATCH(YBL_TL_SNo,'Facility Master'!A:A,0))&gt;B51),INDEX('Facility Master'!K:K,MATCH(YBL_TL_SNo,'Facility Master'!A:A,0)),0),0)</f>
        <v>0</v>
      </c>
      <c r="Z52" s="701" t="n">
        <f aca="false">IFERROR(IF(B52&lt;YBL_TL_RepStart,0,IF(B52&gt;YBL_TL_Maturity,0,IF(COUNTIFS($B$5:$B52,"&gt;="&amp;YBL_TL_RepStart,$B$5:$B52,"&lt;="&amp;YBL_TL_Maturity)&lt;=8,INDEX('Facility Master'!K:K,MATCH(YBL_TL_SNo,'Facility Master'!A:A,0))*0.0125,IF(COUNTIFS($B$5:$B52,"&gt;="&amp;YBL_TL_RepStart,$B$5:$B52,"&lt;="&amp;YBL_TL_Maturity)&lt;=48,INDEX('Facility Master'!K:K,MATCH(YBL_TL_SNo,'Facility Master'!A:A,0))*0.0225,0)))),0)</f>
        <v>14.625</v>
      </c>
      <c r="AA52" s="701" t="n">
        <f aca="false">IFERROR((X52+(Y52-Z52)/2)*INDEX('Facility Master'!R:R,MATCH(YBL_TL_SNo,'Facility Master'!A:A,0))*(B52-B51)/DaysInYear,0)</f>
        <v>5.68241352739726</v>
      </c>
      <c r="AB52" s="701" t="n">
        <f aca="false">IFERROR(ROUND(MAX(X52+Y52-Z52,0),6),0)</f>
        <v>234</v>
      </c>
      <c r="AC52" s="701" t="n">
        <f aca="false">IFERROR(MAX(AG51,0),0)</f>
        <v>202.725</v>
      </c>
      <c r="AD52" s="701" t="n">
        <f aca="false">IFERROR(IF(AND(INDEX('Facility Master'!X:X,MATCH(IDFC_TL_SNo,'Facility Master'!A:A,0))&lt;=B52,INDEX('Facility Master'!X:X,MATCH(IDFC_TL_SNo,'Facility Master'!A:A,0))&gt;B51),INDEX('Facility Master'!K:K,MATCH(IDFC_TL_SNo,'Facility Master'!A:A,0)),0),0)</f>
        <v>0</v>
      </c>
      <c r="AE52" s="701" t="n">
        <f aca="false">IFERROR(IF(B52&lt;IDFC_TL_RepStart,0,IF(B52&gt;IDFC_TL_Maturity,0,IF(COUNTIFS($B$5:$B52,"&gt;="&amp;IDFC_TL_RepStart,$B$5:$B52,"&lt;="&amp;IDFC_TL_Maturity)&lt;=8,INDEX('Facility Master'!K:K,MATCH(IDFC_TL_SNo,'Facility Master'!A:A,0))*0.0125,IF(COUNTIFS($B$5:$B52,"&gt;="&amp;IDFC_TL_RepStart,$B$5:$B52,"&lt;="&amp;IDFC_TL_Maturity)&lt;=48,INDEX('Facility Master'!K:K,MATCH(IDFC_TL_SNo,'Facility Master'!A:A,0))*0.0225,0)))),0)</f>
        <v>11.925</v>
      </c>
      <c r="AF52" s="701" t="n">
        <f aca="false">IFERROR((AC52+(AD52-AE52)/2)*INDEX('Facility Master'!R:R,MATCH(IDFC_TL_SNo,'Facility Master'!A:A,0))*(B52-B51)/DaysInYear,0)</f>
        <v>4.26947671232877</v>
      </c>
      <c r="AG52" s="701" t="n">
        <f aca="false">IFERROR(ROUND(MAX(AC52+AD52-AE52,0),6),0)</f>
        <v>190.8</v>
      </c>
      <c r="AH52" s="703" t="n">
        <f aca="false">IFERROR(MAX(AL51,0),0)</f>
        <v>321.3</v>
      </c>
      <c r="AI52" s="703" t="n">
        <f aca="false">IFERROR(IF(AND(INDEX('Facility Master'!X:X,MATCH(ICICI_TL_SNo,'Facility Master'!A:A,0))&lt;=B52,INDEX('Facility Master'!X:X,MATCH(ICICI_TL_SNo,'Facility Master'!A:A,0))&gt;B51),INDEX('Facility Master'!K:K,MATCH(ICICI_TL_SNo,'Facility Master'!A:A,0)),0),0)</f>
        <v>0</v>
      </c>
      <c r="AJ52" s="703" t="n">
        <f aca="false">IFERROR(IF(B52&lt;ICICI_TL_RepStart,0,IF(B52&gt;ICICI_TL_Maturity,0,IF(COUNTIFS($B$5:$B52,"&gt;="&amp;ICICI_TL_RepStart,$B$5:$B52,"&lt;="&amp;ICICI_TL_Maturity)&lt;=8,INDEX('Facility Master'!K:K,MATCH(ICICI_TL_SNo,'Facility Master'!A:A,0))*0.0125,IF(COUNTIFS($B$5:$B52,"&gt;="&amp;ICICI_TL_RepStart,$B$5:$B52,"&lt;="&amp;ICICI_TL_Maturity)&lt;=48,INDEX('Facility Master'!K:K,MATCH(ICICI_TL_SNo,'Facility Master'!A:A,0))*0.0225,0)))),0)</f>
        <v>18.9</v>
      </c>
      <c r="AK52" s="703" t="n">
        <f aca="false">IFERROR((AH52+(AI52-AJ52)/2)*INDEX('Facility Master'!R:R,MATCH(ICICI_TL_SNo,'Facility Master'!A:A,0))*(B52-B51)/DaysInYear,0)</f>
        <v>6.68982328767123</v>
      </c>
      <c r="AL52" s="703" t="n">
        <f aca="false">IFERROR(ROUND(MAX(AH52+AI52-AJ52,0),6),0)</f>
        <v>302.4</v>
      </c>
      <c r="AM52" s="701" t="n">
        <f aca="false">F52+K52+P52+Z52+AE52+AJ52</f>
        <v>81.36</v>
      </c>
      <c r="AN52" s="701" t="n">
        <f aca="false">G52+L52+Q52+AA52+AF52+AK52</f>
        <v>30.1877096917808</v>
      </c>
      <c r="AO52" s="701" t="n">
        <f aca="false">AM52+AN52</f>
        <v>111.547709691781</v>
      </c>
      <c r="AP52" s="701" t="n">
        <f aca="false">H52+M52+R52+AB52+AG52+AL52</f>
        <v>1296.4725</v>
      </c>
    </row>
    <row r="53" customFormat="false" ht="15.75" hidden="false" customHeight="true" outlineLevel="0" collapsed="false">
      <c r="A53" s="496" t="n">
        <v>49</v>
      </c>
      <c r="B53" s="696" t="n">
        <v>49490</v>
      </c>
      <c r="C53" s="496" t="s">
        <v>713</v>
      </c>
      <c r="D53" s="500" t="n">
        <f aca="false">IFERROR(MAX(H52,0),0)</f>
        <v>405</v>
      </c>
      <c r="E53" s="500" t="n">
        <f aca="false">IFERROR(IF(AND(INDEX('Facility Master'!X:X,MATCH(UBI_RTL1_SNo,'Facility Master'!A:A,0))&lt;=B53,INDEX('Facility Master'!X:X,MATCH(UBI_RTL1_SNo,'Facility Master'!A:A,0))&gt;B52),INDEX('Facility Master'!K:K,MATCH(UBI_RTL1_SNo,'Facility Master'!A:A,0)),0),0)</f>
        <v>0</v>
      </c>
      <c r="F53" s="500" t="n">
        <f aca="false">IFERROR(IF(B53&lt;UBI_RTL1_RepStart,0,IF(B53&gt;UBI_RTL1_Maturity,0,IF(COUNTIFS($B$5:$B53,"&gt;="&amp;UBI_RTL1_RepStart,$B$5:$B53,"&lt;="&amp;UBI_RTL1_Maturity)&lt;=8,INDEX('Facility Master'!K:K,MATCH(UBI_RTL1_SNo,'Facility Master'!A:A,0))*0.0125,IF(COUNTIFS($B$5:$B53,"&gt;="&amp;UBI_RTL1_RepStart,$B$5:$B53,"&lt;="&amp;UBI_RTL1_Maturity)&lt;=48,INDEX('Facility Master'!K:K,MATCH(UBI_RTL1_SNo,'Facility Master'!A:A,0))*0.0225,0)))),0)</f>
        <v>25.3125</v>
      </c>
      <c r="G53" s="500" t="n">
        <f aca="false">IFERROR((D53+(E53-F53)/2)*INDEX('Facility Master'!R:R,MATCH(UBI_RTL1_SNo,'Facility Master'!A:A,0))*(B53-B52)/DaysInYear,0)</f>
        <v>9.1948176369863</v>
      </c>
      <c r="H53" s="500" t="n">
        <f aca="false">IFERROR(ROUND(MAX(D53+E53-F53,0),6),0)</f>
        <v>379.6875</v>
      </c>
      <c r="I53" s="500" t="n">
        <f aca="false">IFERROR(MAX(M52,0),0)</f>
        <v>84.96</v>
      </c>
      <c r="J53" s="500" t="n">
        <f aca="false">IFERROR(IF(AND(INDEX('Facility Master'!X:X,MATCH(UBI_RTL2_SNo,'Facility Master'!A:A,0))&lt;=B53,INDEX('Facility Master'!X:X,MATCH(UBI_RTL2_SNo,'Facility Master'!A:A,0))&gt;B52),INDEX('Facility Master'!K:K,MATCH(UBI_RTL2_SNo,'Facility Master'!A:A,0)),0),0)</f>
        <v>0</v>
      </c>
      <c r="K53" s="500" t="n">
        <f aca="false">IFERROR(IF(B53&lt;UBI_RTL2_RepStart,0,IF(B53&gt;UBI_RTL2_Maturity,0,IF(COUNTIFS($B$5:$B53,"&gt;="&amp;UBI_RTL2_RepStart,$B$5:$B53,"&lt;="&amp;UBI_RTL2_Maturity)&lt;=8,INDEX('Facility Master'!K:K,MATCH(UBI_RTL2_SNo,'Facility Master'!A:A,0))*0.0125,IF(COUNTIFS($B$5:$B53,"&gt;="&amp;UBI_RTL2_RepStart,$B$5:$B53,"&lt;="&amp;UBI_RTL2_Maturity)&lt;=48,INDEX('Facility Master'!K:K,MATCH(UBI_RTL2_SNo,'Facility Master'!A:A,0))*0.0225,0)))),0)</f>
        <v>5.31</v>
      </c>
      <c r="L53" s="500" t="n">
        <f aca="false">IFERROR((I53+(J53-K53)/2)*INDEX('Facility Master'!R:R,MATCH(UBI_RTL2_SNo,'Facility Master'!A:A,0))*(B53-B52)/DaysInYear,0)</f>
        <v>1.86730878082192</v>
      </c>
      <c r="M53" s="500" t="n">
        <f aca="false">IFERROR(ROUND(MAX(I53+J53-K53,0),6),0)</f>
        <v>79.65</v>
      </c>
      <c r="N53" s="500" t="n">
        <f aca="false">IFERROR(MAX(R52,0),0)</f>
        <v>79.3125</v>
      </c>
      <c r="O53" s="500" t="n">
        <f aca="false">IFERROR(IF(AND(INDEX('Facility Master'!X:X,MATCH(IB_TL_SNo,'Facility Master'!A:A,0))&lt;=B53,INDEX('Facility Master'!X:X,MATCH(IB_TL_SNo,'Facility Master'!A:A,0))&gt;B52),INDEX('Facility Master'!K:K,MATCH(IB_TL_SNo,'Facility Master'!A:A,0)),0),0)</f>
        <v>0</v>
      </c>
      <c r="P53" s="500" t="n">
        <f aca="false">IFERROR(IF(B53&lt;IB_TL_RepStart,0,IF(B53&gt;IB_TL_Maturity,0,IF(COUNTIFS($B$5:$B53,"&gt;="&amp;IB_TL_RepStart,$B$5:$B53,"&lt;="&amp;IB_TL_Maturity)&lt;=8,INDEX('Facility Master'!K:K,MATCH(IB_TL_SNo,'Facility Master'!A:A,0))*0.0125,IF(COUNTIFS($B$5:$B53,"&gt;="&amp;IB_TL_RepStart,$B$5:$B53,"&lt;="&amp;IB_TL_Maturity)&lt;=48,INDEX('Facility Master'!K:K,MATCH(IB_TL_SNo,'Facility Master'!A:A,0))*0.0225,0)))),0)</f>
        <v>5.2875</v>
      </c>
      <c r="Q53" s="500" t="n">
        <f aca="false">IFERROR((N53+(O53-P53)/2)*INDEX('Facility Master'!R:R,MATCH(IB_TL_SNo,'Facility Master'!A:A,0))*(B53-B52)/DaysInYear,0)</f>
        <v>1.79677941780822</v>
      </c>
      <c r="R53" s="500" t="n">
        <f aca="false">IFERROR(ROUND(MAX(N53+O53-P53,0),6),0)</f>
        <v>74.025</v>
      </c>
      <c r="S53" s="697" t="n">
        <f aca="false">IFERROR(MAX(W52,0),0)</f>
        <v>0</v>
      </c>
      <c r="T53" s="697" t="n">
        <f aca="false">IFERROR(IF(AND(INDEX('Facility Master'!X:X,MATCH(RBL_TL_SNo,'Facility Master'!A:A,0))&lt;=B53,INDEX('Facility Master'!X:X,MATCH(RBL_TL_SNo,'Facility Master'!A:A,0))&gt;B52),INDEX('Facility Master'!K:K,MATCH(RBL_TL_SNo,'Facility Master'!A:A,0)),0),0)</f>
        <v>0</v>
      </c>
      <c r="U53" s="697" t="n">
        <f aca="false">IFERROR(IF(AND(RBL_TL_Maturity&lt;=B53,RBL_TL_Maturity&gt;B52),INDEX('Facility Master'!K:K,MATCH(RBL_TL_SNo,'Facility Master'!A:A,0)),0),0)</f>
        <v>0</v>
      </c>
      <c r="V53" s="697" t="n">
        <f aca="false">IFERROR((S53+(T53-U53)/2)*INDEX('Facility Master'!R:R,MATCH(RBL_TL_SNo,'Facility Master'!A:A,0))*(B53-B52)/DaysInYear,0)</f>
        <v>0</v>
      </c>
      <c r="W53" s="697" t="n">
        <f aca="false">IFERROR(ROUND(MAX(S53+T53-U53,0),6),0)</f>
        <v>0</v>
      </c>
      <c r="X53" s="500" t="n">
        <f aca="false">IFERROR(MAX(AB52,0),0)</f>
        <v>234</v>
      </c>
      <c r="Y53" s="500" t="n">
        <f aca="false">IFERROR(IF(AND(INDEX('Facility Master'!X:X,MATCH(YBL_TL_SNo,'Facility Master'!A:A,0))&lt;=B53,INDEX('Facility Master'!X:X,MATCH(YBL_TL_SNo,'Facility Master'!A:A,0))&gt;B52),INDEX('Facility Master'!K:K,MATCH(YBL_TL_SNo,'Facility Master'!A:A,0)),0),0)</f>
        <v>0</v>
      </c>
      <c r="Z53" s="500" t="n">
        <f aca="false">IFERROR(IF(B53&lt;YBL_TL_RepStart,0,IF(B53&gt;YBL_TL_Maturity,0,IF(COUNTIFS($B$5:$B53,"&gt;="&amp;YBL_TL_RepStart,$B$5:$B53,"&lt;="&amp;YBL_TL_Maturity)&lt;=8,INDEX('Facility Master'!K:K,MATCH(YBL_TL_SNo,'Facility Master'!A:A,0))*0.0125,IF(COUNTIFS($B$5:$B53,"&gt;="&amp;YBL_TL_RepStart,$B$5:$B53,"&lt;="&amp;YBL_TL_Maturity)&lt;=48,INDEX('Facility Master'!K:K,MATCH(YBL_TL_SNo,'Facility Master'!A:A,0))*0.0225,0)))),0)</f>
        <v>14.625</v>
      </c>
      <c r="AA53" s="500" t="n">
        <f aca="false">IFERROR((X53+(Y53-Z53)/2)*INDEX('Facility Master'!R:R,MATCH(YBL_TL_SNo,'Facility Master'!A:A,0))*(B53-B52)/DaysInYear,0)</f>
        <v>5.39733621575343</v>
      </c>
      <c r="AB53" s="500" t="n">
        <f aca="false">IFERROR(ROUND(MAX(X53+Y53-Z53,0),6),0)</f>
        <v>219.375</v>
      </c>
      <c r="AC53" s="500" t="n">
        <f aca="false">IFERROR(MAX(AG52,0),0)</f>
        <v>190.8</v>
      </c>
      <c r="AD53" s="500" t="n">
        <f aca="false">IFERROR(IF(AND(INDEX('Facility Master'!X:X,MATCH(IDFC_TL_SNo,'Facility Master'!A:A,0))&lt;=B53,INDEX('Facility Master'!X:X,MATCH(IDFC_TL_SNo,'Facility Master'!A:A,0))&gt;B52),INDEX('Facility Master'!K:K,MATCH(IDFC_TL_SNo,'Facility Master'!A:A,0)),0),0)</f>
        <v>0</v>
      </c>
      <c r="AE53" s="500" t="n">
        <f aca="false">IFERROR(IF(B53&lt;IDFC_TL_RepStart,0,IF(B53&gt;IDFC_TL_Maturity,0,IF(COUNTIFS($B$5:$B53,"&gt;="&amp;IDFC_TL_RepStart,$B$5:$B53,"&lt;="&amp;IDFC_TL_Maturity)&lt;=8,INDEX('Facility Master'!K:K,MATCH(IDFC_TL_SNo,'Facility Master'!A:A,0))*0.0125,IF(COUNTIFS($B$5:$B53,"&gt;="&amp;IDFC_TL_RepStart,$B$5:$B53,"&lt;="&amp;IDFC_TL_Maturity)&lt;=48,INDEX('Facility Master'!K:K,MATCH(IDFC_TL_SNo,'Facility Master'!A:A,0))*0.0225,0)))),0)</f>
        <v>11.925</v>
      </c>
      <c r="AF53" s="500" t="n">
        <f aca="false">IFERROR((AC53+(AD53-AE53)/2)*INDEX('Facility Master'!R:R,MATCH(IDFC_TL_SNo,'Facility Master'!A:A,0))*(B53-B52)/DaysInYear,0)</f>
        <v>4.05528410958904</v>
      </c>
      <c r="AG53" s="500" t="n">
        <f aca="false">IFERROR(ROUND(MAX(AC53+AD53-AE53,0),6),0)</f>
        <v>178.875</v>
      </c>
      <c r="AH53" s="698" t="n">
        <f aca="false">IFERROR(MAX(AL52,0),0)</f>
        <v>302.4</v>
      </c>
      <c r="AI53" s="698" t="n">
        <f aca="false">IFERROR(IF(AND(INDEX('Facility Master'!X:X,MATCH(ICICI_TL_SNo,'Facility Master'!A:A,0))&lt;=B53,INDEX('Facility Master'!X:X,MATCH(ICICI_TL_SNo,'Facility Master'!A:A,0))&gt;B52),INDEX('Facility Master'!K:K,MATCH(ICICI_TL_SNo,'Facility Master'!A:A,0)),0),0)</f>
        <v>0</v>
      </c>
      <c r="AJ53" s="698" t="n">
        <f aca="false">IFERROR(IF(B53&lt;ICICI_TL_RepStart,0,IF(B53&gt;ICICI_TL_Maturity,0,IF(COUNTIFS($B$5:$B53,"&gt;="&amp;ICICI_TL_RepStart,$B$5:$B53,"&lt;="&amp;ICICI_TL_Maturity)&lt;=8,INDEX('Facility Master'!K:K,MATCH(ICICI_TL_SNo,'Facility Master'!A:A,0))*0.0125,IF(COUNTIFS($B$5:$B53,"&gt;="&amp;ICICI_TL_RepStart,$B$5:$B53,"&lt;="&amp;ICICI_TL_Maturity)&lt;=48,INDEX('Facility Master'!K:K,MATCH(ICICI_TL_SNo,'Facility Master'!A:A,0))*0.0225,0)))),0)</f>
        <v>18.9</v>
      </c>
      <c r="AK53" s="698" t="n">
        <f aca="false">IFERROR((AH53+(AI53-AJ53)/2)*INDEX('Facility Master'!R:R,MATCH(ICICI_TL_SNo,'Facility Master'!A:A,0))*(B53-B52)/DaysInYear,0)</f>
        <v>6.35420589041096</v>
      </c>
      <c r="AL53" s="698" t="n">
        <f aca="false">IFERROR(ROUND(MAX(AH53+AI53-AJ53,0),6),0)</f>
        <v>283.5</v>
      </c>
      <c r="AM53" s="500" t="n">
        <f aca="false">F53+K53+P53+Z53+AE53+AJ53</f>
        <v>81.36</v>
      </c>
      <c r="AN53" s="500" t="n">
        <f aca="false">G53+L53+Q53+AA53+AF53+AK53</f>
        <v>28.6657320513699</v>
      </c>
      <c r="AO53" s="500" t="n">
        <f aca="false">AM53+AN53</f>
        <v>110.02573205137</v>
      </c>
      <c r="AP53" s="500" t="n">
        <f aca="false">H53+M53+R53+AB53+AG53+AL53</f>
        <v>1215.1125</v>
      </c>
    </row>
    <row r="54" customFormat="false" ht="15.75" hidden="false" customHeight="true" outlineLevel="0" collapsed="false">
      <c r="A54" s="699" t="n">
        <v>50</v>
      </c>
      <c r="B54" s="700" t="n">
        <v>49582</v>
      </c>
      <c r="C54" s="699" t="s">
        <v>714</v>
      </c>
      <c r="D54" s="701" t="n">
        <f aca="false">IFERROR(MAX(H53,0),0)</f>
        <v>379.6875</v>
      </c>
      <c r="E54" s="701" t="n">
        <f aca="false">IFERROR(IF(AND(INDEX('Facility Master'!X:X,MATCH(UBI_RTL1_SNo,'Facility Master'!A:A,0))&lt;=B54,INDEX('Facility Master'!X:X,MATCH(UBI_RTL1_SNo,'Facility Master'!A:A,0))&gt;B53),INDEX('Facility Master'!K:K,MATCH(UBI_RTL1_SNo,'Facility Master'!A:A,0)),0),0)</f>
        <v>0</v>
      </c>
      <c r="F54" s="701" t="n">
        <f aca="false">IFERROR(IF(B54&lt;UBI_RTL1_RepStart,0,IF(B54&gt;UBI_RTL1_Maturity,0,IF(COUNTIFS($B$5:$B54,"&gt;="&amp;UBI_RTL1_RepStart,$B$5:$B54,"&lt;="&amp;UBI_RTL1_Maturity)&lt;=8,INDEX('Facility Master'!K:K,MATCH(UBI_RTL1_SNo,'Facility Master'!A:A,0))*0.0125,IF(COUNTIFS($B$5:$B54,"&gt;="&amp;UBI_RTL1_RepStart,$B$5:$B54,"&lt;="&amp;UBI_RTL1_Maturity)&lt;=48,INDEX('Facility Master'!K:K,MATCH(UBI_RTL1_SNo,'Facility Master'!A:A,0))*0.0225,0)))),0)</f>
        <v>25.3125</v>
      </c>
      <c r="G54" s="701" t="n">
        <f aca="false">IFERROR((D54+(E54-F54)/2)*INDEX('Facility Master'!R:R,MATCH(UBI_RTL1_SNo,'Facility Master'!A:A,0))*(B54-B53)/DaysInYear,0)</f>
        <v>8.69612671232877</v>
      </c>
      <c r="H54" s="701" t="n">
        <f aca="false">IFERROR(ROUND(MAX(D54+E54-F54,0),6),0)</f>
        <v>354.375</v>
      </c>
      <c r="I54" s="701" t="n">
        <f aca="false">IFERROR(MAX(M53,0),0)</f>
        <v>79.65</v>
      </c>
      <c r="J54" s="701" t="n">
        <f aca="false">IFERROR(IF(AND(INDEX('Facility Master'!X:X,MATCH(UBI_RTL2_SNo,'Facility Master'!A:A,0))&lt;=B54,INDEX('Facility Master'!X:X,MATCH(UBI_RTL2_SNo,'Facility Master'!A:A,0))&gt;B53),INDEX('Facility Master'!K:K,MATCH(UBI_RTL2_SNo,'Facility Master'!A:A,0)),0),0)</f>
        <v>0</v>
      </c>
      <c r="K54" s="701" t="n">
        <f aca="false">IFERROR(IF(B54&lt;UBI_RTL2_RepStart,0,IF(B54&gt;UBI_RTL2_Maturity,0,IF(COUNTIFS($B$5:$B54,"&gt;="&amp;UBI_RTL2_RepStart,$B$5:$B54,"&lt;="&amp;UBI_RTL2_Maturity)&lt;=8,INDEX('Facility Master'!K:K,MATCH(UBI_RTL2_SNo,'Facility Master'!A:A,0))*0.0125,IF(COUNTIFS($B$5:$B54,"&gt;="&amp;UBI_RTL2_RepStart,$B$5:$B54,"&lt;="&amp;UBI_RTL2_Maturity)&lt;=48,INDEX('Facility Master'!K:K,MATCH(UBI_RTL2_SNo,'Facility Master'!A:A,0))*0.0225,0)))),0)</f>
        <v>5.31</v>
      </c>
      <c r="L54" s="701" t="n">
        <f aca="false">IFERROR((I54+(J54-K54)/2)*INDEX('Facility Master'!R:R,MATCH(UBI_RTL2_SNo,'Facility Master'!A:A,0))*(B54-B53)/DaysInYear,0)</f>
        <v>1.76603326027397</v>
      </c>
      <c r="M54" s="701" t="n">
        <f aca="false">IFERROR(ROUND(MAX(I54+J54-K54,0),6),0)</f>
        <v>74.34</v>
      </c>
      <c r="N54" s="701" t="n">
        <f aca="false">IFERROR(MAX(R53,0),0)</f>
        <v>74.025</v>
      </c>
      <c r="O54" s="701" t="n">
        <f aca="false">IFERROR(IF(AND(INDEX('Facility Master'!X:X,MATCH(IB_TL_SNo,'Facility Master'!A:A,0))&lt;=B54,INDEX('Facility Master'!X:X,MATCH(IB_TL_SNo,'Facility Master'!A:A,0))&gt;B53),INDEX('Facility Master'!K:K,MATCH(IB_TL_SNo,'Facility Master'!A:A,0)),0),0)</f>
        <v>0</v>
      </c>
      <c r="P54" s="701" t="n">
        <f aca="false">IFERROR(IF(B54&lt;IB_TL_RepStart,0,IF(B54&gt;IB_TL_Maturity,0,IF(COUNTIFS($B$5:$B54,"&gt;="&amp;IB_TL_RepStart,$B$5:$B54,"&lt;="&amp;IB_TL_Maturity)&lt;=8,INDEX('Facility Master'!K:K,MATCH(IB_TL_SNo,'Facility Master'!A:A,0))*0.0125,IF(COUNTIFS($B$5:$B54,"&gt;="&amp;IB_TL_RepStart,$B$5:$B54,"&lt;="&amp;IB_TL_Maturity)&lt;=48,INDEX('Facility Master'!K:K,MATCH(IB_TL_SNo,'Facility Master'!A:A,0))*0.0225,0)))),0)</f>
        <v>5.2875</v>
      </c>
      <c r="Q54" s="701" t="n">
        <f aca="false">IFERROR((N54+(O54-P54)/2)*INDEX('Facility Master'!R:R,MATCH(IB_TL_SNo,'Facility Master'!A:A,0))*(B54-B53)/DaysInYear,0)</f>
        <v>1.69124671232877</v>
      </c>
      <c r="R54" s="701" t="n">
        <f aca="false">IFERROR(ROUND(MAX(N54+O54-P54,0),6),0)</f>
        <v>68.7375</v>
      </c>
      <c r="S54" s="702" t="n">
        <f aca="false">IFERROR(MAX(W53,0),0)</f>
        <v>0</v>
      </c>
      <c r="T54" s="702" t="n">
        <f aca="false">IFERROR(IF(AND(INDEX('Facility Master'!X:X,MATCH(RBL_TL_SNo,'Facility Master'!A:A,0))&lt;=B54,INDEX('Facility Master'!X:X,MATCH(RBL_TL_SNo,'Facility Master'!A:A,0))&gt;B53),INDEX('Facility Master'!K:K,MATCH(RBL_TL_SNo,'Facility Master'!A:A,0)),0),0)</f>
        <v>0</v>
      </c>
      <c r="U54" s="702" t="n">
        <f aca="false">IFERROR(IF(AND(RBL_TL_Maturity&lt;=B54,RBL_TL_Maturity&gt;B53),INDEX('Facility Master'!K:K,MATCH(RBL_TL_SNo,'Facility Master'!A:A,0)),0),0)</f>
        <v>0</v>
      </c>
      <c r="V54" s="702" t="n">
        <f aca="false">IFERROR((S54+(T54-U54)/2)*INDEX('Facility Master'!R:R,MATCH(RBL_TL_SNo,'Facility Master'!A:A,0))*(B54-B53)/DaysInYear,0)</f>
        <v>0</v>
      </c>
      <c r="W54" s="702" t="n">
        <f aca="false">IFERROR(ROUND(MAX(S54+T54-U54,0),6),0)</f>
        <v>0</v>
      </c>
      <c r="X54" s="701" t="n">
        <f aca="false">IFERROR(MAX(AB53,0),0)</f>
        <v>219.375</v>
      </c>
      <c r="Y54" s="701" t="n">
        <f aca="false">IFERROR(IF(AND(INDEX('Facility Master'!X:X,MATCH(YBL_TL_SNo,'Facility Master'!A:A,0))&lt;=B54,INDEX('Facility Master'!X:X,MATCH(YBL_TL_SNo,'Facility Master'!A:A,0))&gt;B53),INDEX('Facility Master'!K:K,MATCH(YBL_TL_SNo,'Facility Master'!A:A,0)),0),0)</f>
        <v>0</v>
      </c>
      <c r="Z54" s="701" t="n">
        <f aca="false">IFERROR(IF(B54&lt;YBL_TL_RepStart,0,IF(B54&gt;YBL_TL_Maturity,0,IF(COUNTIFS($B$5:$B54,"&gt;="&amp;YBL_TL_RepStart,$B$5:$B54,"&lt;="&amp;YBL_TL_Maturity)&lt;=8,INDEX('Facility Master'!K:K,MATCH(YBL_TL_SNo,'Facility Master'!A:A,0))*0.0125,IF(COUNTIFS($B$5:$B54,"&gt;="&amp;YBL_TL_RepStart,$B$5:$B54,"&lt;="&amp;YBL_TL_Maturity)&lt;=48,INDEX('Facility Master'!K:K,MATCH(YBL_TL_SNo,'Facility Master'!A:A,0))*0.0225,0)))),0)</f>
        <v>14.625</v>
      </c>
      <c r="AA54" s="701" t="n">
        <f aca="false">IFERROR((X54+(Y54-Z54)/2)*INDEX('Facility Master'!R:R,MATCH(YBL_TL_SNo,'Facility Master'!A:A,0))*(B54-B53)/DaysInYear,0)</f>
        <v>5.10460582191781</v>
      </c>
      <c r="AB54" s="701" t="n">
        <f aca="false">IFERROR(ROUND(MAX(X54+Y54-Z54,0),6),0)</f>
        <v>204.75</v>
      </c>
      <c r="AC54" s="701" t="n">
        <f aca="false">IFERROR(MAX(AG53,0),0)</f>
        <v>178.875</v>
      </c>
      <c r="AD54" s="701" t="n">
        <f aca="false">IFERROR(IF(AND(INDEX('Facility Master'!X:X,MATCH(IDFC_TL_SNo,'Facility Master'!A:A,0))&lt;=B54,INDEX('Facility Master'!X:X,MATCH(IDFC_TL_SNo,'Facility Master'!A:A,0))&gt;B53),INDEX('Facility Master'!K:K,MATCH(IDFC_TL_SNo,'Facility Master'!A:A,0)),0),0)</f>
        <v>0</v>
      </c>
      <c r="AE54" s="701" t="n">
        <f aca="false">IFERROR(IF(B54&lt;IDFC_TL_RepStart,0,IF(B54&gt;IDFC_TL_Maturity,0,IF(COUNTIFS($B$5:$B54,"&gt;="&amp;IDFC_TL_RepStart,$B$5:$B54,"&lt;="&amp;IDFC_TL_Maturity)&lt;=8,INDEX('Facility Master'!K:K,MATCH(IDFC_TL_SNo,'Facility Master'!A:A,0))*0.0125,IF(COUNTIFS($B$5:$B54,"&gt;="&amp;IDFC_TL_RepStart,$B$5:$B54,"&lt;="&amp;IDFC_TL_Maturity)&lt;=48,INDEX('Facility Master'!K:K,MATCH(IDFC_TL_SNo,'Facility Master'!A:A,0))*0.0225,0)))),0)</f>
        <v>11.925</v>
      </c>
      <c r="AF54" s="701" t="n">
        <f aca="false">IFERROR((AC54+(AD54-AE54)/2)*INDEX('Facility Master'!R:R,MATCH(IDFC_TL_SNo,'Facility Master'!A:A,0))*(B54-B53)/DaysInYear,0)</f>
        <v>3.83534136986301</v>
      </c>
      <c r="AG54" s="701" t="n">
        <f aca="false">IFERROR(ROUND(MAX(AC54+AD54-AE54,0),6),0)</f>
        <v>166.95</v>
      </c>
      <c r="AH54" s="703" t="n">
        <f aca="false">IFERROR(MAX(AL53,0),0)</f>
        <v>283.5</v>
      </c>
      <c r="AI54" s="703" t="n">
        <f aca="false">IFERROR(IF(AND(INDEX('Facility Master'!X:X,MATCH(ICICI_TL_SNo,'Facility Master'!A:A,0))&lt;=B54,INDEX('Facility Master'!X:X,MATCH(ICICI_TL_SNo,'Facility Master'!A:A,0))&gt;B53),INDEX('Facility Master'!K:K,MATCH(ICICI_TL_SNo,'Facility Master'!A:A,0)),0),0)</f>
        <v>0</v>
      </c>
      <c r="AJ54" s="703" t="n">
        <f aca="false">IFERROR(IF(B54&lt;ICICI_TL_RepStart,0,IF(B54&gt;ICICI_TL_Maturity,0,IF(COUNTIFS($B$5:$B54,"&gt;="&amp;ICICI_TL_RepStart,$B$5:$B54,"&lt;="&amp;ICICI_TL_Maturity)&lt;=8,INDEX('Facility Master'!K:K,MATCH(ICICI_TL_SNo,'Facility Master'!A:A,0))*0.0125,IF(COUNTIFS($B$5:$B54,"&gt;="&amp;ICICI_TL_RepStart,$B$5:$B54,"&lt;="&amp;ICICI_TL_Maturity)&lt;=48,INDEX('Facility Master'!K:K,MATCH(ICICI_TL_SNo,'Facility Master'!A:A,0))*0.0225,0)))),0)</f>
        <v>18.9</v>
      </c>
      <c r="AK54" s="703" t="n">
        <f aca="false">IFERROR((AH54+(AI54-AJ54)/2)*INDEX('Facility Master'!R:R,MATCH(ICICI_TL_SNo,'Facility Master'!A:A,0))*(B54-B53)/DaysInYear,0)</f>
        <v>6.00957863013699</v>
      </c>
      <c r="AL54" s="703" t="n">
        <f aca="false">IFERROR(ROUND(MAX(AH54+AI54-AJ54,0),6),0)</f>
        <v>264.6</v>
      </c>
      <c r="AM54" s="701" t="n">
        <f aca="false">F54+K54+P54+Z54+AE54+AJ54</f>
        <v>81.36</v>
      </c>
      <c r="AN54" s="701" t="n">
        <f aca="false">G54+L54+Q54+AA54+AF54+AK54</f>
        <v>27.1029325068493</v>
      </c>
      <c r="AO54" s="701" t="n">
        <f aca="false">AM54+AN54</f>
        <v>108.462932506849</v>
      </c>
      <c r="AP54" s="701" t="n">
        <f aca="false">H54+M54+R54+AB54+AG54+AL54</f>
        <v>1133.7525</v>
      </c>
    </row>
    <row r="55" customFormat="false" ht="15.75" hidden="false" customHeight="true" outlineLevel="0" collapsed="false">
      <c r="A55" s="496" t="n">
        <v>51</v>
      </c>
      <c r="B55" s="696" t="n">
        <v>49674</v>
      </c>
      <c r="C55" s="496" t="s">
        <v>715</v>
      </c>
      <c r="D55" s="500" t="n">
        <f aca="false">IFERROR(MAX(H54,0),0)</f>
        <v>354.375</v>
      </c>
      <c r="E55" s="500" t="n">
        <f aca="false">IFERROR(IF(AND(INDEX('Facility Master'!X:X,MATCH(UBI_RTL1_SNo,'Facility Master'!A:A,0))&lt;=B55,INDEX('Facility Master'!X:X,MATCH(UBI_RTL1_SNo,'Facility Master'!A:A,0))&gt;B54),INDEX('Facility Master'!K:K,MATCH(UBI_RTL1_SNo,'Facility Master'!A:A,0)),0),0)</f>
        <v>0</v>
      </c>
      <c r="F55" s="500" t="n">
        <f aca="false">IFERROR(IF(B55&lt;UBI_RTL1_RepStart,0,IF(B55&gt;UBI_RTL1_Maturity,0,IF(COUNTIFS($B$5:$B55,"&gt;="&amp;UBI_RTL1_RepStart,$B$5:$B55,"&lt;="&amp;UBI_RTL1_Maturity)&lt;=8,INDEX('Facility Master'!K:K,MATCH(UBI_RTL1_SNo,'Facility Master'!A:A,0))*0.0125,IF(COUNTIFS($B$5:$B55,"&gt;="&amp;UBI_RTL1_RepStart,$B$5:$B55,"&lt;="&amp;UBI_RTL1_Maturity)&lt;=48,INDEX('Facility Master'!K:K,MATCH(UBI_RTL1_SNo,'Facility Master'!A:A,0))*0.0225,0)))),0)</f>
        <v>25.3125</v>
      </c>
      <c r="G55" s="500" t="n">
        <f aca="false">IFERROR((D55+(E55-F55)/2)*INDEX('Facility Master'!R:R,MATCH(UBI_RTL1_SNo,'Facility Master'!A:A,0))*(B55-B54)/DaysInYear,0)</f>
        <v>8.09639383561644</v>
      </c>
      <c r="H55" s="500" t="n">
        <f aca="false">IFERROR(ROUND(MAX(D55+E55-F55,0),6),0)</f>
        <v>329.0625</v>
      </c>
      <c r="I55" s="500" t="n">
        <f aca="false">IFERROR(MAX(M54,0),0)</f>
        <v>74.34</v>
      </c>
      <c r="J55" s="500" t="n">
        <f aca="false">IFERROR(IF(AND(INDEX('Facility Master'!X:X,MATCH(UBI_RTL2_SNo,'Facility Master'!A:A,0))&lt;=B55,INDEX('Facility Master'!X:X,MATCH(UBI_RTL2_SNo,'Facility Master'!A:A,0))&gt;B54),INDEX('Facility Master'!K:K,MATCH(UBI_RTL2_SNo,'Facility Master'!A:A,0)),0),0)</f>
        <v>0</v>
      </c>
      <c r="K55" s="500" t="n">
        <f aca="false">IFERROR(IF(B55&lt;UBI_RTL2_RepStart,0,IF(B55&gt;UBI_RTL2_Maturity,0,IF(COUNTIFS($B$5:$B55,"&gt;="&amp;UBI_RTL2_RepStart,$B$5:$B55,"&lt;="&amp;UBI_RTL2_Maturity)&lt;=8,INDEX('Facility Master'!K:K,MATCH(UBI_RTL2_SNo,'Facility Master'!A:A,0))*0.0125,IF(COUNTIFS($B$5:$B55,"&gt;="&amp;UBI_RTL2_RepStart,$B$5:$B55,"&lt;="&amp;UBI_RTL2_Maturity)&lt;=48,INDEX('Facility Master'!K:K,MATCH(UBI_RTL2_SNo,'Facility Master'!A:A,0))*0.0225,0)))),0)</f>
        <v>5.31</v>
      </c>
      <c r="L55" s="500" t="n">
        <f aca="false">IFERROR((I55+(J55-K55)/2)*INDEX('Facility Master'!R:R,MATCH(UBI_RTL2_SNo,'Facility Master'!A:A,0))*(B55-B54)/DaysInYear,0)</f>
        <v>1.6442378630137</v>
      </c>
      <c r="M55" s="500" t="n">
        <f aca="false">IFERROR(ROUND(MAX(I55+J55-K55,0),6),0)</f>
        <v>69.03</v>
      </c>
      <c r="N55" s="500" t="n">
        <f aca="false">IFERROR(MAX(R54,0),0)</f>
        <v>68.7375</v>
      </c>
      <c r="O55" s="500" t="n">
        <f aca="false">IFERROR(IF(AND(INDEX('Facility Master'!X:X,MATCH(IB_TL_SNo,'Facility Master'!A:A,0))&lt;=B55,INDEX('Facility Master'!X:X,MATCH(IB_TL_SNo,'Facility Master'!A:A,0))&gt;B54),INDEX('Facility Master'!K:K,MATCH(IB_TL_SNo,'Facility Master'!A:A,0)),0),0)</f>
        <v>0</v>
      </c>
      <c r="P55" s="500" t="n">
        <f aca="false">IFERROR(IF(B55&lt;IB_TL_RepStart,0,IF(B55&gt;IB_TL_Maturity,0,IF(COUNTIFS($B$5:$B55,"&gt;="&amp;IB_TL_RepStart,$B$5:$B55,"&lt;="&amp;IB_TL_Maturity)&lt;=8,INDEX('Facility Master'!K:K,MATCH(IB_TL_SNo,'Facility Master'!A:A,0))*0.0125,IF(COUNTIFS($B$5:$B55,"&gt;="&amp;IB_TL_RepStart,$B$5:$B55,"&lt;="&amp;IB_TL_Maturity)&lt;=48,INDEX('Facility Master'!K:K,MATCH(IB_TL_SNo,'Facility Master'!A:A,0))*0.0225,0)))),0)</f>
        <v>5.2875</v>
      </c>
      <c r="Q55" s="500" t="n">
        <f aca="false">IFERROR((N55+(O55-P55)/2)*INDEX('Facility Master'!R:R,MATCH(IB_TL_SNo,'Facility Master'!A:A,0))*(B55-B54)/DaysInYear,0)</f>
        <v>1.56596917808219</v>
      </c>
      <c r="R55" s="500" t="n">
        <f aca="false">IFERROR(ROUND(MAX(N55+O55-P55,0),6),0)</f>
        <v>63.45</v>
      </c>
      <c r="S55" s="697" t="n">
        <f aca="false">IFERROR(MAX(W54,0),0)</f>
        <v>0</v>
      </c>
      <c r="T55" s="697" t="n">
        <f aca="false">IFERROR(IF(AND(INDEX('Facility Master'!X:X,MATCH(RBL_TL_SNo,'Facility Master'!A:A,0))&lt;=B55,INDEX('Facility Master'!X:X,MATCH(RBL_TL_SNo,'Facility Master'!A:A,0))&gt;B54),INDEX('Facility Master'!K:K,MATCH(RBL_TL_SNo,'Facility Master'!A:A,0)),0),0)</f>
        <v>0</v>
      </c>
      <c r="U55" s="697" t="n">
        <f aca="false">IFERROR(IF(AND(RBL_TL_Maturity&lt;=B55,RBL_TL_Maturity&gt;B54),INDEX('Facility Master'!K:K,MATCH(RBL_TL_SNo,'Facility Master'!A:A,0)),0),0)</f>
        <v>0</v>
      </c>
      <c r="V55" s="697" t="n">
        <f aca="false">IFERROR((S55+(T55-U55)/2)*INDEX('Facility Master'!R:R,MATCH(RBL_TL_SNo,'Facility Master'!A:A,0))*(B55-B54)/DaysInYear,0)</f>
        <v>0</v>
      </c>
      <c r="W55" s="697" t="n">
        <f aca="false">IFERROR(ROUND(MAX(S55+T55-U55,0),6),0)</f>
        <v>0</v>
      </c>
      <c r="X55" s="500" t="n">
        <f aca="false">IFERROR(MAX(AB54,0),0)</f>
        <v>204.75</v>
      </c>
      <c r="Y55" s="500" t="n">
        <f aca="false">IFERROR(IF(AND(INDEX('Facility Master'!X:X,MATCH(YBL_TL_SNo,'Facility Master'!A:A,0))&lt;=B55,INDEX('Facility Master'!X:X,MATCH(YBL_TL_SNo,'Facility Master'!A:A,0))&gt;B54),INDEX('Facility Master'!K:K,MATCH(YBL_TL_SNo,'Facility Master'!A:A,0)),0),0)</f>
        <v>0</v>
      </c>
      <c r="Z55" s="500" t="n">
        <f aca="false">IFERROR(IF(B55&lt;YBL_TL_RepStart,0,IF(B55&gt;YBL_TL_Maturity,0,IF(COUNTIFS($B$5:$B55,"&gt;="&amp;YBL_TL_RepStart,$B$5:$B55,"&lt;="&amp;YBL_TL_Maturity)&lt;=8,INDEX('Facility Master'!K:K,MATCH(YBL_TL_SNo,'Facility Master'!A:A,0))*0.0125,IF(COUNTIFS($B$5:$B55,"&gt;="&amp;YBL_TL_RepStart,$B$5:$B55,"&lt;="&amp;YBL_TL_Maturity)&lt;=48,INDEX('Facility Master'!K:K,MATCH(YBL_TL_SNo,'Facility Master'!A:A,0))*0.0225,0)))),0)</f>
        <v>14.625</v>
      </c>
      <c r="AA55" s="500" t="n">
        <f aca="false">IFERROR((X55+(Y55-Z55)/2)*INDEX('Facility Master'!R:R,MATCH(YBL_TL_SNo,'Facility Master'!A:A,0))*(B55-B54)/DaysInYear,0)</f>
        <v>4.75256404109589</v>
      </c>
      <c r="AB55" s="500" t="n">
        <f aca="false">IFERROR(ROUND(MAX(X55+Y55-Z55,0),6),0)</f>
        <v>190.125</v>
      </c>
      <c r="AC55" s="500" t="n">
        <f aca="false">IFERROR(MAX(AG54,0),0)</f>
        <v>166.95</v>
      </c>
      <c r="AD55" s="500" t="n">
        <f aca="false">IFERROR(IF(AND(INDEX('Facility Master'!X:X,MATCH(IDFC_TL_SNo,'Facility Master'!A:A,0))&lt;=B55,INDEX('Facility Master'!X:X,MATCH(IDFC_TL_SNo,'Facility Master'!A:A,0))&gt;B54),INDEX('Facility Master'!K:K,MATCH(IDFC_TL_SNo,'Facility Master'!A:A,0)),0),0)</f>
        <v>0</v>
      </c>
      <c r="AE55" s="500" t="n">
        <f aca="false">IFERROR(IF(B55&lt;IDFC_TL_RepStart,0,IF(B55&gt;IDFC_TL_Maturity,0,IF(COUNTIFS($B$5:$B55,"&gt;="&amp;IDFC_TL_RepStart,$B$5:$B55,"&lt;="&amp;IDFC_TL_Maturity)&lt;=8,INDEX('Facility Master'!K:K,MATCH(IDFC_TL_SNo,'Facility Master'!A:A,0))*0.0125,IF(COUNTIFS($B$5:$B55,"&gt;="&amp;IDFC_TL_RepStart,$B$5:$B55,"&lt;="&amp;IDFC_TL_Maturity)&lt;=48,INDEX('Facility Master'!K:K,MATCH(IDFC_TL_SNo,'Facility Master'!A:A,0))*0.0225,0)))),0)</f>
        <v>11.925</v>
      </c>
      <c r="AF55" s="500" t="n">
        <f aca="false">IFERROR((AC55+(AD55-AE55)/2)*INDEX('Facility Master'!R:R,MATCH(IDFC_TL_SNo,'Facility Master'!A:A,0))*(B55-B54)/DaysInYear,0)</f>
        <v>3.57083506849315</v>
      </c>
      <c r="AG55" s="500" t="n">
        <f aca="false">IFERROR(ROUND(MAX(AC55+AD55-AE55,0),6),0)</f>
        <v>155.025</v>
      </c>
      <c r="AH55" s="698" t="n">
        <f aca="false">IFERROR(MAX(AL54,0),0)</f>
        <v>264.6</v>
      </c>
      <c r="AI55" s="698" t="n">
        <f aca="false">IFERROR(IF(AND(INDEX('Facility Master'!X:X,MATCH(ICICI_TL_SNo,'Facility Master'!A:A,0))&lt;=B55,INDEX('Facility Master'!X:X,MATCH(ICICI_TL_SNo,'Facility Master'!A:A,0))&gt;B54),INDEX('Facility Master'!K:K,MATCH(ICICI_TL_SNo,'Facility Master'!A:A,0)),0),0)</f>
        <v>0</v>
      </c>
      <c r="AJ55" s="698" t="n">
        <f aca="false">IFERROR(IF(B55&lt;ICICI_TL_RepStart,0,IF(B55&gt;ICICI_TL_Maturity,0,IF(COUNTIFS($B$5:$B55,"&gt;="&amp;ICICI_TL_RepStart,$B$5:$B55,"&lt;="&amp;ICICI_TL_Maturity)&lt;=8,INDEX('Facility Master'!K:K,MATCH(ICICI_TL_SNo,'Facility Master'!A:A,0))*0.0125,IF(COUNTIFS($B$5:$B55,"&gt;="&amp;ICICI_TL_RepStart,$B$5:$B55,"&lt;="&amp;ICICI_TL_Maturity)&lt;=48,INDEX('Facility Master'!K:K,MATCH(ICICI_TL_SNo,'Facility Master'!A:A,0))*0.0225,0)))),0)</f>
        <v>18.9</v>
      </c>
      <c r="AK55" s="698" t="n">
        <f aca="false">IFERROR((AH55+(AI55-AJ55)/2)*INDEX('Facility Master'!R:R,MATCH(ICICI_TL_SNo,'Facility Master'!A:A,0))*(B55-B54)/DaysInYear,0)</f>
        <v>5.59512493150685</v>
      </c>
      <c r="AL55" s="698" t="n">
        <f aca="false">IFERROR(ROUND(MAX(AH55+AI55-AJ55,0),6),0)</f>
        <v>245.7</v>
      </c>
      <c r="AM55" s="500" t="n">
        <f aca="false">F55+K55+P55+Z55+AE55+AJ55</f>
        <v>81.36</v>
      </c>
      <c r="AN55" s="500" t="n">
        <f aca="false">G55+L55+Q55+AA55+AF55+AK55</f>
        <v>25.2251249178082</v>
      </c>
      <c r="AO55" s="500" t="n">
        <f aca="false">AM55+AN55</f>
        <v>106.585124917808</v>
      </c>
      <c r="AP55" s="500" t="n">
        <f aca="false">H55+M55+R55+AB55+AG55+AL55</f>
        <v>1052.3925</v>
      </c>
    </row>
    <row r="56" customFormat="false" ht="15.75" hidden="false" customHeight="true" outlineLevel="0" collapsed="false">
      <c r="A56" s="699" t="n">
        <v>52</v>
      </c>
      <c r="B56" s="700" t="n">
        <v>49765</v>
      </c>
      <c r="C56" s="699" t="s">
        <v>716</v>
      </c>
      <c r="D56" s="701" t="n">
        <f aca="false">IFERROR(MAX(H55,0),0)</f>
        <v>329.0625</v>
      </c>
      <c r="E56" s="701" t="n">
        <f aca="false">IFERROR(IF(AND(INDEX('Facility Master'!X:X,MATCH(UBI_RTL1_SNo,'Facility Master'!A:A,0))&lt;=B56,INDEX('Facility Master'!X:X,MATCH(UBI_RTL1_SNo,'Facility Master'!A:A,0))&gt;B55),INDEX('Facility Master'!K:K,MATCH(UBI_RTL1_SNo,'Facility Master'!A:A,0)),0),0)</f>
        <v>0</v>
      </c>
      <c r="F56" s="701" t="n">
        <f aca="false">IFERROR(IF(B56&lt;UBI_RTL1_RepStart,0,IF(B56&gt;UBI_RTL1_Maturity,0,IF(COUNTIFS($B$5:$B56,"&gt;="&amp;UBI_RTL1_RepStart,$B$5:$B56,"&lt;="&amp;UBI_RTL1_Maturity)&lt;=8,INDEX('Facility Master'!K:K,MATCH(UBI_RTL1_SNo,'Facility Master'!A:A,0))*0.0125,IF(COUNTIFS($B$5:$B56,"&gt;="&amp;UBI_RTL1_RepStart,$B$5:$B56,"&lt;="&amp;UBI_RTL1_Maturity)&lt;=48,INDEX('Facility Master'!K:K,MATCH(UBI_RTL1_SNo,'Facility Master'!A:A,0))*0.0225,0)))),0)</f>
        <v>25.3125</v>
      </c>
      <c r="G56" s="701" t="n">
        <f aca="false">IFERROR((D56+(E56-F56)/2)*INDEX('Facility Master'!R:R,MATCH(UBI_RTL1_SNo,'Facility Master'!A:A,0))*(B56-B55)/DaysInYear,0)</f>
        <v>7.41517551369863</v>
      </c>
      <c r="H56" s="701" t="n">
        <f aca="false">IFERROR(ROUND(MAX(D56+E56-F56,0),6),0)</f>
        <v>303.75</v>
      </c>
      <c r="I56" s="701" t="n">
        <f aca="false">IFERROR(MAX(M55,0),0)</f>
        <v>69.03</v>
      </c>
      <c r="J56" s="701" t="n">
        <f aca="false">IFERROR(IF(AND(INDEX('Facility Master'!X:X,MATCH(UBI_RTL2_SNo,'Facility Master'!A:A,0))&lt;=B56,INDEX('Facility Master'!X:X,MATCH(UBI_RTL2_SNo,'Facility Master'!A:A,0))&gt;B55),INDEX('Facility Master'!K:K,MATCH(UBI_RTL2_SNo,'Facility Master'!A:A,0)),0),0)</f>
        <v>0</v>
      </c>
      <c r="K56" s="701" t="n">
        <f aca="false">IFERROR(IF(B56&lt;UBI_RTL2_RepStart,0,IF(B56&gt;UBI_RTL2_Maturity,0,IF(COUNTIFS($B$5:$B56,"&gt;="&amp;UBI_RTL2_RepStart,$B$5:$B56,"&lt;="&amp;UBI_RTL2_Maturity)&lt;=8,INDEX('Facility Master'!K:K,MATCH(UBI_RTL2_SNo,'Facility Master'!A:A,0))*0.0125,IF(COUNTIFS($B$5:$B56,"&gt;="&amp;UBI_RTL2_RepStart,$B$5:$B56,"&lt;="&amp;UBI_RTL2_Maturity)&lt;=48,INDEX('Facility Master'!K:K,MATCH(UBI_RTL2_SNo,'Facility Master'!A:A,0))*0.0225,0)))),0)</f>
        <v>5.31</v>
      </c>
      <c r="L56" s="701" t="n">
        <f aca="false">IFERROR((I56+(J56-K56)/2)*INDEX('Facility Master'!R:R,MATCH(UBI_RTL2_SNo,'Facility Master'!A:A,0))*(B56-B55)/DaysInYear,0)</f>
        <v>1.50589417808219</v>
      </c>
      <c r="M56" s="701" t="n">
        <f aca="false">IFERROR(ROUND(MAX(I56+J56-K56,0),6),0)</f>
        <v>63.72</v>
      </c>
      <c r="N56" s="701" t="n">
        <f aca="false">IFERROR(MAX(R55,0),0)</f>
        <v>63.45</v>
      </c>
      <c r="O56" s="701" t="n">
        <f aca="false">IFERROR(IF(AND(INDEX('Facility Master'!X:X,MATCH(IB_TL_SNo,'Facility Master'!A:A,0))&lt;=B56,INDEX('Facility Master'!X:X,MATCH(IB_TL_SNo,'Facility Master'!A:A,0))&gt;B55),INDEX('Facility Master'!K:K,MATCH(IB_TL_SNo,'Facility Master'!A:A,0)),0),0)</f>
        <v>0</v>
      </c>
      <c r="P56" s="701" t="n">
        <f aca="false">IFERROR(IF(B56&lt;IB_TL_RepStart,0,IF(B56&gt;IB_TL_Maturity,0,IF(COUNTIFS($B$5:$B56,"&gt;="&amp;IB_TL_RepStart,$B$5:$B56,"&lt;="&amp;IB_TL_Maturity)&lt;=8,INDEX('Facility Master'!K:K,MATCH(IB_TL_SNo,'Facility Master'!A:A,0))*0.0125,IF(COUNTIFS($B$5:$B56,"&gt;="&amp;IB_TL_RepStart,$B$5:$B56,"&lt;="&amp;IB_TL_Maturity)&lt;=48,INDEX('Facility Master'!K:K,MATCH(IB_TL_SNo,'Facility Master'!A:A,0))*0.0225,0)))),0)</f>
        <v>5.2875</v>
      </c>
      <c r="Q56" s="701" t="n">
        <f aca="false">IFERROR((N56+(O56-P56)/2)*INDEX('Facility Master'!R:R,MATCH(IB_TL_SNo,'Facility Master'!A:A,0))*(B56-B55)/DaysInYear,0)</f>
        <v>1.42503195205479</v>
      </c>
      <c r="R56" s="701" t="n">
        <f aca="false">IFERROR(ROUND(MAX(N56+O56-P56,0),6),0)</f>
        <v>58.1625</v>
      </c>
      <c r="S56" s="702" t="n">
        <f aca="false">IFERROR(MAX(W55,0),0)</f>
        <v>0</v>
      </c>
      <c r="T56" s="702" t="n">
        <f aca="false">IFERROR(IF(AND(INDEX('Facility Master'!X:X,MATCH(RBL_TL_SNo,'Facility Master'!A:A,0))&lt;=B56,INDEX('Facility Master'!X:X,MATCH(RBL_TL_SNo,'Facility Master'!A:A,0))&gt;B55),INDEX('Facility Master'!K:K,MATCH(RBL_TL_SNo,'Facility Master'!A:A,0)),0),0)</f>
        <v>0</v>
      </c>
      <c r="U56" s="702" t="n">
        <f aca="false">IFERROR(IF(AND(RBL_TL_Maturity&lt;=B56,RBL_TL_Maturity&gt;B55),INDEX('Facility Master'!K:K,MATCH(RBL_TL_SNo,'Facility Master'!A:A,0)),0),0)</f>
        <v>0</v>
      </c>
      <c r="V56" s="702" t="n">
        <f aca="false">IFERROR((S56+(T56-U56)/2)*INDEX('Facility Master'!R:R,MATCH(RBL_TL_SNo,'Facility Master'!A:A,0))*(B56-B55)/DaysInYear,0)</f>
        <v>0</v>
      </c>
      <c r="W56" s="702" t="n">
        <f aca="false">IFERROR(ROUND(MAX(S56+T56-U56,0),6),0)</f>
        <v>0</v>
      </c>
      <c r="X56" s="701" t="n">
        <f aca="false">IFERROR(MAX(AB55,0),0)</f>
        <v>190.125</v>
      </c>
      <c r="Y56" s="701" t="n">
        <f aca="false">IFERROR(IF(AND(INDEX('Facility Master'!X:X,MATCH(YBL_TL_SNo,'Facility Master'!A:A,0))&lt;=B56,INDEX('Facility Master'!X:X,MATCH(YBL_TL_SNo,'Facility Master'!A:A,0))&gt;B55),INDEX('Facility Master'!K:K,MATCH(YBL_TL_SNo,'Facility Master'!A:A,0)),0),0)</f>
        <v>0</v>
      </c>
      <c r="Z56" s="701" t="n">
        <f aca="false">IFERROR(IF(B56&lt;YBL_TL_RepStart,0,IF(B56&gt;YBL_TL_Maturity,0,IF(COUNTIFS($B$5:$B56,"&gt;="&amp;YBL_TL_RepStart,$B$5:$B56,"&lt;="&amp;YBL_TL_Maturity)&lt;=8,INDEX('Facility Master'!K:K,MATCH(YBL_TL_SNo,'Facility Master'!A:A,0))*0.0125,IF(COUNTIFS($B$5:$B56,"&gt;="&amp;YBL_TL_RepStart,$B$5:$B56,"&lt;="&amp;YBL_TL_Maturity)&lt;=48,INDEX('Facility Master'!K:K,MATCH(YBL_TL_SNo,'Facility Master'!A:A,0))*0.0225,0)))),0)</f>
        <v>14.625</v>
      </c>
      <c r="AA56" s="701" t="n">
        <f aca="false">IFERROR((X56+(Y56-Z56)/2)*INDEX('Facility Master'!R:R,MATCH(YBL_TL_SNo,'Facility Master'!A:A,0))*(B56-B55)/DaysInYear,0)</f>
        <v>4.35269049657534</v>
      </c>
      <c r="AB56" s="701" t="n">
        <f aca="false">IFERROR(ROUND(MAX(X56+Y56-Z56,0),6),0)</f>
        <v>175.5</v>
      </c>
      <c r="AC56" s="701" t="n">
        <f aca="false">IFERROR(MAX(AG55,0),0)</f>
        <v>155.025</v>
      </c>
      <c r="AD56" s="701" t="n">
        <f aca="false">IFERROR(IF(AND(INDEX('Facility Master'!X:X,MATCH(IDFC_TL_SNo,'Facility Master'!A:A,0))&lt;=B56,INDEX('Facility Master'!X:X,MATCH(IDFC_TL_SNo,'Facility Master'!A:A,0))&gt;B55),INDEX('Facility Master'!K:K,MATCH(IDFC_TL_SNo,'Facility Master'!A:A,0)),0),0)</f>
        <v>0</v>
      </c>
      <c r="AE56" s="701" t="n">
        <f aca="false">IFERROR(IF(B56&lt;IDFC_TL_RepStart,0,IF(B56&gt;IDFC_TL_Maturity,0,IF(COUNTIFS($B$5:$B56,"&gt;="&amp;IDFC_TL_RepStart,$B$5:$B56,"&lt;="&amp;IDFC_TL_Maturity)&lt;=8,INDEX('Facility Master'!K:K,MATCH(IDFC_TL_SNo,'Facility Master'!A:A,0))*0.0125,IF(COUNTIFS($B$5:$B56,"&gt;="&amp;IDFC_TL_RepStart,$B$5:$B56,"&lt;="&amp;IDFC_TL_Maturity)&lt;=48,INDEX('Facility Master'!K:K,MATCH(IDFC_TL_SNo,'Facility Master'!A:A,0))*0.0225,0)))),0)</f>
        <v>11.925</v>
      </c>
      <c r="AF56" s="701" t="n">
        <f aca="false">IFERROR((AC56+(AD56-AE56)/2)*INDEX('Facility Master'!R:R,MATCH(IDFC_TL_SNo,'Facility Master'!A:A,0))*(B56-B55)/DaysInYear,0)</f>
        <v>3.2703904109589</v>
      </c>
      <c r="AG56" s="701" t="n">
        <f aca="false">IFERROR(ROUND(MAX(AC56+AD56-AE56,0),6),0)</f>
        <v>143.1</v>
      </c>
      <c r="AH56" s="703" t="n">
        <f aca="false">IFERROR(MAX(AL55,0),0)</f>
        <v>245.7</v>
      </c>
      <c r="AI56" s="703" t="n">
        <f aca="false">IFERROR(IF(AND(INDEX('Facility Master'!X:X,MATCH(ICICI_TL_SNo,'Facility Master'!A:A,0))&lt;=B56,INDEX('Facility Master'!X:X,MATCH(ICICI_TL_SNo,'Facility Master'!A:A,0))&gt;B55),INDEX('Facility Master'!K:K,MATCH(ICICI_TL_SNo,'Facility Master'!A:A,0)),0),0)</f>
        <v>0</v>
      </c>
      <c r="AJ56" s="703" t="n">
        <f aca="false">IFERROR(IF(B56&lt;ICICI_TL_RepStart,0,IF(B56&gt;ICICI_TL_Maturity,0,IF(COUNTIFS($B$5:$B56,"&gt;="&amp;ICICI_TL_RepStart,$B$5:$B56,"&lt;="&amp;ICICI_TL_Maturity)&lt;=8,INDEX('Facility Master'!K:K,MATCH(ICICI_TL_SNo,'Facility Master'!A:A,0))*0.0125,IF(COUNTIFS($B$5:$B56,"&gt;="&amp;ICICI_TL_RepStart,$B$5:$B56,"&lt;="&amp;ICICI_TL_Maturity)&lt;=48,INDEX('Facility Master'!K:K,MATCH(ICICI_TL_SNo,'Facility Master'!A:A,0))*0.0225,0)))),0)</f>
        <v>18.9</v>
      </c>
      <c r="AK56" s="703" t="n">
        <f aca="false">IFERROR((AH56+(AI56-AJ56)/2)*INDEX('Facility Master'!R:R,MATCH(ICICI_TL_SNo,'Facility Master'!A:A,0))*(B56-B55)/DaysInYear,0)</f>
        <v>5.1243595890411</v>
      </c>
      <c r="AL56" s="703" t="n">
        <f aca="false">IFERROR(ROUND(MAX(AH56+AI56-AJ56,0),6),0)</f>
        <v>226.8</v>
      </c>
      <c r="AM56" s="701" t="n">
        <f aca="false">F56+K56+P56+Z56+AE56+AJ56</f>
        <v>81.36</v>
      </c>
      <c r="AN56" s="701" t="n">
        <f aca="false">G56+L56+Q56+AA56+AF56+AK56</f>
        <v>23.093542140411</v>
      </c>
      <c r="AO56" s="701" t="n">
        <f aca="false">AM56+AN56</f>
        <v>104.453542140411</v>
      </c>
      <c r="AP56" s="701" t="n">
        <f aca="false">H56+M56+R56+AB56+AG56+AL56</f>
        <v>971.0325</v>
      </c>
    </row>
    <row r="57" customFormat="false" ht="15.75" hidden="false" customHeight="true" outlineLevel="0" collapsed="false">
      <c r="A57" s="496" t="n">
        <v>53</v>
      </c>
      <c r="B57" s="696" t="n">
        <v>49856</v>
      </c>
      <c r="C57" s="496" t="s">
        <v>717</v>
      </c>
      <c r="D57" s="500" t="n">
        <f aca="false">IFERROR(MAX(H56,0),0)</f>
        <v>303.75</v>
      </c>
      <c r="E57" s="500" t="n">
        <f aca="false">IFERROR(IF(AND(INDEX('Facility Master'!X:X,MATCH(UBI_RTL1_SNo,'Facility Master'!A:A,0))&lt;=B57,INDEX('Facility Master'!X:X,MATCH(UBI_RTL1_SNo,'Facility Master'!A:A,0))&gt;B56),INDEX('Facility Master'!K:K,MATCH(UBI_RTL1_SNo,'Facility Master'!A:A,0)),0),0)</f>
        <v>0</v>
      </c>
      <c r="F57" s="500" t="n">
        <f aca="false">IFERROR(IF(B57&lt;UBI_RTL1_RepStart,0,IF(B57&gt;UBI_RTL1_Maturity,0,IF(COUNTIFS($B$5:$B57,"&gt;="&amp;UBI_RTL1_RepStart,$B$5:$B57,"&lt;="&amp;UBI_RTL1_Maturity)&lt;=8,INDEX('Facility Master'!K:K,MATCH(UBI_RTL1_SNo,'Facility Master'!A:A,0))*0.0125,IF(COUNTIFS($B$5:$B57,"&gt;="&amp;UBI_RTL1_RepStart,$B$5:$B57,"&lt;="&amp;UBI_RTL1_Maturity)&lt;=48,INDEX('Facility Master'!K:K,MATCH(UBI_RTL1_SNo,'Facility Master'!A:A,0))*0.0225,0)))),0)</f>
        <v>25.3125</v>
      </c>
      <c r="G57" s="500" t="n">
        <f aca="false">IFERROR((D57+(E57-F57)/2)*INDEX('Facility Master'!R:R,MATCH(UBI_RTL1_SNo,'Facility Master'!A:A,0))*(B57-B56)/DaysInYear,0)</f>
        <v>6.82196147260274</v>
      </c>
      <c r="H57" s="500" t="n">
        <f aca="false">IFERROR(ROUND(MAX(D57+E57-F57,0),6),0)</f>
        <v>278.4375</v>
      </c>
      <c r="I57" s="500" t="n">
        <f aca="false">IFERROR(MAX(M56,0),0)</f>
        <v>63.72</v>
      </c>
      <c r="J57" s="500" t="n">
        <f aca="false">IFERROR(IF(AND(INDEX('Facility Master'!X:X,MATCH(UBI_RTL2_SNo,'Facility Master'!A:A,0))&lt;=B57,INDEX('Facility Master'!X:X,MATCH(UBI_RTL2_SNo,'Facility Master'!A:A,0))&gt;B56),INDEX('Facility Master'!K:K,MATCH(UBI_RTL2_SNo,'Facility Master'!A:A,0)),0),0)</f>
        <v>0</v>
      </c>
      <c r="K57" s="500" t="n">
        <f aca="false">IFERROR(IF(B57&lt;UBI_RTL2_RepStart,0,IF(B57&gt;UBI_RTL2_Maturity,0,IF(COUNTIFS($B$5:$B57,"&gt;="&amp;UBI_RTL2_RepStart,$B$5:$B57,"&lt;="&amp;UBI_RTL2_Maturity)&lt;=8,INDEX('Facility Master'!K:K,MATCH(UBI_RTL2_SNo,'Facility Master'!A:A,0))*0.0125,IF(COUNTIFS($B$5:$B57,"&gt;="&amp;UBI_RTL2_RepStart,$B$5:$B57,"&lt;="&amp;UBI_RTL2_Maturity)&lt;=48,INDEX('Facility Master'!K:K,MATCH(UBI_RTL2_SNo,'Facility Master'!A:A,0))*0.0225,0)))),0)</f>
        <v>5.31</v>
      </c>
      <c r="L57" s="500" t="n">
        <f aca="false">IFERROR((I57+(J57-K57)/2)*INDEX('Facility Master'!R:R,MATCH(UBI_RTL2_SNo,'Facility Master'!A:A,0))*(B57-B56)/DaysInYear,0)</f>
        <v>1.38542264383562</v>
      </c>
      <c r="M57" s="500" t="n">
        <f aca="false">IFERROR(ROUND(MAX(I57+J57-K57,0),6),0)</f>
        <v>58.41</v>
      </c>
      <c r="N57" s="500" t="n">
        <f aca="false">IFERROR(MAX(R56,0),0)</f>
        <v>58.1625</v>
      </c>
      <c r="O57" s="500" t="n">
        <f aca="false">IFERROR(IF(AND(INDEX('Facility Master'!X:X,MATCH(IB_TL_SNo,'Facility Master'!A:A,0))&lt;=B57,INDEX('Facility Master'!X:X,MATCH(IB_TL_SNo,'Facility Master'!A:A,0))&gt;B56),INDEX('Facility Master'!K:K,MATCH(IB_TL_SNo,'Facility Master'!A:A,0)),0),0)</f>
        <v>0</v>
      </c>
      <c r="P57" s="500" t="n">
        <f aca="false">IFERROR(IF(B57&lt;IB_TL_RepStart,0,IF(B57&gt;IB_TL_Maturity,0,IF(COUNTIFS($B$5:$B57,"&gt;="&amp;IB_TL_RepStart,$B$5:$B57,"&lt;="&amp;IB_TL_Maturity)&lt;=8,INDEX('Facility Master'!K:K,MATCH(IB_TL_SNo,'Facility Master'!A:A,0))*0.0125,IF(COUNTIFS($B$5:$B57,"&gt;="&amp;IB_TL_RepStart,$B$5:$B57,"&lt;="&amp;IB_TL_Maturity)&lt;=48,INDEX('Facility Master'!K:K,MATCH(IB_TL_SNo,'Facility Master'!A:A,0))*0.0225,0)))),0)</f>
        <v>5.2875</v>
      </c>
      <c r="Q57" s="500" t="n">
        <f aca="false">IFERROR((N57+(O57-P57)/2)*INDEX('Facility Master'!R:R,MATCH(IB_TL_SNo,'Facility Master'!A:A,0))*(B57-B56)/DaysInYear,0)</f>
        <v>1.30111613013699</v>
      </c>
      <c r="R57" s="500" t="n">
        <f aca="false">IFERROR(ROUND(MAX(N57+O57-P57,0),6),0)</f>
        <v>52.875</v>
      </c>
      <c r="S57" s="697" t="n">
        <f aca="false">IFERROR(MAX(W56,0),0)</f>
        <v>0</v>
      </c>
      <c r="T57" s="697" t="n">
        <f aca="false">IFERROR(IF(AND(INDEX('Facility Master'!X:X,MATCH(RBL_TL_SNo,'Facility Master'!A:A,0))&lt;=B57,INDEX('Facility Master'!X:X,MATCH(RBL_TL_SNo,'Facility Master'!A:A,0))&gt;B56),INDEX('Facility Master'!K:K,MATCH(RBL_TL_SNo,'Facility Master'!A:A,0)),0),0)</f>
        <v>0</v>
      </c>
      <c r="U57" s="697" t="n">
        <f aca="false">IFERROR(IF(AND(RBL_TL_Maturity&lt;=B57,RBL_TL_Maturity&gt;B56),INDEX('Facility Master'!K:K,MATCH(RBL_TL_SNo,'Facility Master'!A:A,0)),0),0)</f>
        <v>0</v>
      </c>
      <c r="V57" s="697" t="n">
        <f aca="false">IFERROR((S57+(T57-U57)/2)*INDEX('Facility Master'!R:R,MATCH(RBL_TL_SNo,'Facility Master'!A:A,0))*(B57-B56)/DaysInYear,0)</f>
        <v>0</v>
      </c>
      <c r="W57" s="697" t="n">
        <f aca="false">IFERROR(ROUND(MAX(S57+T57-U57,0),6),0)</f>
        <v>0</v>
      </c>
      <c r="X57" s="500" t="n">
        <f aca="false">IFERROR(MAX(AB56,0),0)</f>
        <v>175.5</v>
      </c>
      <c r="Y57" s="500" t="n">
        <f aca="false">IFERROR(IF(AND(INDEX('Facility Master'!X:X,MATCH(YBL_TL_SNo,'Facility Master'!A:A,0))&lt;=B57,INDEX('Facility Master'!X:X,MATCH(YBL_TL_SNo,'Facility Master'!A:A,0))&gt;B56),INDEX('Facility Master'!K:K,MATCH(YBL_TL_SNo,'Facility Master'!A:A,0)),0),0)</f>
        <v>0</v>
      </c>
      <c r="Z57" s="500" t="n">
        <f aca="false">IFERROR(IF(B57&lt;YBL_TL_RepStart,0,IF(B57&gt;YBL_TL_Maturity,0,IF(COUNTIFS($B$5:$B57,"&gt;="&amp;YBL_TL_RepStart,$B$5:$B57,"&lt;="&amp;YBL_TL_Maturity)&lt;=8,INDEX('Facility Master'!K:K,MATCH(YBL_TL_SNo,'Facility Master'!A:A,0))*0.0125,IF(COUNTIFS($B$5:$B57,"&gt;="&amp;YBL_TL_RepStart,$B$5:$B57,"&lt;="&amp;YBL_TL_Maturity)&lt;=48,INDEX('Facility Master'!K:K,MATCH(YBL_TL_SNo,'Facility Master'!A:A,0))*0.0225,0)))),0)</f>
        <v>14.625</v>
      </c>
      <c r="AA57" s="500" t="n">
        <f aca="false">IFERROR((X57+(Y57-Z57)/2)*INDEX('Facility Master'!R:R,MATCH(YBL_TL_SNo,'Facility Master'!A:A,0))*(B57-B56)/DaysInYear,0)</f>
        <v>4.00447525684932</v>
      </c>
      <c r="AB57" s="500" t="n">
        <f aca="false">IFERROR(ROUND(MAX(X57+Y57-Z57,0),6),0)</f>
        <v>160.875</v>
      </c>
      <c r="AC57" s="500" t="n">
        <f aca="false">IFERROR(MAX(AG56,0),0)</f>
        <v>143.1</v>
      </c>
      <c r="AD57" s="500" t="n">
        <f aca="false">IFERROR(IF(AND(INDEX('Facility Master'!X:X,MATCH(IDFC_TL_SNo,'Facility Master'!A:A,0))&lt;=B57,INDEX('Facility Master'!X:X,MATCH(IDFC_TL_SNo,'Facility Master'!A:A,0))&gt;B56),INDEX('Facility Master'!K:K,MATCH(IDFC_TL_SNo,'Facility Master'!A:A,0)),0),0)</f>
        <v>0</v>
      </c>
      <c r="AE57" s="500" t="n">
        <f aca="false">IFERROR(IF(B57&lt;IDFC_TL_RepStart,0,IF(B57&gt;IDFC_TL_Maturity,0,IF(COUNTIFS($B$5:$B57,"&gt;="&amp;IDFC_TL_RepStart,$B$5:$B57,"&lt;="&amp;IDFC_TL_Maturity)&lt;=8,INDEX('Facility Master'!K:K,MATCH(IDFC_TL_SNo,'Facility Master'!A:A,0))*0.0125,IF(COUNTIFS($B$5:$B57,"&gt;="&amp;IDFC_TL_RepStart,$B$5:$B57,"&lt;="&amp;IDFC_TL_Maturity)&lt;=48,INDEX('Facility Master'!K:K,MATCH(IDFC_TL_SNo,'Facility Master'!A:A,0))*0.0225,0)))),0)</f>
        <v>11.925</v>
      </c>
      <c r="AF57" s="500" t="n">
        <f aca="false">IFERROR((AC57+(AD57-AE57)/2)*INDEX('Facility Master'!R:R,MATCH(IDFC_TL_SNo,'Facility Master'!A:A,0))*(B57-B56)/DaysInYear,0)</f>
        <v>3.00875917808219</v>
      </c>
      <c r="AG57" s="500" t="n">
        <f aca="false">IFERROR(ROUND(MAX(AC57+AD57-AE57,0),6),0)</f>
        <v>131.175</v>
      </c>
      <c r="AH57" s="698" t="n">
        <f aca="false">IFERROR(MAX(AL56,0),0)</f>
        <v>226.8</v>
      </c>
      <c r="AI57" s="698" t="n">
        <f aca="false">IFERROR(IF(AND(INDEX('Facility Master'!X:X,MATCH(ICICI_TL_SNo,'Facility Master'!A:A,0))&lt;=B57,INDEX('Facility Master'!X:X,MATCH(ICICI_TL_SNo,'Facility Master'!A:A,0))&gt;B56),INDEX('Facility Master'!K:K,MATCH(ICICI_TL_SNo,'Facility Master'!A:A,0)),0),0)</f>
        <v>0</v>
      </c>
      <c r="AJ57" s="698" t="n">
        <f aca="false">IFERROR(IF(B57&lt;ICICI_TL_RepStart,0,IF(B57&gt;ICICI_TL_Maturity,0,IF(COUNTIFS($B$5:$B57,"&gt;="&amp;ICICI_TL_RepStart,$B$5:$B57,"&lt;="&amp;ICICI_TL_Maturity)&lt;=8,INDEX('Facility Master'!K:K,MATCH(ICICI_TL_SNo,'Facility Master'!A:A,0))*0.0125,IF(COUNTIFS($B$5:$B57,"&gt;="&amp;ICICI_TL_RepStart,$B$5:$B57,"&lt;="&amp;ICICI_TL_Maturity)&lt;=48,INDEX('Facility Master'!K:K,MATCH(ICICI_TL_SNo,'Facility Master'!A:A,0))*0.0225,0)))),0)</f>
        <v>18.9</v>
      </c>
      <c r="AK57" s="698" t="n">
        <f aca="false">IFERROR((AH57+(AI57-AJ57)/2)*INDEX('Facility Master'!R:R,MATCH(ICICI_TL_SNo,'Facility Master'!A:A,0))*(B57-B56)/DaysInYear,0)</f>
        <v>4.71441082191781</v>
      </c>
      <c r="AL57" s="698" t="n">
        <f aca="false">IFERROR(ROUND(MAX(AH57+AI57-AJ57,0),6),0)</f>
        <v>207.9</v>
      </c>
      <c r="AM57" s="500" t="n">
        <f aca="false">F57+K57+P57+Z57+AE57+AJ57</f>
        <v>81.36</v>
      </c>
      <c r="AN57" s="500" t="n">
        <f aca="false">G57+L57+Q57+AA57+AF57+AK57</f>
        <v>21.2361455034247</v>
      </c>
      <c r="AO57" s="500" t="n">
        <f aca="false">AM57+AN57</f>
        <v>102.596145503425</v>
      </c>
      <c r="AP57" s="500" t="n">
        <f aca="false">H57+M57+R57+AB57+AG57+AL57</f>
        <v>889.6725</v>
      </c>
    </row>
    <row r="58" customFormat="false" ht="15.75" hidden="false" customHeight="true" outlineLevel="0" collapsed="false">
      <c r="A58" s="699" t="n">
        <v>54</v>
      </c>
      <c r="B58" s="700" t="n">
        <v>49948</v>
      </c>
      <c r="C58" s="699" t="s">
        <v>718</v>
      </c>
      <c r="D58" s="701" t="n">
        <f aca="false">IFERROR(MAX(H57,0),0)</f>
        <v>278.4375</v>
      </c>
      <c r="E58" s="701" t="n">
        <f aca="false">IFERROR(IF(AND(INDEX('Facility Master'!X:X,MATCH(UBI_RTL1_SNo,'Facility Master'!A:A,0))&lt;=B58,INDEX('Facility Master'!X:X,MATCH(UBI_RTL1_SNo,'Facility Master'!A:A,0))&gt;B57),INDEX('Facility Master'!K:K,MATCH(UBI_RTL1_SNo,'Facility Master'!A:A,0)),0),0)</f>
        <v>0</v>
      </c>
      <c r="F58" s="701" t="n">
        <f aca="false">IFERROR(IF(B58&lt;UBI_RTL1_RepStart,0,IF(B58&gt;UBI_RTL1_Maturity,0,IF(COUNTIFS($B$5:$B58,"&gt;="&amp;UBI_RTL1_RepStart,$B$5:$B58,"&lt;="&amp;UBI_RTL1_Maturity)&lt;=8,INDEX('Facility Master'!K:K,MATCH(UBI_RTL1_SNo,'Facility Master'!A:A,0))*0.0125,IF(COUNTIFS($B$5:$B58,"&gt;="&amp;UBI_RTL1_RepStart,$B$5:$B58,"&lt;="&amp;UBI_RTL1_Maturity)&lt;=48,INDEX('Facility Master'!K:K,MATCH(UBI_RTL1_SNo,'Facility Master'!A:A,0))*0.0225,0)))),0)</f>
        <v>25.3125</v>
      </c>
      <c r="G58" s="701" t="n">
        <f aca="false">IFERROR((D58+(E58-F58)/2)*INDEX('Facility Master'!R:R,MATCH(UBI_RTL1_SNo,'Facility Master'!A:A,0))*(B58-B57)/DaysInYear,0)</f>
        <v>6.29719520547945</v>
      </c>
      <c r="H58" s="701" t="n">
        <f aca="false">IFERROR(ROUND(MAX(D58+E58-F58,0),6),0)</f>
        <v>253.125</v>
      </c>
      <c r="I58" s="701" t="n">
        <f aca="false">IFERROR(MAX(M57,0),0)</f>
        <v>58.41</v>
      </c>
      <c r="J58" s="701" t="n">
        <f aca="false">IFERROR(IF(AND(INDEX('Facility Master'!X:X,MATCH(UBI_RTL2_SNo,'Facility Master'!A:A,0))&lt;=B58,INDEX('Facility Master'!X:X,MATCH(UBI_RTL2_SNo,'Facility Master'!A:A,0))&gt;B57),INDEX('Facility Master'!K:K,MATCH(UBI_RTL2_SNo,'Facility Master'!A:A,0)),0),0)</f>
        <v>0</v>
      </c>
      <c r="K58" s="701" t="n">
        <f aca="false">IFERROR(IF(B58&lt;UBI_RTL2_RepStart,0,IF(B58&gt;UBI_RTL2_Maturity,0,IF(COUNTIFS($B$5:$B58,"&gt;="&amp;UBI_RTL2_RepStart,$B$5:$B58,"&lt;="&amp;UBI_RTL2_Maturity)&lt;=8,INDEX('Facility Master'!K:K,MATCH(UBI_RTL2_SNo,'Facility Master'!A:A,0))*0.0125,IF(COUNTIFS($B$5:$B58,"&gt;="&amp;UBI_RTL2_RepStart,$B$5:$B58,"&lt;="&amp;UBI_RTL2_Maturity)&lt;=48,INDEX('Facility Master'!K:K,MATCH(UBI_RTL2_SNo,'Facility Master'!A:A,0))*0.0225,0)))),0)</f>
        <v>5.31</v>
      </c>
      <c r="L58" s="701" t="n">
        <f aca="false">IFERROR((I58+(J58-K58)/2)*INDEX('Facility Master'!R:R,MATCH(UBI_RTL2_SNo,'Facility Master'!A:A,0))*(B58-B57)/DaysInYear,0)</f>
        <v>1.27885167123288</v>
      </c>
      <c r="M58" s="701" t="n">
        <f aca="false">IFERROR(ROUND(MAX(I58+J58-K58,0),6),0)</f>
        <v>53.1</v>
      </c>
      <c r="N58" s="701" t="n">
        <f aca="false">IFERROR(MAX(R57,0),0)</f>
        <v>52.875</v>
      </c>
      <c r="O58" s="701" t="n">
        <f aca="false">IFERROR(IF(AND(INDEX('Facility Master'!X:X,MATCH(IB_TL_SNo,'Facility Master'!A:A,0))&lt;=B58,INDEX('Facility Master'!X:X,MATCH(IB_TL_SNo,'Facility Master'!A:A,0))&gt;B57),INDEX('Facility Master'!K:K,MATCH(IB_TL_SNo,'Facility Master'!A:A,0)),0),0)</f>
        <v>0</v>
      </c>
      <c r="P58" s="701" t="n">
        <f aca="false">IFERROR(IF(B58&lt;IB_TL_RepStart,0,IF(B58&gt;IB_TL_Maturity,0,IF(COUNTIFS($B$5:$B58,"&gt;="&amp;IB_TL_RepStart,$B$5:$B58,"&lt;="&amp;IB_TL_Maturity)&lt;=8,INDEX('Facility Master'!K:K,MATCH(IB_TL_SNo,'Facility Master'!A:A,0))*0.0125,IF(COUNTIFS($B$5:$B58,"&gt;="&amp;IB_TL_RepStart,$B$5:$B58,"&lt;="&amp;IB_TL_Maturity)&lt;=48,INDEX('Facility Master'!K:K,MATCH(IB_TL_SNo,'Facility Master'!A:A,0))*0.0225,0)))),0)</f>
        <v>5.2875</v>
      </c>
      <c r="Q58" s="701" t="n">
        <f aca="false">IFERROR((N58+(O58-P58)/2)*INDEX('Facility Master'!R:R,MATCH(IB_TL_SNo,'Facility Master'!A:A,0))*(B58-B57)/DaysInYear,0)</f>
        <v>1.19013657534247</v>
      </c>
      <c r="R58" s="701" t="n">
        <f aca="false">IFERROR(ROUND(MAX(N58+O58-P58,0),6),0)</f>
        <v>47.5875</v>
      </c>
      <c r="S58" s="702" t="n">
        <f aca="false">IFERROR(MAX(W57,0),0)</f>
        <v>0</v>
      </c>
      <c r="T58" s="702" t="n">
        <f aca="false">IFERROR(IF(AND(INDEX('Facility Master'!X:X,MATCH(RBL_TL_SNo,'Facility Master'!A:A,0))&lt;=B58,INDEX('Facility Master'!X:X,MATCH(RBL_TL_SNo,'Facility Master'!A:A,0))&gt;B57),INDEX('Facility Master'!K:K,MATCH(RBL_TL_SNo,'Facility Master'!A:A,0)),0),0)</f>
        <v>0</v>
      </c>
      <c r="U58" s="702" t="n">
        <f aca="false">IFERROR(IF(AND(RBL_TL_Maturity&lt;=B58,RBL_TL_Maturity&gt;B57),INDEX('Facility Master'!K:K,MATCH(RBL_TL_SNo,'Facility Master'!A:A,0)),0),0)</f>
        <v>0</v>
      </c>
      <c r="V58" s="702" t="n">
        <f aca="false">IFERROR((S58+(T58-U58)/2)*INDEX('Facility Master'!R:R,MATCH(RBL_TL_SNo,'Facility Master'!A:A,0))*(B58-B57)/DaysInYear,0)</f>
        <v>0</v>
      </c>
      <c r="W58" s="702" t="n">
        <f aca="false">IFERROR(ROUND(MAX(S58+T58-U58,0),6),0)</f>
        <v>0</v>
      </c>
      <c r="X58" s="701" t="n">
        <f aca="false">IFERROR(MAX(AB57,0),0)</f>
        <v>160.875</v>
      </c>
      <c r="Y58" s="701" t="n">
        <f aca="false">IFERROR(IF(AND(INDEX('Facility Master'!X:X,MATCH(YBL_TL_SNo,'Facility Master'!A:A,0))&lt;=B58,INDEX('Facility Master'!X:X,MATCH(YBL_TL_SNo,'Facility Master'!A:A,0))&gt;B57),INDEX('Facility Master'!K:K,MATCH(YBL_TL_SNo,'Facility Master'!A:A,0)),0),0)</f>
        <v>0</v>
      </c>
      <c r="Z58" s="701" t="n">
        <f aca="false">IFERROR(IF(B58&lt;YBL_TL_RepStart,0,IF(B58&gt;YBL_TL_Maturity,0,IF(COUNTIFS($B$5:$B58,"&gt;="&amp;YBL_TL_RepStart,$B$5:$B58,"&lt;="&amp;YBL_TL_Maturity)&lt;=8,INDEX('Facility Master'!K:K,MATCH(YBL_TL_SNo,'Facility Master'!A:A,0))*0.0125,IF(COUNTIFS($B$5:$B58,"&gt;="&amp;YBL_TL_RepStart,$B$5:$B58,"&lt;="&amp;YBL_TL_Maturity)&lt;=48,INDEX('Facility Master'!K:K,MATCH(YBL_TL_SNo,'Facility Master'!A:A,0))*0.0225,0)))),0)</f>
        <v>14.625</v>
      </c>
      <c r="AA58" s="701" t="n">
        <f aca="false">IFERROR((X58+(Y58-Z58)/2)*INDEX('Facility Master'!R:R,MATCH(YBL_TL_SNo,'Facility Master'!A:A,0))*(B58-B57)/DaysInYear,0)</f>
        <v>3.69643869863014</v>
      </c>
      <c r="AB58" s="701" t="n">
        <f aca="false">IFERROR(ROUND(MAX(X58+Y58-Z58,0),6),0)</f>
        <v>146.25</v>
      </c>
      <c r="AC58" s="701" t="n">
        <f aca="false">IFERROR(MAX(AG57,0),0)</f>
        <v>131.175</v>
      </c>
      <c r="AD58" s="701" t="n">
        <f aca="false">IFERROR(IF(AND(INDEX('Facility Master'!X:X,MATCH(IDFC_TL_SNo,'Facility Master'!A:A,0))&lt;=B58,INDEX('Facility Master'!X:X,MATCH(IDFC_TL_SNo,'Facility Master'!A:A,0))&gt;B57),INDEX('Facility Master'!K:K,MATCH(IDFC_TL_SNo,'Facility Master'!A:A,0)),0),0)</f>
        <v>0</v>
      </c>
      <c r="AE58" s="701" t="n">
        <f aca="false">IFERROR(IF(B58&lt;IDFC_TL_RepStart,0,IF(B58&gt;IDFC_TL_Maturity,0,IF(COUNTIFS($B$5:$B58,"&gt;="&amp;IDFC_TL_RepStart,$B$5:$B58,"&lt;="&amp;IDFC_TL_Maturity)&lt;=8,INDEX('Facility Master'!K:K,MATCH(IDFC_TL_SNo,'Facility Master'!A:A,0))*0.0125,IF(COUNTIFS($B$5:$B58,"&gt;="&amp;IDFC_TL_RepStart,$B$5:$B58,"&lt;="&amp;IDFC_TL_Maturity)&lt;=48,INDEX('Facility Master'!K:K,MATCH(IDFC_TL_SNo,'Facility Master'!A:A,0))*0.0225,0)))),0)</f>
        <v>11.925</v>
      </c>
      <c r="AF58" s="701" t="n">
        <f aca="false">IFERROR((AC58+(AD58-AE58)/2)*INDEX('Facility Master'!R:R,MATCH(IDFC_TL_SNo,'Facility Master'!A:A,0))*(B58-B57)/DaysInYear,0)</f>
        <v>2.77731616438356</v>
      </c>
      <c r="AG58" s="701" t="n">
        <f aca="false">IFERROR(ROUND(MAX(AC58+AD58-AE58,0),6),0)</f>
        <v>119.25</v>
      </c>
      <c r="AH58" s="703" t="n">
        <f aca="false">IFERROR(MAX(AL57,0),0)</f>
        <v>207.9</v>
      </c>
      <c r="AI58" s="703" t="n">
        <f aca="false">IFERROR(IF(AND(INDEX('Facility Master'!X:X,MATCH(ICICI_TL_SNo,'Facility Master'!A:A,0))&lt;=B58,INDEX('Facility Master'!X:X,MATCH(ICICI_TL_SNo,'Facility Master'!A:A,0))&gt;B57),INDEX('Facility Master'!K:K,MATCH(ICICI_TL_SNo,'Facility Master'!A:A,0)),0),0)</f>
        <v>0</v>
      </c>
      <c r="AJ58" s="703" t="n">
        <f aca="false">IFERROR(IF(B58&lt;ICICI_TL_RepStart,0,IF(B58&gt;ICICI_TL_Maturity,0,IF(COUNTIFS($B$5:$B58,"&gt;="&amp;ICICI_TL_RepStart,$B$5:$B58,"&lt;="&amp;ICICI_TL_Maturity)&lt;=8,INDEX('Facility Master'!K:K,MATCH(ICICI_TL_SNo,'Facility Master'!A:A,0))*0.0125,IF(COUNTIFS($B$5:$B58,"&gt;="&amp;ICICI_TL_RepStart,$B$5:$B58,"&lt;="&amp;ICICI_TL_Maturity)&lt;=48,INDEX('Facility Master'!K:K,MATCH(ICICI_TL_SNo,'Facility Master'!A:A,0))*0.0225,0)))),0)</f>
        <v>18.9</v>
      </c>
      <c r="AK58" s="703" t="n">
        <f aca="false">IFERROR((AH58+(AI58-AJ58)/2)*INDEX('Facility Master'!R:R,MATCH(ICICI_TL_SNo,'Facility Master'!A:A,0))*(B58-B57)/DaysInYear,0)</f>
        <v>4.35176383561644</v>
      </c>
      <c r="AL58" s="703" t="n">
        <f aca="false">IFERROR(ROUND(MAX(AH58+AI58-AJ58,0),6),0)</f>
        <v>189</v>
      </c>
      <c r="AM58" s="701" t="n">
        <f aca="false">F58+K58+P58+Z58+AE58+AJ58</f>
        <v>81.36</v>
      </c>
      <c r="AN58" s="701" t="n">
        <f aca="false">G58+L58+Q58+AA58+AF58+AK58</f>
        <v>19.5917021506849</v>
      </c>
      <c r="AO58" s="701" t="n">
        <f aca="false">AM58+AN58</f>
        <v>100.951702150685</v>
      </c>
      <c r="AP58" s="701" t="n">
        <f aca="false">H58+M58+R58+AB58+AG58+AL58</f>
        <v>808.3125</v>
      </c>
    </row>
    <row r="59" customFormat="false" ht="15.75" hidden="false" customHeight="true" outlineLevel="0" collapsed="false">
      <c r="A59" s="496" t="n">
        <v>55</v>
      </c>
      <c r="B59" s="696" t="n">
        <v>50040</v>
      </c>
      <c r="C59" s="496" t="s">
        <v>719</v>
      </c>
      <c r="D59" s="500" t="n">
        <f aca="false">IFERROR(MAX(H58,0),0)</f>
        <v>253.125</v>
      </c>
      <c r="E59" s="500" t="n">
        <f aca="false">IFERROR(IF(AND(INDEX('Facility Master'!X:X,MATCH(UBI_RTL1_SNo,'Facility Master'!A:A,0))&lt;=B59,INDEX('Facility Master'!X:X,MATCH(UBI_RTL1_SNo,'Facility Master'!A:A,0))&gt;B58),INDEX('Facility Master'!K:K,MATCH(UBI_RTL1_SNo,'Facility Master'!A:A,0)),0),0)</f>
        <v>0</v>
      </c>
      <c r="F59" s="500" t="n">
        <f aca="false">IFERROR(IF(B59&lt;UBI_RTL1_RepStart,0,IF(B59&gt;UBI_RTL1_Maturity,0,IF(COUNTIFS($B$5:$B59,"&gt;="&amp;UBI_RTL1_RepStart,$B$5:$B59,"&lt;="&amp;UBI_RTL1_Maturity)&lt;=8,INDEX('Facility Master'!K:K,MATCH(UBI_RTL1_SNo,'Facility Master'!A:A,0))*0.0125,IF(COUNTIFS($B$5:$B59,"&gt;="&amp;UBI_RTL1_RepStart,$B$5:$B59,"&lt;="&amp;UBI_RTL1_Maturity)&lt;=48,INDEX('Facility Master'!K:K,MATCH(UBI_RTL1_SNo,'Facility Master'!A:A,0))*0.0225,0)))),0)</f>
        <v>25.3125</v>
      </c>
      <c r="G59" s="500" t="n">
        <f aca="false">IFERROR((D59+(E59-F59)/2)*INDEX('Facility Master'!R:R,MATCH(UBI_RTL1_SNo,'Facility Master'!A:A,0))*(B59-B58)/DaysInYear,0)</f>
        <v>5.69746232876712</v>
      </c>
      <c r="H59" s="500" t="n">
        <f aca="false">IFERROR(ROUND(MAX(D59+E59-F59,0),6),0)</f>
        <v>227.8125</v>
      </c>
      <c r="I59" s="500" t="n">
        <f aca="false">IFERROR(MAX(M58,0),0)</f>
        <v>53.1</v>
      </c>
      <c r="J59" s="500" t="n">
        <f aca="false">IFERROR(IF(AND(INDEX('Facility Master'!X:X,MATCH(UBI_RTL2_SNo,'Facility Master'!A:A,0))&lt;=B59,INDEX('Facility Master'!X:X,MATCH(UBI_RTL2_SNo,'Facility Master'!A:A,0))&gt;B58),INDEX('Facility Master'!K:K,MATCH(UBI_RTL2_SNo,'Facility Master'!A:A,0)),0),0)</f>
        <v>0</v>
      </c>
      <c r="K59" s="500" t="n">
        <f aca="false">IFERROR(IF(B59&lt;UBI_RTL2_RepStart,0,IF(B59&gt;UBI_RTL2_Maturity,0,IF(COUNTIFS($B$5:$B59,"&gt;="&amp;UBI_RTL2_RepStart,$B$5:$B59,"&lt;="&amp;UBI_RTL2_Maturity)&lt;=8,INDEX('Facility Master'!K:K,MATCH(UBI_RTL2_SNo,'Facility Master'!A:A,0))*0.0125,IF(COUNTIFS($B$5:$B59,"&gt;="&amp;UBI_RTL2_RepStart,$B$5:$B59,"&lt;="&amp;UBI_RTL2_Maturity)&lt;=48,INDEX('Facility Master'!K:K,MATCH(UBI_RTL2_SNo,'Facility Master'!A:A,0))*0.0225,0)))),0)</f>
        <v>5.31</v>
      </c>
      <c r="L59" s="500" t="n">
        <f aca="false">IFERROR((I59+(J59-K59)/2)*INDEX('Facility Master'!R:R,MATCH(UBI_RTL2_SNo,'Facility Master'!A:A,0))*(B59-B58)/DaysInYear,0)</f>
        <v>1.1570562739726</v>
      </c>
      <c r="M59" s="500" t="n">
        <f aca="false">IFERROR(ROUND(MAX(I59+J59-K59,0),6),0)</f>
        <v>47.79</v>
      </c>
      <c r="N59" s="500" t="n">
        <f aca="false">IFERROR(MAX(R58,0),0)</f>
        <v>47.5875</v>
      </c>
      <c r="O59" s="500" t="n">
        <f aca="false">IFERROR(IF(AND(INDEX('Facility Master'!X:X,MATCH(IB_TL_SNo,'Facility Master'!A:A,0))&lt;=B59,INDEX('Facility Master'!X:X,MATCH(IB_TL_SNo,'Facility Master'!A:A,0))&gt;B58),INDEX('Facility Master'!K:K,MATCH(IB_TL_SNo,'Facility Master'!A:A,0)),0),0)</f>
        <v>0</v>
      </c>
      <c r="P59" s="500" t="n">
        <f aca="false">IFERROR(IF(B59&lt;IB_TL_RepStart,0,IF(B59&gt;IB_TL_Maturity,0,IF(COUNTIFS($B$5:$B59,"&gt;="&amp;IB_TL_RepStart,$B$5:$B59,"&lt;="&amp;IB_TL_Maturity)&lt;=8,INDEX('Facility Master'!K:K,MATCH(IB_TL_SNo,'Facility Master'!A:A,0))*0.0125,IF(COUNTIFS($B$5:$B59,"&gt;="&amp;IB_TL_RepStart,$B$5:$B59,"&lt;="&amp;IB_TL_Maturity)&lt;=48,INDEX('Facility Master'!K:K,MATCH(IB_TL_SNo,'Facility Master'!A:A,0))*0.0225,0)))),0)</f>
        <v>5.2875</v>
      </c>
      <c r="Q59" s="500" t="n">
        <f aca="false">IFERROR((N59+(O59-P59)/2)*INDEX('Facility Master'!R:R,MATCH(IB_TL_SNo,'Facility Master'!A:A,0))*(B59-B58)/DaysInYear,0)</f>
        <v>1.06485904109589</v>
      </c>
      <c r="R59" s="500" t="n">
        <f aca="false">IFERROR(ROUND(MAX(N59+O59-P59,0),6),0)</f>
        <v>42.3</v>
      </c>
      <c r="S59" s="697" t="n">
        <f aca="false">IFERROR(MAX(W58,0),0)</f>
        <v>0</v>
      </c>
      <c r="T59" s="697" t="n">
        <f aca="false">IFERROR(IF(AND(INDEX('Facility Master'!X:X,MATCH(RBL_TL_SNo,'Facility Master'!A:A,0))&lt;=B59,INDEX('Facility Master'!X:X,MATCH(RBL_TL_SNo,'Facility Master'!A:A,0))&gt;B58),INDEX('Facility Master'!K:K,MATCH(RBL_TL_SNo,'Facility Master'!A:A,0)),0),0)</f>
        <v>0</v>
      </c>
      <c r="U59" s="697" t="n">
        <f aca="false">IFERROR(IF(AND(RBL_TL_Maturity&lt;=B59,RBL_TL_Maturity&gt;B58),INDEX('Facility Master'!K:K,MATCH(RBL_TL_SNo,'Facility Master'!A:A,0)),0),0)</f>
        <v>0</v>
      </c>
      <c r="V59" s="697" t="n">
        <f aca="false">IFERROR((S59+(T59-U59)/2)*INDEX('Facility Master'!R:R,MATCH(RBL_TL_SNo,'Facility Master'!A:A,0))*(B59-B58)/DaysInYear,0)</f>
        <v>0</v>
      </c>
      <c r="W59" s="697" t="n">
        <f aca="false">IFERROR(ROUND(MAX(S59+T59-U59,0),6),0)</f>
        <v>0</v>
      </c>
      <c r="X59" s="500" t="n">
        <f aca="false">IFERROR(MAX(AB58,0),0)</f>
        <v>146.25</v>
      </c>
      <c r="Y59" s="500" t="n">
        <f aca="false">IFERROR(IF(AND(INDEX('Facility Master'!X:X,MATCH(YBL_TL_SNo,'Facility Master'!A:A,0))&lt;=B59,INDEX('Facility Master'!X:X,MATCH(YBL_TL_SNo,'Facility Master'!A:A,0))&gt;B58),INDEX('Facility Master'!K:K,MATCH(YBL_TL_SNo,'Facility Master'!A:A,0)),0),0)</f>
        <v>0</v>
      </c>
      <c r="Z59" s="500" t="n">
        <f aca="false">IFERROR(IF(B59&lt;YBL_TL_RepStart,0,IF(B59&gt;YBL_TL_Maturity,0,IF(COUNTIFS($B$5:$B59,"&gt;="&amp;YBL_TL_RepStart,$B$5:$B59,"&lt;="&amp;YBL_TL_Maturity)&lt;=8,INDEX('Facility Master'!K:K,MATCH(YBL_TL_SNo,'Facility Master'!A:A,0))*0.0125,IF(COUNTIFS($B$5:$B59,"&gt;="&amp;YBL_TL_RepStart,$B$5:$B59,"&lt;="&amp;YBL_TL_Maturity)&lt;=48,INDEX('Facility Master'!K:K,MATCH(YBL_TL_SNo,'Facility Master'!A:A,0))*0.0225,0)))),0)</f>
        <v>14.625</v>
      </c>
      <c r="AA59" s="500" t="n">
        <f aca="false">IFERROR((X59+(Y59-Z59)/2)*INDEX('Facility Master'!R:R,MATCH(YBL_TL_SNo,'Facility Master'!A:A,0))*(B59-B58)/DaysInYear,0)</f>
        <v>3.34439691780822</v>
      </c>
      <c r="AB59" s="500" t="n">
        <f aca="false">IFERROR(ROUND(MAX(X59+Y59-Z59,0),6),0)</f>
        <v>131.625</v>
      </c>
      <c r="AC59" s="500" t="n">
        <f aca="false">IFERROR(MAX(AG58,0),0)</f>
        <v>119.25</v>
      </c>
      <c r="AD59" s="500" t="n">
        <f aca="false">IFERROR(IF(AND(INDEX('Facility Master'!X:X,MATCH(IDFC_TL_SNo,'Facility Master'!A:A,0))&lt;=B59,INDEX('Facility Master'!X:X,MATCH(IDFC_TL_SNo,'Facility Master'!A:A,0))&gt;B58),INDEX('Facility Master'!K:K,MATCH(IDFC_TL_SNo,'Facility Master'!A:A,0)),0),0)</f>
        <v>0</v>
      </c>
      <c r="AE59" s="500" t="n">
        <f aca="false">IFERROR(IF(B59&lt;IDFC_TL_RepStart,0,IF(B59&gt;IDFC_TL_Maturity,0,IF(COUNTIFS($B$5:$B59,"&gt;="&amp;IDFC_TL_RepStart,$B$5:$B59,"&lt;="&amp;IDFC_TL_Maturity)&lt;=8,INDEX('Facility Master'!K:K,MATCH(IDFC_TL_SNo,'Facility Master'!A:A,0))*0.0125,IF(COUNTIFS($B$5:$B59,"&gt;="&amp;IDFC_TL_RepStart,$B$5:$B59,"&lt;="&amp;IDFC_TL_Maturity)&lt;=48,INDEX('Facility Master'!K:K,MATCH(IDFC_TL_SNo,'Facility Master'!A:A,0))*0.0225,0)))),0)</f>
        <v>11.925</v>
      </c>
      <c r="AF59" s="500" t="n">
        <f aca="false">IFERROR((AC59+(AD59-AE59)/2)*INDEX('Facility Master'!R:R,MATCH(IDFC_TL_SNo,'Facility Master'!A:A,0))*(B59-B58)/DaysInYear,0)</f>
        <v>2.5128098630137</v>
      </c>
      <c r="AG59" s="500" t="n">
        <f aca="false">IFERROR(ROUND(MAX(AC59+AD59-AE59,0),6),0)</f>
        <v>107.325</v>
      </c>
      <c r="AH59" s="698" t="n">
        <f aca="false">IFERROR(MAX(AL58,0),0)</f>
        <v>189</v>
      </c>
      <c r="AI59" s="698" t="n">
        <f aca="false">IFERROR(IF(AND(INDEX('Facility Master'!X:X,MATCH(ICICI_TL_SNo,'Facility Master'!A:A,0))&lt;=B59,INDEX('Facility Master'!X:X,MATCH(ICICI_TL_SNo,'Facility Master'!A:A,0))&gt;B58),INDEX('Facility Master'!K:K,MATCH(ICICI_TL_SNo,'Facility Master'!A:A,0)),0),0)</f>
        <v>0</v>
      </c>
      <c r="AJ59" s="698" t="n">
        <f aca="false">IFERROR(IF(B59&lt;ICICI_TL_RepStart,0,IF(B59&gt;ICICI_TL_Maturity,0,IF(COUNTIFS($B$5:$B59,"&gt;="&amp;ICICI_TL_RepStart,$B$5:$B59,"&lt;="&amp;ICICI_TL_Maturity)&lt;=8,INDEX('Facility Master'!K:K,MATCH(ICICI_TL_SNo,'Facility Master'!A:A,0))*0.0125,IF(COUNTIFS($B$5:$B59,"&gt;="&amp;ICICI_TL_RepStart,$B$5:$B59,"&lt;="&amp;ICICI_TL_Maturity)&lt;=48,INDEX('Facility Master'!K:K,MATCH(ICICI_TL_SNo,'Facility Master'!A:A,0))*0.0225,0)))),0)</f>
        <v>18.9</v>
      </c>
      <c r="AK59" s="698" t="n">
        <f aca="false">IFERROR((AH59+(AI59-AJ59)/2)*INDEX('Facility Master'!R:R,MATCH(ICICI_TL_SNo,'Facility Master'!A:A,0))*(B59-B58)/DaysInYear,0)</f>
        <v>3.9373101369863</v>
      </c>
      <c r="AL59" s="698" t="n">
        <f aca="false">IFERROR(ROUND(MAX(AH59+AI59-AJ59,0),6),0)</f>
        <v>170.1</v>
      </c>
      <c r="AM59" s="500" t="n">
        <f aca="false">F59+K59+P59+Z59+AE59+AJ59</f>
        <v>81.36</v>
      </c>
      <c r="AN59" s="500" t="n">
        <f aca="false">G59+L59+Q59+AA59+AF59+AK59</f>
        <v>17.7138945616438</v>
      </c>
      <c r="AO59" s="500" t="n">
        <f aca="false">AM59+AN59</f>
        <v>99.0738945616438</v>
      </c>
      <c r="AP59" s="500" t="n">
        <f aca="false">H59+M59+R59+AB59+AG59+AL59</f>
        <v>726.9525</v>
      </c>
    </row>
    <row r="60" customFormat="false" ht="15.75" hidden="false" customHeight="true" outlineLevel="0" collapsed="false">
      <c r="A60" s="699" t="n">
        <v>56</v>
      </c>
      <c r="B60" s="700" t="n">
        <v>50130</v>
      </c>
      <c r="C60" s="699" t="s">
        <v>720</v>
      </c>
      <c r="D60" s="701" t="n">
        <f aca="false">IFERROR(MAX(H59,0),0)</f>
        <v>227.8125</v>
      </c>
      <c r="E60" s="701" t="n">
        <f aca="false">IFERROR(IF(AND(INDEX('Facility Master'!X:X,MATCH(UBI_RTL1_SNo,'Facility Master'!A:A,0))&lt;=B60,INDEX('Facility Master'!X:X,MATCH(UBI_RTL1_SNo,'Facility Master'!A:A,0))&gt;B59),INDEX('Facility Master'!K:K,MATCH(UBI_RTL1_SNo,'Facility Master'!A:A,0)),0),0)</f>
        <v>0</v>
      </c>
      <c r="F60" s="701" t="n">
        <f aca="false">IFERROR(IF(B60&lt;UBI_RTL1_RepStart,0,IF(B60&gt;UBI_RTL1_Maturity,0,IF(COUNTIFS($B$5:$B60,"&gt;="&amp;UBI_RTL1_RepStart,$B$5:$B60,"&lt;="&amp;UBI_RTL1_Maturity)&lt;=8,INDEX('Facility Master'!K:K,MATCH(UBI_RTL1_SNo,'Facility Master'!A:A,0))*0.0125,IF(COUNTIFS($B$5:$B60,"&gt;="&amp;UBI_RTL1_RepStart,$B$5:$B60,"&lt;="&amp;UBI_RTL1_Maturity)&lt;=48,INDEX('Facility Master'!K:K,MATCH(UBI_RTL1_SNo,'Facility Master'!A:A,0))*0.0225,0)))),0)</f>
        <v>25.3125</v>
      </c>
      <c r="G60" s="701" t="n">
        <f aca="false">IFERROR((D60+(E60-F60)/2)*INDEX('Facility Master'!R:R,MATCH(UBI_RTL1_SNo,'Facility Master'!A:A,0))*(B60-B59)/DaysInYear,0)</f>
        <v>4.98690924657534</v>
      </c>
      <c r="H60" s="701" t="n">
        <f aca="false">IFERROR(ROUND(MAX(D60+E60-F60,0),6),0)</f>
        <v>202.5</v>
      </c>
      <c r="I60" s="701" t="n">
        <f aca="false">IFERROR(MAX(M59,0),0)</f>
        <v>47.79</v>
      </c>
      <c r="J60" s="701" t="n">
        <f aca="false">IFERROR(IF(AND(INDEX('Facility Master'!X:X,MATCH(UBI_RTL2_SNo,'Facility Master'!A:A,0))&lt;=B60,INDEX('Facility Master'!X:X,MATCH(UBI_RTL2_SNo,'Facility Master'!A:A,0))&gt;B59),INDEX('Facility Master'!K:K,MATCH(UBI_RTL2_SNo,'Facility Master'!A:A,0)),0),0)</f>
        <v>0</v>
      </c>
      <c r="K60" s="701" t="n">
        <f aca="false">IFERROR(IF(B60&lt;UBI_RTL2_RepStart,0,IF(B60&gt;UBI_RTL2_Maturity,0,IF(COUNTIFS($B$5:$B60,"&gt;="&amp;UBI_RTL2_RepStart,$B$5:$B60,"&lt;="&amp;UBI_RTL2_Maturity)&lt;=8,INDEX('Facility Master'!K:K,MATCH(UBI_RTL2_SNo,'Facility Master'!A:A,0))*0.0125,IF(COUNTIFS($B$5:$B60,"&gt;="&amp;UBI_RTL2_RepStart,$B$5:$B60,"&lt;="&amp;UBI_RTL2_Maturity)&lt;=48,INDEX('Facility Master'!K:K,MATCH(UBI_RTL2_SNo,'Facility Master'!A:A,0))*0.0225,0)))),0)</f>
        <v>5.31</v>
      </c>
      <c r="L60" s="701" t="n">
        <f aca="false">IFERROR((I60+(J60-K60)/2)*INDEX('Facility Master'!R:R,MATCH(UBI_RTL2_SNo,'Facility Master'!A:A,0))*(B60-B59)/DaysInYear,0)</f>
        <v>1.01275520547945</v>
      </c>
      <c r="M60" s="701" t="n">
        <f aca="false">IFERROR(ROUND(MAX(I60+J60-K60,0),6),0)</f>
        <v>42.48</v>
      </c>
      <c r="N60" s="701" t="n">
        <f aca="false">IFERROR(MAX(R59,0),0)</f>
        <v>42.3</v>
      </c>
      <c r="O60" s="701" t="n">
        <f aca="false">IFERROR(IF(AND(INDEX('Facility Master'!X:X,MATCH(IB_TL_SNo,'Facility Master'!A:A,0))&lt;=B60,INDEX('Facility Master'!X:X,MATCH(IB_TL_SNo,'Facility Master'!A:A,0))&gt;B59),INDEX('Facility Master'!K:K,MATCH(IB_TL_SNo,'Facility Master'!A:A,0)),0),0)</f>
        <v>0</v>
      </c>
      <c r="P60" s="701" t="n">
        <f aca="false">IFERROR(IF(B60&lt;IB_TL_RepStart,0,IF(B60&gt;IB_TL_Maturity,0,IF(COUNTIFS($B$5:$B60,"&gt;="&amp;IB_TL_RepStart,$B$5:$B60,"&lt;="&amp;IB_TL_Maturity)&lt;=8,INDEX('Facility Master'!K:K,MATCH(IB_TL_SNo,'Facility Master'!A:A,0))*0.0125,IF(COUNTIFS($B$5:$B60,"&gt;="&amp;IB_TL_RepStart,$B$5:$B60,"&lt;="&amp;IB_TL_Maturity)&lt;=48,INDEX('Facility Master'!K:K,MATCH(IB_TL_SNo,'Facility Master'!A:A,0))*0.0225,0)))),0)</f>
        <v>5.2875</v>
      </c>
      <c r="Q60" s="701" t="n">
        <f aca="false">IFERROR((N60+(O60-P60)/2)*INDEX('Facility Master'!R:R,MATCH(IB_TL_SNo,'Facility Master'!A:A,0))*(B60-B59)/DaysInYear,0)</f>
        <v>0.919155821917808</v>
      </c>
      <c r="R60" s="701" t="n">
        <f aca="false">IFERROR(ROUND(MAX(N60+O60-P60,0),6),0)</f>
        <v>37.0125</v>
      </c>
      <c r="S60" s="702" t="n">
        <f aca="false">IFERROR(MAX(W59,0),0)</f>
        <v>0</v>
      </c>
      <c r="T60" s="702" t="n">
        <f aca="false">IFERROR(IF(AND(INDEX('Facility Master'!X:X,MATCH(RBL_TL_SNo,'Facility Master'!A:A,0))&lt;=B60,INDEX('Facility Master'!X:X,MATCH(RBL_TL_SNo,'Facility Master'!A:A,0))&gt;B59),INDEX('Facility Master'!K:K,MATCH(RBL_TL_SNo,'Facility Master'!A:A,0)),0),0)</f>
        <v>0</v>
      </c>
      <c r="U60" s="702" t="n">
        <f aca="false">IFERROR(IF(AND(RBL_TL_Maturity&lt;=B60,RBL_TL_Maturity&gt;B59),INDEX('Facility Master'!K:K,MATCH(RBL_TL_SNo,'Facility Master'!A:A,0)),0),0)</f>
        <v>0</v>
      </c>
      <c r="V60" s="702" t="n">
        <f aca="false">IFERROR((S60+(T60-U60)/2)*INDEX('Facility Master'!R:R,MATCH(RBL_TL_SNo,'Facility Master'!A:A,0))*(B60-B59)/DaysInYear,0)</f>
        <v>0</v>
      </c>
      <c r="W60" s="702" t="n">
        <f aca="false">IFERROR(ROUND(MAX(S60+T60-U60,0),6),0)</f>
        <v>0</v>
      </c>
      <c r="X60" s="701" t="n">
        <f aca="false">IFERROR(MAX(AB59,0),0)</f>
        <v>131.625</v>
      </c>
      <c r="Y60" s="701" t="n">
        <f aca="false">IFERROR(IF(AND(INDEX('Facility Master'!X:X,MATCH(YBL_TL_SNo,'Facility Master'!A:A,0))&lt;=B60,INDEX('Facility Master'!X:X,MATCH(YBL_TL_SNo,'Facility Master'!A:A,0))&gt;B59),INDEX('Facility Master'!K:K,MATCH(YBL_TL_SNo,'Facility Master'!A:A,0)),0),0)</f>
        <v>0</v>
      </c>
      <c r="Z60" s="701" t="n">
        <f aca="false">IFERROR(IF(B60&lt;YBL_TL_RepStart,0,IF(B60&gt;YBL_TL_Maturity,0,IF(COUNTIFS($B$5:$B60,"&gt;="&amp;YBL_TL_RepStart,$B$5:$B60,"&lt;="&amp;YBL_TL_Maturity)&lt;=8,INDEX('Facility Master'!K:K,MATCH(YBL_TL_SNo,'Facility Master'!A:A,0))*0.0125,IF(COUNTIFS($B$5:$B60,"&gt;="&amp;YBL_TL_RepStart,$B$5:$B60,"&lt;="&amp;YBL_TL_Maturity)&lt;=48,INDEX('Facility Master'!K:K,MATCH(YBL_TL_SNo,'Facility Master'!A:A,0))*0.0225,0)))),0)</f>
        <v>14.625</v>
      </c>
      <c r="AA60" s="701" t="n">
        <f aca="false">IFERROR((X60+(Y60-Z60)/2)*INDEX('Facility Master'!R:R,MATCH(YBL_TL_SNo,'Facility Master'!A:A,0))*(B60-B59)/DaysInYear,0)</f>
        <v>2.92730393835616</v>
      </c>
      <c r="AB60" s="701" t="n">
        <f aca="false">IFERROR(ROUND(MAX(X60+Y60-Z60,0),6),0)</f>
        <v>117</v>
      </c>
      <c r="AC60" s="701" t="n">
        <f aca="false">IFERROR(MAX(AG59,0),0)</f>
        <v>107.325</v>
      </c>
      <c r="AD60" s="701" t="n">
        <f aca="false">IFERROR(IF(AND(INDEX('Facility Master'!X:X,MATCH(IDFC_TL_SNo,'Facility Master'!A:A,0))&lt;=B60,INDEX('Facility Master'!X:X,MATCH(IDFC_TL_SNo,'Facility Master'!A:A,0))&gt;B59),INDEX('Facility Master'!K:K,MATCH(IDFC_TL_SNo,'Facility Master'!A:A,0)),0),0)</f>
        <v>0</v>
      </c>
      <c r="AE60" s="701" t="n">
        <f aca="false">IFERROR(IF(B60&lt;IDFC_TL_RepStart,0,IF(B60&gt;IDFC_TL_Maturity,0,IF(COUNTIFS($B$5:$B60,"&gt;="&amp;IDFC_TL_RepStart,$B$5:$B60,"&lt;="&amp;IDFC_TL_Maturity)&lt;=8,INDEX('Facility Master'!K:K,MATCH(IDFC_TL_SNo,'Facility Master'!A:A,0))*0.0125,IF(COUNTIFS($B$5:$B60,"&gt;="&amp;IDFC_TL_RepStart,$B$5:$B60,"&lt;="&amp;IDFC_TL_Maturity)&lt;=48,INDEX('Facility Master'!K:K,MATCH(IDFC_TL_SNo,'Facility Master'!A:A,0))*0.0225,0)))),0)</f>
        <v>11.925</v>
      </c>
      <c r="AF60" s="701" t="n">
        <f aca="false">IFERROR((AC60+(AD60-AE60)/2)*INDEX('Facility Master'!R:R,MATCH(IDFC_TL_SNo,'Facility Master'!A:A,0))*(B60-B59)/DaysInYear,0)</f>
        <v>2.19942739726027</v>
      </c>
      <c r="AG60" s="701" t="n">
        <f aca="false">IFERROR(ROUND(MAX(AC60+AD60-AE60,0),6),0)</f>
        <v>95.4</v>
      </c>
      <c r="AH60" s="703" t="n">
        <f aca="false">IFERROR(MAX(AL59,0),0)</f>
        <v>170.1</v>
      </c>
      <c r="AI60" s="703" t="n">
        <f aca="false">IFERROR(IF(AND(INDEX('Facility Master'!X:X,MATCH(ICICI_TL_SNo,'Facility Master'!A:A,0))&lt;=B60,INDEX('Facility Master'!X:X,MATCH(ICICI_TL_SNo,'Facility Master'!A:A,0))&gt;B59),INDEX('Facility Master'!K:K,MATCH(ICICI_TL_SNo,'Facility Master'!A:A,0)),0),0)</f>
        <v>0</v>
      </c>
      <c r="AJ60" s="703" t="n">
        <f aca="false">IFERROR(IF(B60&lt;ICICI_TL_RepStart,0,IF(B60&gt;ICICI_TL_Maturity,0,IF(COUNTIFS($B$5:$B60,"&gt;="&amp;ICICI_TL_RepStart,$B$5:$B60,"&lt;="&amp;ICICI_TL_Maturity)&lt;=8,INDEX('Facility Master'!K:K,MATCH(ICICI_TL_SNo,'Facility Master'!A:A,0))*0.0125,IF(COUNTIFS($B$5:$B60,"&gt;="&amp;ICICI_TL_RepStart,$B$5:$B60,"&lt;="&amp;ICICI_TL_Maturity)&lt;=48,INDEX('Facility Master'!K:K,MATCH(ICICI_TL_SNo,'Facility Master'!A:A,0))*0.0225,0)))),0)</f>
        <v>18.9</v>
      </c>
      <c r="AK60" s="703" t="n">
        <f aca="false">IFERROR((AH60+(AI60-AJ60)/2)*INDEX('Facility Master'!R:R,MATCH(ICICI_TL_SNo,'Facility Master'!A:A,0))*(B60-B59)/DaysInYear,0)</f>
        <v>3.44627260273973</v>
      </c>
      <c r="AL60" s="703" t="n">
        <f aca="false">IFERROR(ROUND(MAX(AH60+AI60-AJ60,0),6),0)</f>
        <v>151.2</v>
      </c>
      <c r="AM60" s="701" t="n">
        <f aca="false">F60+K60+P60+Z60+AE60+AJ60</f>
        <v>81.36</v>
      </c>
      <c r="AN60" s="701" t="n">
        <f aca="false">G60+L60+Q60+AA60+AF60+AK60</f>
        <v>15.4918242123288</v>
      </c>
      <c r="AO60" s="701" t="n">
        <f aca="false">AM60+AN60</f>
        <v>96.8518242123288</v>
      </c>
      <c r="AP60" s="701" t="n">
        <f aca="false">H60+M60+R60+AB60+AG60+AL60</f>
        <v>645.5925</v>
      </c>
    </row>
    <row r="61" customFormat="false" ht="15.75" hidden="false" customHeight="true" outlineLevel="0" collapsed="false">
      <c r="A61" s="496" t="n">
        <v>57</v>
      </c>
      <c r="B61" s="696" t="n">
        <v>50221</v>
      </c>
      <c r="C61" s="496" t="s">
        <v>721</v>
      </c>
      <c r="D61" s="500" t="n">
        <f aca="false">IFERROR(MAX(H60,0),0)</f>
        <v>202.5</v>
      </c>
      <c r="E61" s="500" t="n">
        <f aca="false">IFERROR(IF(AND(INDEX('Facility Master'!X:X,MATCH(UBI_RTL1_SNo,'Facility Master'!A:A,0))&lt;=B61,INDEX('Facility Master'!X:X,MATCH(UBI_RTL1_SNo,'Facility Master'!A:A,0))&gt;B60),INDEX('Facility Master'!K:K,MATCH(UBI_RTL1_SNo,'Facility Master'!A:A,0)),0),0)</f>
        <v>0</v>
      </c>
      <c r="F61" s="500" t="n">
        <f aca="false">IFERROR(IF(B61&lt;UBI_RTL1_RepStart,0,IF(B61&gt;UBI_RTL1_Maturity,0,IF(COUNTIFS($B$5:$B61,"&gt;="&amp;UBI_RTL1_RepStart,$B$5:$B61,"&lt;="&amp;UBI_RTL1_Maturity)&lt;=8,INDEX('Facility Master'!K:K,MATCH(UBI_RTL1_SNo,'Facility Master'!A:A,0))*0.0125,IF(COUNTIFS($B$5:$B61,"&gt;="&amp;UBI_RTL1_RepStart,$B$5:$B61,"&lt;="&amp;UBI_RTL1_Maturity)&lt;=48,INDEX('Facility Master'!K:K,MATCH(UBI_RTL1_SNo,'Facility Master'!A:A,0))*0.0225,0)))),0)</f>
        <v>25.3125</v>
      </c>
      <c r="G61" s="500" t="n">
        <f aca="false">IFERROR((D61+(E61-F61)/2)*INDEX('Facility Master'!R:R,MATCH(UBI_RTL1_SNo,'Facility Master'!A:A,0))*(B61-B60)/DaysInYear,0)</f>
        <v>4.44910530821918</v>
      </c>
      <c r="H61" s="500" t="n">
        <f aca="false">IFERROR(ROUND(MAX(D61+E61-F61,0),6),0)</f>
        <v>177.1875</v>
      </c>
      <c r="I61" s="500" t="n">
        <f aca="false">IFERROR(MAX(M60,0),0)</f>
        <v>42.48</v>
      </c>
      <c r="J61" s="500" t="n">
        <f aca="false">IFERROR(IF(AND(INDEX('Facility Master'!X:X,MATCH(UBI_RTL2_SNo,'Facility Master'!A:A,0))&lt;=B61,INDEX('Facility Master'!X:X,MATCH(UBI_RTL2_SNo,'Facility Master'!A:A,0))&gt;B60),INDEX('Facility Master'!K:K,MATCH(UBI_RTL2_SNo,'Facility Master'!A:A,0)),0),0)</f>
        <v>0</v>
      </c>
      <c r="K61" s="500" t="n">
        <f aca="false">IFERROR(IF(B61&lt;UBI_RTL2_RepStart,0,IF(B61&gt;UBI_RTL2_Maturity,0,IF(COUNTIFS($B$5:$B61,"&gt;="&amp;UBI_RTL2_RepStart,$B$5:$B61,"&lt;="&amp;UBI_RTL2_Maturity)&lt;=8,INDEX('Facility Master'!K:K,MATCH(UBI_RTL2_SNo,'Facility Master'!A:A,0))*0.0125,IF(COUNTIFS($B$5:$B61,"&gt;="&amp;UBI_RTL2_RepStart,$B$5:$B61,"&lt;="&amp;UBI_RTL2_Maturity)&lt;=48,INDEX('Facility Master'!K:K,MATCH(UBI_RTL2_SNo,'Facility Master'!A:A,0))*0.0225,0)))),0)</f>
        <v>5.31</v>
      </c>
      <c r="L61" s="500" t="n">
        <f aca="false">IFERROR((I61+(J61-K61)/2)*INDEX('Facility Master'!R:R,MATCH(UBI_RTL2_SNo,'Facility Master'!A:A,0))*(B61-B60)/DaysInYear,0)</f>
        <v>0.903536506849315</v>
      </c>
      <c r="M61" s="500" t="n">
        <f aca="false">IFERROR(ROUND(MAX(I61+J61-K61,0),6),0)</f>
        <v>37.17</v>
      </c>
      <c r="N61" s="500" t="n">
        <f aca="false">IFERROR(MAX(R60,0),0)</f>
        <v>37.0125</v>
      </c>
      <c r="O61" s="500" t="n">
        <f aca="false">IFERROR(IF(AND(INDEX('Facility Master'!X:X,MATCH(IB_TL_SNo,'Facility Master'!A:A,0))&lt;=B61,INDEX('Facility Master'!X:X,MATCH(IB_TL_SNo,'Facility Master'!A:A,0))&gt;B60),INDEX('Facility Master'!K:K,MATCH(IB_TL_SNo,'Facility Master'!A:A,0)),0),0)</f>
        <v>0</v>
      </c>
      <c r="P61" s="500" t="n">
        <f aca="false">IFERROR(IF(B61&lt;IB_TL_RepStart,0,IF(B61&gt;IB_TL_Maturity,0,IF(COUNTIFS($B$5:$B61,"&gt;="&amp;IB_TL_RepStart,$B$5:$B61,"&lt;="&amp;IB_TL_Maturity)&lt;=8,INDEX('Facility Master'!K:K,MATCH(IB_TL_SNo,'Facility Master'!A:A,0))*0.0125,IF(COUNTIFS($B$5:$B61,"&gt;="&amp;IB_TL_RepStart,$B$5:$B61,"&lt;="&amp;IB_TL_Maturity)&lt;=48,INDEX('Facility Master'!K:K,MATCH(IB_TL_SNo,'Facility Master'!A:A,0))*0.0225,0)))),0)</f>
        <v>5.2875</v>
      </c>
      <c r="Q61" s="500" t="n">
        <f aca="false">IFERROR((N61+(O61-P61)/2)*INDEX('Facility Master'!R:R,MATCH(IB_TL_SNo,'Facility Master'!A:A,0))*(B61-B60)/DaysInYear,0)</f>
        <v>0.805452842465754</v>
      </c>
      <c r="R61" s="500" t="n">
        <f aca="false">IFERROR(ROUND(MAX(N61+O61-P61,0),6),0)</f>
        <v>31.725</v>
      </c>
      <c r="S61" s="697" t="n">
        <f aca="false">IFERROR(MAX(W60,0),0)</f>
        <v>0</v>
      </c>
      <c r="T61" s="697" t="n">
        <f aca="false">IFERROR(IF(AND(INDEX('Facility Master'!X:X,MATCH(RBL_TL_SNo,'Facility Master'!A:A,0))&lt;=B61,INDEX('Facility Master'!X:X,MATCH(RBL_TL_SNo,'Facility Master'!A:A,0))&gt;B60),INDEX('Facility Master'!K:K,MATCH(RBL_TL_SNo,'Facility Master'!A:A,0)),0),0)</f>
        <v>0</v>
      </c>
      <c r="U61" s="697" t="n">
        <f aca="false">IFERROR(IF(AND(RBL_TL_Maturity&lt;=B61,RBL_TL_Maturity&gt;B60),INDEX('Facility Master'!K:K,MATCH(RBL_TL_SNo,'Facility Master'!A:A,0)),0),0)</f>
        <v>0</v>
      </c>
      <c r="V61" s="697" t="n">
        <f aca="false">IFERROR((S61+(T61-U61)/2)*INDEX('Facility Master'!R:R,MATCH(RBL_TL_SNo,'Facility Master'!A:A,0))*(B61-B60)/DaysInYear,0)</f>
        <v>0</v>
      </c>
      <c r="W61" s="697" t="n">
        <f aca="false">IFERROR(ROUND(MAX(S61+T61-U61,0),6),0)</f>
        <v>0</v>
      </c>
      <c r="X61" s="500" t="n">
        <f aca="false">IFERROR(MAX(AB60,0),0)</f>
        <v>117</v>
      </c>
      <c r="Y61" s="500" t="n">
        <f aca="false">IFERROR(IF(AND(INDEX('Facility Master'!X:X,MATCH(YBL_TL_SNo,'Facility Master'!A:A,0))&lt;=B61,INDEX('Facility Master'!X:X,MATCH(YBL_TL_SNo,'Facility Master'!A:A,0))&gt;B60),INDEX('Facility Master'!K:K,MATCH(YBL_TL_SNo,'Facility Master'!A:A,0)),0),0)</f>
        <v>0</v>
      </c>
      <c r="Z61" s="500" t="n">
        <f aca="false">IFERROR(IF(B61&lt;YBL_TL_RepStart,0,IF(B61&gt;YBL_TL_Maturity,0,IF(COUNTIFS($B$5:$B61,"&gt;="&amp;YBL_TL_RepStart,$B$5:$B61,"&lt;="&amp;YBL_TL_Maturity)&lt;=8,INDEX('Facility Master'!K:K,MATCH(YBL_TL_SNo,'Facility Master'!A:A,0))*0.0125,IF(COUNTIFS($B$5:$B61,"&gt;="&amp;YBL_TL_RepStart,$B$5:$B61,"&lt;="&amp;YBL_TL_Maturity)&lt;=48,INDEX('Facility Master'!K:K,MATCH(YBL_TL_SNo,'Facility Master'!A:A,0))*0.0225,0)))),0)</f>
        <v>14.625</v>
      </c>
      <c r="AA61" s="500" t="n">
        <f aca="false">IFERROR((X61+(Y61-Z61)/2)*INDEX('Facility Master'!R:R,MATCH(YBL_TL_SNo,'Facility Master'!A:A,0))*(B61-B60)/DaysInYear,0)</f>
        <v>2.61161429794521</v>
      </c>
      <c r="AB61" s="500" t="n">
        <f aca="false">IFERROR(ROUND(MAX(X61+Y61-Z61,0),6),0)</f>
        <v>102.375</v>
      </c>
      <c r="AC61" s="500" t="n">
        <f aca="false">IFERROR(MAX(AG60,0),0)</f>
        <v>95.4</v>
      </c>
      <c r="AD61" s="500" t="n">
        <f aca="false">IFERROR(IF(AND(INDEX('Facility Master'!X:X,MATCH(IDFC_TL_SNo,'Facility Master'!A:A,0))&lt;=B61,INDEX('Facility Master'!X:X,MATCH(IDFC_TL_SNo,'Facility Master'!A:A,0))&gt;B60),INDEX('Facility Master'!K:K,MATCH(IDFC_TL_SNo,'Facility Master'!A:A,0)),0),0)</f>
        <v>0</v>
      </c>
      <c r="AE61" s="500" t="n">
        <f aca="false">IFERROR(IF(B61&lt;IDFC_TL_RepStart,0,IF(B61&gt;IDFC_TL_Maturity,0,IF(COUNTIFS($B$5:$B61,"&gt;="&amp;IDFC_TL_RepStart,$B$5:$B61,"&lt;="&amp;IDFC_TL_Maturity)&lt;=8,INDEX('Facility Master'!K:K,MATCH(IDFC_TL_SNo,'Facility Master'!A:A,0))*0.0125,IF(COUNTIFS($B$5:$B61,"&gt;="&amp;IDFC_TL_RepStart,$B$5:$B61,"&lt;="&amp;IDFC_TL_Maturity)&lt;=48,INDEX('Facility Master'!K:K,MATCH(IDFC_TL_SNo,'Facility Master'!A:A,0))*0.0225,0)))),0)</f>
        <v>11.925</v>
      </c>
      <c r="AF61" s="500" t="n">
        <f aca="false">IFERROR((AC61+(AD61-AE61)/2)*INDEX('Facility Master'!R:R,MATCH(IDFC_TL_SNo,'Facility Master'!A:A,0))*(B61-B60)/DaysInYear,0)</f>
        <v>1.96223424657534</v>
      </c>
      <c r="AG61" s="500" t="n">
        <f aca="false">IFERROR(ROUND(MAX(AC61+AD61-AE61,0),6),0)</f>
        <v>83.475</v>
      </c>
      <c r="AH61" s="698" t="n">
        <f aca="false">IFERROR(MAX(AL60,0),0)</f>
        <v>151.2</v>
      </c>
      <c r="AI61" s="698" t="n">
        <f aca="false">IFERROR(IF(AND(INDEX('Facility Master'!X:X,MATCH(ICICI_TL_SNo,'Facility Master'!A:A,0))&lt;=B61,INDEX('Facility Master'!X:X,MATCH(ICICI_TL_SNo,'Facility Master'!A:A,0))&gt;B60),INDEX('Facility Master'!K:K,MATCH(ICICI_TL_SNo,'Facility Master'!A:A,0)),0),0)</f>
        <v>0</v>
      </c>
      <c r="AJ61" s="698" t="n">
        <f aca="false">IFERROR(IF(B61&lt;ICICI_TL_RepStart,0,IF(B61&gt;ICICI_TL_Maturity,0,IF(COUNTIFS($B$5:$B61,"&gt;="&amp;ICICI_TL_RepStart,$B$5:$B61,"&lt;="&amp;ICICI_TL_Maturity)&lt;=8,INDEX('Facility Master'!K:K,MATCH(ICICI_TL_SNo,'Facility Master'!A:A,0))*0.0125,IF(COUNTIFS($B$5:$B61,"&gt;="&amp;ICICI_TL_RepStart,$B$5:$B61,"&lt;="&amp;ICICI_TL_Maturity)&lt;=48,INDEX('Facility Master'!K:K,MATCH(ICICI_TL_SNo,'Facility Master'!A:A,0))*0.0225,0)))),0)</f>
        <v>18.9</v>
      </c>
      <c r="AK61" s="698" t="n">
        <f aca="false">IFERROR((AH61+(AI61-AJ61)/2)*INDEX('Facility Master'!R:R,MATCH(ICICI_TL_SNo,'Facility Master'!A:A,0))*(B61-B60)/DaysInYear,0)</f>
        <v>3.07461575342466</v>
      </c>
      <c r="AL61" s="698" t="n">
        <f aca="false">IFERROR(ROUND(MAX(AH61+AI61-AJ61,0),6),0)</f>
        <v>132.3</v>
      </c>
      <c r="AM61" s="500" t="n">
        <f aca="false">F61+K61+P61+Z61+AE61+AJ61</f>
        <v>81.36</v>
      </c>
      <c r="AN61" s="500" t="n">
        <f aca="false">G61+L61+Q61+AA61+AF61+AK61</f>
        <v>13.8065589554795</v>
      </c>
      <c r="AO61" s="500" t="n">
        <f aca="false">AM61+AN61</f>
        <v>95.1665589554794</v>
      </c>
      <c r="AP61" s="500" t="n">
        <f aca="false">H61+M61+R61+AB61+AG61+AL61</f>
        <v>564.2325</v>
      </c>
    </row>
    <row r="62" customFormat="false" ht="15.75" hidden="false" customHeight="true" outlineLevel="0" collapsed="false">
      <c r="A62" s="699" t="n">
        <v>58</v>
      </c>
      <c r="B62" s="700" t="n">
        <v>50313</v>
      </c>
      <c r="C62" s="699" t="s">
        <v>722</v>
      </c>
      <c r="D62" s="701" t="n">
        <f aca="false">IFERROR(MAX(H61,0),0)</f>
        <v>177.1875</v>
      </c>
      <c r="E62" s="701" t="n">
        <f aca="false">IFERROR(IF(AND(INDEX('Facility Master'!X:X,MATCH(UBI_RTL1_SNo,'Facility Master'!A:A,0))&lt;=B62,INDEX('Facility Master'!X:X,MATCH(UBI_RTL1_SNo,'Facility Master'!A:A,0))&gt;B61),INDEX('Facility Master'!K:K,MATCH(UBI_RTL1_SNo,'Facility Master'!A:A,0)),0),0)</f>
        <v>0</v>
      </c>
      <c r="F62" s="701" t="n">
        <f aca="false">IFERROR(IF(B62&lt;UBI_RTL1_RepStart,0,IF(B62&gt;UBI_RTL1_Maturity,0,IF(COUNTIFS($B$5:$B62,"&gt;="&amp;UBI_RTL1_RepStart,$B$5:$B62,"&lt;="&amp;UBI_RTL1_Maturity)&lt;=8,INDEX('Facility Master'!K:K,MATCH(UBI_RTL1_SNo,'Facility Master'!A:A,0))*0.0125,IF(COUNTIFS($B$5:$B62,"&gt;="&amp;UBI_RTL1_RepStart,$B$5:$B62,"&lt;="&amp;UBI_RTL1_Maturity)&lt;=48,INDEX('Facility Master'!K:K,MATCH(UBI_RTL1_SNo,'Facility Master'!A:A,0))*0.0225,0)))),0)</f>
        <v>25.3125</v>
      </c>
      <c r="G62" s="701" t="n">
        <f aca="false">IFERROR((D62+(E62-F62)/2)*INDEX('Facility Master'!R:R,MATCH(UBI_RTL1_SNo,'Facility Master'!A:A,0))*(B62-B61)/DaysInYear,0)</f>
        <v>3.89826369863014</v>
      </c>
      <c r="H62" s="701" t="n">
        <f aca="false">IFERROR(ROUND(MAX(D62+E62-F62,0),6),0)</f>
        <v>151.875</v>
      </c>
      <c r="I62" s="701" t="n">
        <f aca="false">IFERROR(MAX(M61,0),0)</f>
        <v>37.17</v>
      </c>
      <c r="J62" s="701" t="n">
        <f aca="false">IFERROR(IF(AND(INDEX('Facility Master'!X:X,MATCH(UBI_RTL2_SNo,'Facility Master'!A:A,0))&lt;=B62,INDEX('Facility Master'!X:X,MATCH(UBI_RTL2_SNo,'Facility Master'!A:A,0))&gt;B61),INDEX('Facility Master'!K:K,MATCH(UBI_RTL2_SNo,'Facility Master'!A:A,0)),0),0)</f>
        <v>0</v>
      </c>
      <c r="K62" s="701" t="n">
        <f aca="false">IFERROR(IF(B62&lt;UBI_RTL2_RepStart,0,IF(B62&gt;UBI_RTL2_Maturity,0,IF(COUNTIFS($B$5:$B62,"&gt;="&amp;UBI_RTL2_RepStart,$B$5:$B62,"&lt;="&amp;UBI_RTL2_Maturity)&lt;=8,INDEX('Facility Master'!K:K,MATCH(UBI_RTL2_SNo,'Facility Master'!A:A,0))*0.0125,IF(COUNTIFS($B$5:$B62,"&gt;="&amp;UBI_RTL2_RepStart,$B$5:$B62,"&lt;="&amp;UBI_RTL2_Maturity)&lt;=48,INDEX('Facility Master'!K:K,MATCH(UBI_RTL2_SNo,'Facility Master'!A:A,0))*0.0225,0)))),0)</f>
        <v>5.31</v>
      </c>
      <c r="L62" s="701" t="n">
        <f aca="false">IFERROR((I62+(J62-K62)/2)*INDEX('Facility Master'!R:R,MATCH(UBI_RTL2_SNo,'Facility Master'!A:A,0))*(B62-B61)/DaysInYear,0)</f>
        <v>0.791670082191781</v>
      </c>
      <c r="M62" s="701" t="n">
        <f aca="false">IFERROR(ROUND(MAX(I62+J62-K62,0),6),0)</f>
        <v>31.86</v>
      </c>
      <c r="N62" s="701" t="n">
        <f aca="false">IFERROR(MAX(R61,0),0)</f>
        <v>31.725</v>
      </c>
      <c r="O62" s="701" t="n">
        <f aca="false">IFERROR(IF(AND(INDEX('Facility Master'!X:X,MATCH(IB_TL_SNo,'Facility Master'!A:A,0))&lt;=B62,INDEX('Facility Master'!X:X,MATCH(IB_TL_SNo,'Facility Master'!A:A,0))&gt;B61),INDEX('Facility Master'!K:K,MATCH(IB_TL_SNo,'Facility Master'!A:A,0)),0),0)</f>
        <v>0</v>
      </c>
      <c r="P62" s="701" t="n">
        <f aca="false">IFERROR(IF(B62&lt;IB_TL_RepStart,0,IF(B62&gt;IB_TL_Maturity,0,IF(COUNTIFS($B$5:$B62,"&gt;="&amp;IB_TL_RepStart,$B$5:$B62,"&lt;="&amp;IB_TL_Maturity)&lt;=8,INDEX('Facility Master'!K:K,MATCH(IB_TL_SNo,'Facility Master'!A:A,0))*0.0125,IF(COUNTIFS($B$5:$B62,"&gt;="&amp;IB_TL_RepStart,$B$5:$B62,"&lt;="&amp;IB_TL_Maturity)&lt;=48,INDEX('Facility Master'!K:K,MATCH(IB_TL_SNo,'Facility Master'!A:A,0))*0.0225,0)))),0)</f>
        <v>5.2875</v>
      </c>
      <c r="Q62" s="701" t="n">
        <f aca="false">IFERROR((N62+(O62-P62)/2)*INDEX('Facility Master'!R:R,MATCH(IB_TL_SNo,'Facility Master'!A:A,0))*(B62-B61)/DaysInYear,0)</f>
        <v>0.689026438356164</v>
      </c>
      <c r="R62" s="701" t="n">
        <f aca="false">IFERROR(ROUND(MAX(N62+O62-P62,0),6),0)</f>
        <v>26.4375</v>
      </c>
      <c r="S62" s="702" t="n">
        <f aca="false">IFERROR(MAX(W61,0),0)</f>
        <v>0</v>
      </c>
      <c r="T62" s="702" t="n">
        <f aca="false">IFERROR(IF(AND(INDEX('Facility Master'!X:X,MATCH(RBL_TL_SNo,'Facility Master'!A:A,0))&lt;=B62,INDEX('Facility Master'!X:X,MATCH(RBL_TL_SNo,'Facility Master'!A:A,0))&gt;B61),INDEX('Facility Master'!K:K,MATCH(RBL_TL_SNo,'Facility Master'!A:A,0)),0),0)</f>
        <v>0</v>
      </c>
      <c r="U62" s="702" t="n">
        <f aca="false">IFERROR(IF(AND(RBL_TL_Maturity&lt;=B62,RBL_TL_Maturity&gt;B61),INDEX('Facility Master'!K:K,MATCH(RBL_TL_SNo,'Facility Master'!A:A,0)),0),0)</f>
        <v>0</v>
      </c>
      <c r="V62" s="702" t="n">
        <f aca="false">IFERROR((S62+(T62-U62)/2)*INDEX('Facility Master'!R:R,MATCH(RBL_TL_SNo,'Facility Master'!A:A,0))*(B62-B61)/DaysInYear,0)</f>
        <v>0</v>
      </c>
      <c r="W62" s="702" t="n">
        <f aca="false">IFERROR(ROUND(MAX(S62+T62-U62,0),6),0)</f>
        <v>0</v>
      </c>
      <c r="X62" s="701" t="n">
        <f aca="false">IFERROR(MAX(AB61,0),0)</f>
        <v>102.375</v>
      </c>
      <c r="Y62" s="701" t="n">
        <f aca="false">IFERROR(IF(AND(INDEX('Facility Master'!X:X,MATCH(YBL_TL_SNo,'Facility Master'!A:A,0))&lt;=B62,INDEX('Facility Master'!X:X,MATCH(YBL_TL_SNo,'Facility Master'!A:A,0))&gt;B61),INDEX('Facility Master'!K:K,MATCH(YBL_TL_SNo,'Facility Master'!A:A,0)),0),0)</f>
        <v>0</v>
      </c>
      <c r="Z62" s="701" t="n">
        <f aca="false">IFERROR(IF(B62&lt;YBL_TL_RepStart,0,IF(B62&gt;YBL_TL_Maturity,0,IF(COUNTIFS($B$5:$B62,"&gt;="&amp;YBL_TL_RepStart,$B$5:$B62,"&lt;="&amp;YBL_TL_Maturity)&lt;=8,INDEX('Facility Master'!K:K,MATCH(YBL_TL_SNo,'Facility Master'!A:A,0))*0.0125,IF(COUNTIFS($B$5:$B62,"&gt;="&amp;YBL_TL_RepStart,$B$5:$B62,"&lt;="&amp;YBL_TL_Maturity)&lt;=48,INDEX('Facility Master'!K:K,MATCH(YBL_TL_SNo,'Facility Master'!A:A,0))*0.0225,0)))),0)</f>
        <v>14.625</v>
      </c>
      <c r="AA62" s="701" t="n">
        <f aca="false">IFERROR((X62+(Y62-Z62)/2)*INDEX('Facility Master'!R:R,MATCH(YBL_TL_SNo,'Facility Master'!A:A,0))*(B62-B61)/DaysInYear,0)</f>
        <v>2.28827157534247</v>
      </c>
      <c r="AB62" s="701" t="n">
        <f aca="false">IFERROR(ROUND(MAX(X62+Y62-Z62,0),6),0)</f>
        <v>87.75</v>
      </c>
      <c r="AC62" s="701" t="n">
        <f aca="false">IFERROR(MAX(AG61,0),0)</f>
        <v>83.475</v>
      </c>
      <c r="AD62" s="701" t="n">
        <f aca="false">IFERROR(IF(AND(INDEX('Facility Master'!X:X,MATCH(IDFC_TL_SNo,'Facility Master'!A:A,0))&lt;=B62,INDEX('Facility Master'!X:X,MATCH(IDFC_TL_SNo,'Facility Master'!A:A,0))&gt;B61),INDEX('Facility Master'!K:K,MATCH(IDFC_TL_SNo,'Facility Master'!A:A,0)),0),0)</f>
        <v>0</v>
      </c>
      <c r="AE62" s="701" t="n">
        <f aca="false">IFERROR(IF(B62&lt;IDFC_TL_RepStart,0,IF(B62&gt;IDFC_TL_Maturity,0,IF(COUNTIFS($B$5:$B62,"&gt;="&amp;IDFC_TL_RepStart,$B$5:$B62,"&lt;="&amp;IDFC_TL_Maturity)&lt;=8,INDEX('Facility Master'!K:K,MATCH(IDFC_TL_SNo,'Facility Master'!A:A,0))*0.0125,IF(COUNTIFS($B$5:$B62,"&gt;="&amp;IDFC_TL_RepStart,$B$5:$B62,"&lt;="&amp;IDFC_TL_Maturity)&lt;=48,INDEX('Facility Master'!K:K,MATCH(IDFC_TL_SNo,'Facility Master'!A:A,0))*0.0225,0)))),0)</f>
        <v>11.925</v>
      </c>
      <c r="AF62" s="701" t="n">
        <f aca="false">IFERROR((AC62+(AD62-AE62)/2)*INDEX('Facility Master'!R:R,MATCH(IDFC_TL_SNo,'Facility Master'!A:A,0))*(B62-B61)/DaysInYear,0)</f>
        <v>1.71929095890411</v>
      </c>
      <c r="AG62" s="701" t="n">
        <f aca="false">IFERROR(ROUND(MAX(AC62+AD62-AE62,0),6),0)</f>
        <v>71.55</v>
      </c>
      <c r="AH62" s="703" t="n">
        <f aca="false">IFERROR(MAX(AL61,0),0)</f>
        <v>132.3</v>
      </c>
      <c r="AI62" s="703" t="n">
        <f aca="false">IFERROR(IF(AND(INDEX('Facility Master'!X:X,MATCH(ICICI_TL_SNo,'Facility Master'!A:A,0))&lt;=B62,INDEX('Facility Master'!X:X,MATCH(ICICI_TL_SNo,'Facility Master'!A:A,0))&gt;B61),INDEX('Facility Master'!K:K,MATCH(ICICI_TL_SNo,'Facility Master'!A:A,0)),0),0)</f>
        <v>0</v>
      </c>
      <c r="AJ62" s="703" t="n">
        <f aca="false">IFERROR(IF(B62&lt;ICICI_TL_RepStart,0,IF(B62&gt;ICICI_TL_Maturity,0,IF(COUNTIFS($B$5:$B62,"&gt;="&amp;ICICI_TL_RepStart,$B$5:$B62,"&lt;="&amp;ICICI_TL_Maturity)&lt;=8,INDEX('Facility Master'!K:K,MATCH(ICICI_TL_SNo,'Facility Master'!A:A,0))*0.0125,IF(COUNTIFS($B$5:$B62,"&gt;="&amp;ICICI_TL_RepStart,$B$5:$B62,"&lt;="&amp;ICICI_TL_Maturity)&lt;=48,INDEX('Facility Master'!K:K,MATCH(ICICI_TL_SNo,'Facility Master'!A:A,0))*0.0225,0)))),0)</f>
        <v>18.9</v>
      </c>
      <c r="AK62" s="703" t="n">
        <f aca="false">IFERROR((AH62+(AI62-AJ62)/2)*INDEX('Facility Master'!R:R,MATCH(ICICI_TL_SNo,'Facility Master'!A:A,0))*(B62-B61)/DaysInYear,0)</f>
        <v>2.69394904109589</v>
      </c>
      <c r="AL62" s="703" t="n">
        <f aca="false">IFERROR(ROUND(MAX(AH62+AI62-AJ62,0),6),0)</f>
        <v>113.4</v>
      </c>
      <c r="AM62" s="701" t="n">
        <f aca="false">F62+K62+P62+Z62+AE62+AJ62</f>
        <v>81.36</v>
      </c>
      <c r="AN62" s="701" t="n">
        <f aca="false">G62+L62+Q62+AA62+AF62+AK62</f>
        <v>12.0804717945205</v>
      </c>
      <c r="AO62" s="701" t="n">
        <f aca="false">AM62+AN62</f>
        <v>93.4404717945205</v>
      </c>
      <c r="AP62" s="701" t="n">
        <f aca="false">H62+M62+R62+AB62+AG62+AL62</f>
        <v>482.8725</v>
      </c>
    </row>
    <row r="63" customFormat="false" ht="15.75" hidden="false" customHeight="true" outlineLevel="0" collapsed="false">
      <c r="A63" s="496" t="n">
        <v>59</v>
      </c>
      <c r="B63" s="696" t="n">
        <v>50405</v>
      </c>
      <c r="C63" s="496" t="s">
        <v>723</v>
      </c>
      <c r="D63" s="500" t="n">
        <f aca="false">IFERROR(MAX(H62,0),0)</f>
        <v>151.875</v>
      </c>
      <c r="E63" s="500" t="n">
        <f aca="false">IFERROR(IF(AND(INDEX('Facility Master'!X:X,MATCH(UBI_RTL1_SNo,'Facility Master'!A:A,0))&lt;=B63,INDEX('Facility Master'!X:X,MATCH(UBI_RTL1_SNo,'Facility Master'!A:A,0))&gt;B62),INDEX('Facility Master'!K:K,MATCH(UBI_RTL1_SNo,'Facility Master'!A:A,0)),0),0)</f>
        <v>0</v>
      </c>
      <c r="F63" s="500" t="n">
        <f aca="false">IFERROR(IF(B63&lt;UBI_RTL1_RepStart,0,IF(B63&gt;UBI_RTL1_Maturity,0,IF(COUNTIFS($B$5:$B63,"&gt;="&amp;UBI_RTL1_RepStart,$B$5:$B63,"&lt;="&amp;UBI_RTL1_Maturity)&lt;=8,INDEX('Facility Master'!K:K,MATCH(UBI_RTL1_SNo,'Facility Master'!A:A,0))*0.0125,IF(COUNTIFS($B$5:$B63,"&gt;="&amp;UBI_RTL1_RepStart,$B$5:$B63,"&lt;="&amp;UBI_RTL1_Maturity)&lt;=48,INDEX('Facility Master'!K:K,MATCH(UBI_RTL1_SNo,'Facility Master'!A:A,0))*0.0225,0)))),0)</f>
        <v>25.3125</v>
      </c>
      <c r="G63" s="500" t="n">
        <f aca="false">IFERROR((D63+(E63-F63)/2)*INDEX('Facility Master'!R:R,MATCH(UBI_RTL1_SNo,'Facility Master'!A:A,0))*(B63-B62)/DaysInYear,0)</f>
        <v>3.29853082191781</v>
      </c>
      <c r="H63" s="500" t="n">
        <f aca="false">IFERROR(ROUND(MAX(D63+E63-F63,0),6),0)</f>
        <v>126.5625</v>
      </c>
      <c r="I63" s="500" t="n">
        <f aca="false">IFERROR(MAX(M62,0),0)</f>
        <v>31.86</v>
      </c>
      <c r="J63" s="500" t="n">
        <f aca="false">IFERROR(IF(AND(INDEX('Facility Master'!X:X,MATCH(UBI_RTL2_SNo,'Facility Master'!A:A,0))&lt;=B63,INDEX('Facility Master'!X:X,MATCH(UBI_RTL2_SNo,'Facility Master'!A:A,0))&gt;B62),INDEX('Facility Master'!K:K,MATCH(UBI_RTL2_SNo,'Facility Master'!A:A,0)),0),0)</f>
        <v>0</v>
      </c>
      <c r="K63" s="500" t="n">
        <f aca="false">IFERROR(IF(B63&lt;UBI_RTL2_RepStart,0,IF(B63&gt;UBI_RTL2_Maturity,0,IF(COUNTIFS($B$5:$B63,"&gt;="&amp;UBI_RTL2_RepStart,$B$5:$B63,"&lt;="&amp;UBI_RTL2_Maturity)&lt;=8,INDEX('Facility Master'!K:K,MATCH(UBI_RTL2_SNo,'Facility Master'!A:A,0))*0.0125,IF(COUNTIFS($B$5:$B63,"&gt;="&amp;UBI_RTL2_RepStart,$B$5:$B63,"&lt;="&amp;UBI_RTL2_Maturity)&lt;=48,INDEX('Facility Master'!K:K,MATCH(UBI_RTL2_SNo,'Facility Master'!A:A,0))*0.0225,0)))),0)</f>
        <v>5.31</v>
      </c>
      <c r="L63" s="500" t="n">
        <f aca="false">IFERROR((I63+(J63-K63)/2)*INDEX('Facility Master'!R:R,MATCH(UBI_RTL2_SNo,'Facility Master'!A:A,0))*(B63-B62)/DaysInYear,0)</f>
        <v>0.669874684931507</v>
      </c>
      <c r="M63" s="500" t="n">
        <f aca="false">IFERROR(ROUND(MAX(I63+J63-K63,0),6),0)</f>
        <v>26.55</v>
      </c>
      <c r="N63" s="500" t="n">
        <f aca="false">IFERROR(MAX(R62,0),0)</f>
        <v>26.4375</v>
      </c>
      <c r="O63" s="500" t="n">
        <f aca="false">IFERROR(IF(AND(INDEX('Facility Master'!X:X,MATCH(IB_TL_SNo,'Facility Master'!A:A,0))&lt;=B63,INDEX('Facility Master'!X:X,MATCH(IB_TL_SNo,'Facility Master'!A:A,0))&gt;B62),INDEX('Facility Master'!K:K,MATCH(IB_TL_SNo,'Facility Master'!A:A,0)),0),0)</f>
        <v>0</v>
      </c>
      <c r="P63" s="500" t="n">
        <f aca="false">IFERROR(IF(B63&lt;IB_TL_RepStart,0,IF(B63&gt;IB_TL_Maturity,0,IF(COUNTIFS($B$5:$B63,"&gt;="&amp;IB_TL_RepStart,$B$5:$B63,"&lt;="&amp;IB_TL_Maturity)&lt;=8,INDEX('Facility Master'!K:K,MATCH(IB_TL_SNo,'Facility Master'!A:A,0))*0.0125,IF(COUNTIFS($B$5:$B63,"&gt;="&amp;IB_TL_RepStart,$B$5:$B63,"&lt;="&amp;IB_TL_Maturity)&lt;=48,INDEX('Facility Master'!K:K,MATCH(IB_TL_SNo,'Facility Master'!A:A,0))*0.0225,0)))),0)</f>
        <v>5.2875</v>
      </c>
      <c r="Q63" s="500" t="n">
        <f aca="false">IFERROR((N63+(O63-P63)/2)*INDEX('Facility Master'!R:R,MATCH(IB_TL_SNo,'Facility Master'!A:A,0))*(B63-B62)/DaysInYear,0)</f>
        <v>0.563748904109589</v>
      </c>
      <c r="R63" s="500" t="n">
        <f aca="false">IFERROR(ROUND(MAX(N63+O63-P63,0),6),0)</f>
        <v>21.15</v>
      </c>
      <c r="S63" s="697" t="n">
        <f aca="false">IFERROR(MAX(W62,0),0)</f>
        <v>0</v>
      </c>
      <c r="T63" s="697" t="n">
        <f aca="false">IFERROR(IF(AND(INDEX('Facility Master'!X:X,MATCH(RBL_TL_SNo,'Facility Master'!A:A,0))&lt;=B63,INDEX('Facility Master'!X:X,MATCH(RBL_TL_SNo,'Facility Master'!A:A,0))&gt;B62),INDEX('Facility Master'!K:K,MATCH(RBL_TL_SNo,'Facility Master'!A:A,0)),0),0)</f>
        <v>0</v>
      </c>
      <c r="U63" s="697" t="n">
        <f aca="false">IFERROR(IF(AND(RBL_TL_Maturity&lt;=B63,RBL_TL_Maturity&gt;B62),INDEX('Facility Master'!K:K,MATCH(RBL_TL_SNo,'Facility Master'!A:A,0)),0),0)</f>
        <v>0</v>
      </c>
      <c r="V63" s="697" t="n">
        <f aca="false">IFERROR((S63+(T63-U63)/2)*INDEX('Facility Master'!R:R,MATCH(RBL_TL_SNo,'Facility Master'!A:A,0))*(B63-B62)/DaysInYear,0)</f>
        <v>0</v>
      </c>
      <c r="W63" s="697" t="n">
        <f aca="false">IFERROR(ROUND(MAX(S63+T63-U63,0),6),0)</f>
        <v>0</v>
      </c>
      <c r="X63" s="500" t="n">
        <f aca="false">IFERROR(MAX(AB62,0),0)</f>
        <v>87.75</v>
      </c>
      <c r="Y63" s="500" t="n">
        <f aca="false">IFERROR(IF(AND(INDEX('Facility Master'!X:X,MATCH(YBL_TL_SNo,'Facility Master'!A:A,0))&lt;=B63,INDEX('Facility Master'!X:X,MATCH(YBL_TL_SNo,'Facility Master'!A:A,0))&gt;B62),INDEX('Facility Master'!K:K,MATCH(YBL_TL_SNo,'Facility Master'!A:A,0)),0),0)</f>
        <v>0</v>
      </c>
      <c r="Z63" s="500" t="n">
        <f aca="false">IFERROR(IF(B63&lt;YBL_TL_RepStart,0,IF(B63&gt;YBL_TL_Maturity,0,IF(COUNTIFS($B$5:$B63,"&gt;="&amp;YBL_TL_RepStart,$B$5:$B63,"&lt;="&amp;YBL_TL_Maturity)&lt;=8,INDEX('Facility Master'!K:K,MATCH(YBL_TL_SNo,'Facility Master'!A:A,0))*0.0125,IF(COUNTIFS($B$5:$B63,"&gt;="&amp;YBL_TL_RepStart,$B$5:$B63,"&lt;="&amp;YBL_TL_Maturity)&lt;=48,INDEX('Facility Master'!K:K,MATCH(YBL_TL_SNo,'Facility Master'!A:A,0))*0.0225,0)))),0)</f>
        <v>14.625</v>
      </c>
      <c r="AA63" s="500" t="n">
        <f aca="false">IFERROR((X63+(Y63-Z63)/2)*INDEX('Facility Master'!R:R,MATCH(YBL_TL_SNo,'Facility Master'!A:A,0))*(B63-B62)/DaysInYear,0)</f>
        <v>1.93622979452055</v>
      </c>
      <c r="AB63" s="500" t="n">
        <f aca="false">IFERROR(ROUND(MAX(X63+Y63-Z63,0),6),0)</f>
        <v>73.125</v>
      </c>
      <c r="AC63" s="500" t="n">
        <f aca="false">IFERROR(MAX(AG62,0),0)</f>
        <v>71.55</v>
      </c>
      <c r="AD63" s="500" t="n">
        <f aca="false">IFERROR(IF(AND(INDEX('Facility Master'!X:X,MATCH(IDFC_TL_SNo,'Facility Master'!A:A,0))&lt;=B63,INDEX('Facility Master'!X:X,MATCH(IDFC_TL_SNo,'Facility Master'!A:A,0))&gt;B62),INDEX('Facility Master'!K:K,MATCH(IDFC_TL_SNo,'Facility Master'!A:A,0)),0),0)</f>
        <v>0</v>
      </c>
      <c r="AE63" s="500" t="n">
        <f aca="false">IFERROR(IF(B63&lt;IDFC_TL_RepStart,0,IF(B63&gt;IDFC_TL_Maturity,0,IF(COUNTIFS($B$5:$B63,"&gt;="&amp;IDFC_TL_RepStart,$B$5:$B63,"&lt;="&amp;IDFC_TL_Maturity)&lt;=8,INDEX('Facility Master'!K:K,MATCH(IDFC_TL_SNo,'Facility Master'!A:A,0))*0.0125,IF(COUNTIFS($B$5:$B63,"&gt;="&amp;IDFC_TL_RepStart,$B$5:$B63,"&lt;="&amp;IDFC_TL_Maturity)&lt;=48,INDEX('Facility Master'!K:K,MATCH(IDFC_TL_SNo,'Facility Master'!A:A,0))*0.0225,0)))),0)</f>
        <v>11.925</v>
      </c>
      <c r="AF63" s="500" t="n">
        <f aca="false">IFERROR((AC63+(AD63-AE63)/2)*INDEX('Facility Master'!R:R,MATCH(IDFC_TL_SNo,'Facility Master'!A:A,0))*(B63-B62)/DaysInYear,0)</f>
        <v>1.45478465753425</v>
      </c>
      <c r="AG63" s="500" t="n">
        <f aca="false">IFERROR(ROUND(MAX(AC63+AD63-AE63,0),6),0)</f>
        <v>59.625</v>
      </c>
      <c r="AH63" s="698" t="n">
        <f aca="false">IFERROR(MAX(AL62,0),0)</f>
        <v>113.4</v>
      </c>
      <c r="AI63" s="698" t="n">
        <f aca="false">IFERROR(IF(AND(INDEX('Facility Master'!X:X,MATCH(ICICI_TL_SNo,'Facility Master'!A:A,0))&lt;=B63,INDEX('Facility Master'!X:X,MATCH(ICICI_TL_SNo,'Facility Master'!A:A,0))&gt;B62),INDEX('Facility Master'!K:K,MATCH(ICICI_TL_SNo,'Facility Master'!A:A,0)),0),0)</f>
        <v>0</v>
      </c>
      <c r="AJ63" s="698" t="n">
        <f aca="false">IFERROR(IF(B63&lt;ICICI_TL_RepStart,0,IF(B63&gt;ICICI_TL_Maturity,0,IF(COUNTIFS($B$5:$B63,"&gt;="&amp;ICICI_TL_RepStart,$B$5:$B63,"&lt;="&amp;ICICI_TL_Maturity)&lt;=8,INDEX('Facility Master'!K:K,MATCH(ICICI_TL_SNo,'Facility Master'!A:A,0))*0.0125,IF(COUNTIFS($B$5:$B63,"&gt;="&amp;ICICI_TL_RepStart,$B$5:$B63,"&lt;="&amp;ICICI_TL_Maturity)&lt;=48,INDEX('Facility Master'!K:K,MATCH(ICICI_TL_SNo,'Facility Master'!A:A,0))*0.0225,0)))),0)</f>
        <v>18.9</v>
      </c>
      <c r="AK63" s="698" t="n">
        <f aca="false">IFERROR((AH63+(AI63-AJ63)/2)*INDEX('Facility Master'!R:R,MATCH(ICICI_TL_SNo,'Facility Master'!A:A,0))*(B63-B62)/DaysInYear,0)</f>
        <v>2.27949534246575</v>
      </c>
      <c r="AL63" s="698" t="n">
        <f aca="false">IFERROR(ROUND(MAX(AH63+AI63-AJ63,0),6),0)</f>
        <v>94.5</v>
      </c>
      <c r="AM63" s="500" t="n">
        <f aca="false">F63+K63+P63+Z63+AE63+AJ63</f>
        <v>81.36</v>
      </c>
      <c r="AN63" s="500" t="n">
        <f aca="false">G63+L63+Q63+AA63+AF63+AK63</f>
        <v>10.2026642054795</v>
      </c>
      <c r="AO63" s="500" t="n">
        <f aca="false">AM63+AN63</f>
        <v>91.5626642054794</v>
      </c>
      <c r="AP63" s="500" t="n">
        <f aca="false">H63+M63+R63+AB63+AG63+AL63</f>
        <v>401.5125</v>
      </c>
    </row>
    <row r="64" customFormat="false" ht="15.75" hidden="false" customHeight="true" outlineLevel="0" collapsed="false">
      <c r="A64" s="699" t="n">
        <v>60</v>
      </c>
      <c r="B64" s="700" t="n">
        <v>50495</v>
      </c>
      <c r="C64" s="699" t="s">
        <v>724</v>
      </c>
      <c r="D64" s="701" t="n">
        <f aca="false">IFERROR(MAX(H63,0),0)</f>
        <v>126.5625</v>
      </c>
      <c r="E64" s="701" t="n">
        <f aca="false">IFERROR(IF(AND(INDEX('Facility Master'!X:X,MATCH(UBI_RTL1_SNo,'Facility Master'!A:A,0))&lt;=B64,INDEX('Facility Master'!X:X,MATCH(UBI_RTL1_SNo,'Facility Master'!A:A,0))&gt;B63),INDEX('Facility Master'!K:K,MATCH(UBI_RTL1_SNo,'Facility Master'!A:A,0)),0),0)</f>
        <v>0</v>
      </c>
      <c r="F64" s="701" t="n">
        <f aca="false">IFERROR(IF(B64&lt;UBI_RTL1_RepStart,0,IF(B64&gt;UBI_RTL1_Maturity,0,IF(COUNTIFS($B$5:$B64,"&gt;="&amp;UBI_RTL1_RepStart,$B$5:$B64,"&lt;="&amp;UBI_RTL1_Maturity)&lt;=8,INDEX('Facility Master'!K:K,MATCH(UBI_RTL1_SNo,'Facility Master'!A:A,0))*0.0125,IF(COUNTIFS($B$5:$B64,"&gt;="&amp;UBI_RTL1_RepStart,$B$5:$B64,"&lt;="&amp;UBI_RTL1_Maturity)&lt;=48,INDEX('Facility Master'!K:K,MATCH(UBI_RTL1_SNo,'Facility Master'!A:A,0))*0.0225,0)))),0)</f>
        <v>25.3125</v>
      </c>
      <c r="G64" s="701" t="n">
        <f aca="false">IFERROR((D64+(E64-F64)/2)*INDEX('Facility Master'!R:R,MATCH(UBI_RTL1_SNo,'Facility Master'!A:A,0))*(B64-B63)/DaysInYear,0)</f>
        <v>2.64012842465753</v>
      </c>
      <c r="H64" s="701" t="n">
        <f aca="false">IFERROR(ROUND(MAX(D64+E64-F64,0),6),0)</f>
        <v>101.25</v>
      </c>
      <c r="I64" s="701" t="n">
        <f aca="false">IFERROR(MAX(M63,0),0)</f>
        <v>26.55</v>
      </c>
      <c r="J64" s="701" t="n">
        <f aca="false">IFERROR(IF(AND(INDEX('Facility Master'!X:X,MATCH(UBI_RTL2_SNo,'Facility Master'!A:A,0))&lt;=B64,INDEX('Facility Master'!X:X,MATCH(UBI_RTL2_SNo,'Facility Master'!A:A,0))&gt;B63),INDEX('Facility Master'!K:K,MATCH(UBI_RTL2_SNo,'Facility Master'!A:A,0)),0),0)</f>
        <v>0</v>
      </c>
      <c r="K64" s="701" t="n">
        <f aca="false">IFERROR(IF(B64&lt;UBI_RTL2_RepStart,0,IF(B64&gt;UBI_RTL2_Maturity,0,IF(COUNTIFS($B$5:$B64,"&gt;="&amp;UBI_RTL2_RepStart,$B$5:$B64,"&lt;="&amp;UBI_RTL2_Maturity)&lt;=8,INDEX('Facility Master'!K:K,MATCH(UBI_RTL2_SNo,'Facility Master'!A:A,0))*0.0125,IF(COUNTIFS($B$5:$B64,"&gt;="&amp;UBI_RTL2_RepStart,$B$5:$B64,"&lt;="&amp;UBI_RTL2_Maturity)&lt;=48,INDEX('Facility Master'!K:K,MATCH(UBI_RTL2_SNo,'Facility Master'!A:A,0))*0.0225,0)))),0)</f>
        <v>5.31</v>
      </c>
      <c r="L64" s="701" t="n">
        <f aca="false">IFERROR((I64+(J64-K64)/2)*INDEX('Facility Master'!R:R,MATCH(UBI_RTL2_SNo,'Facility Master'!A:A,0))*(B64-B63)/DaysInYear,0)</f>
        <v>0.536164520547945</v>
      </c>
      <c r="M64" s="701" t="n">
        <f aca="false">IFERROR(ROUND(MAX(I64+J64-K64,0),6),0)</f>
        <v>21.24</v>
      </c>
      <c r="N64" s="701" t="n">
        <f aca="false">IFERROR(MAX(R63,0),0)</f>
        <v>21.15</v>
      </c>
      <c r="O64" s="701" t="n">
        <f aca="false">IFERROR(IF(AND(INDEX('Facility Master'!X:X,MATCH(IB_TL_SNo,'Facility Master'!A:A,0))&lt;=B64,INDEX('Facility Master'!X:X,MATCH(IB_TL_SNo,'Facility Master'!A:A,0))&gt;B63),INDEX('Facility Master'!K:K,MATCH(IB_TL_SNo,'Facility Master'!A:A,0)),0),0)</f>
        <v>0</v>
      </c>
      <c r="P64" s="701" t="n">
        <f aca="false">IFERROR(IF(B64&lt;IB_TL_RepStart,0,IF(B64&gt;IB_TL_Maturity,0,IF(COUNTIFS($B$5:$B64,"&gt;="&amp;IB_TL_RepStart,$B$5:$B64,"&lt;="&amp;IB_TL_Maturity)&lt;=8,INDEX('Facility Master'!K:K,MATCH(IB_TL_SNo,'Facility Master'!A:A,0))*0.0125,IF(COUNTIFS($B$5:$B64,"&gt;="&amp;IB_TL_RepStart,$B$5:$B64,"&lt;="&amp;IB_TL_Maturity)&lt;=48,INDEX('Facility Master'!K:K,MATCH(IB_TL_SNo,'Facility Master'!A:A,0))*0.0225,0)))),0)</f>
        <v>5.2875</v>
      </c>
      <c r="Q64" s="701" t="n">
        <f aca="false">IFERROR((N64+(O64-P64)/2)*INDEX('Facility Master'!R:R,MATCH(IB_TL_SNo,'Facility Master'!A:A,0))*(B64-B63)/DaysInYear,0)</f>
        <v>0.428939383561644</v>
      </c>
      <c r="R64" s="701" t="n">
        <f aca="false">IFERROR(ROUND(MAX(N64+O64-P64,0),6),0)</f>
        <v>15.8625</v>
      </c>
      <c r="S64" s="702" t="n">
        <f aca="false">IFERROR(MAX(W63,0),0)</f>
        <v>0</v>
      </c>
      <c r="T64" s="702" t="n">
        <f aca="false">IFERROR(IF(AND(INDEX('Facility Master'!X:X,MATCH(RBL_TL_SNo,'Facility Master'!A:A,0))&lt;=B64,INDEX('Facility Master'!X:X,MATCH(RBL_TL_SNo,'Facility Master'!A:A,0))&gt;B63),INDEX('Facility Master'!K:K,MATCH(RBL_TL_SNo,'Facility Master'!A:A,0)),0),0)</f>
        <v>0</v>
      </c>
      <c r="U64" s="702" t="n">
        <f aca="false">IFERROR(IF(AND(RBL_TL_Maturity&lt;=B64,RBL_TL_Maturity&gt;B63),INDEX('Facility Master'!K:K,MATCH(RBL_TL_SNo,'Facility Master'!A:A,0)),0),0)</f>
        <v>0</v>
      </c>
      <c r="V64" s="702" t="n">
        <f aca="false">IFERROR((S64+(T64-U64)/2)*INDEX('Facility Master'!R:R,MATCH(RBL_TL_SNo,'Facility Master'!A:A,0))*(B64-B63)/DaysInYear,0)</f>
        <v>0</v>
      </c>
      <c r="W64" s="702" t="n">
        <f aca="false">IFERROR(ROUND(MAX(S64+T64-U64,0),6),0)</f>
        <v>0</v>
      </c>
      <c r="X64" s="701" t="n">
        <f aca="false">IFERROR(MAX(AB63,0),0)</f>
        <v>73.125</v>
      </c>
      <c r="Y64" s="701" t="n">
        <f aca="false">IFERROR(IF(AND(INDEX('Facility Master'!X:X,MATCH(YBL_TL_SNo,'Facility Master'!A:A,0))&lt;=B64,INDEX('Facility Master'!X:X,MATCH(YBL_TL_SNo,'Facility Master'!A:A,0))&gt;B63),INDEX('Facility Master'!K:K,MATCH(YBL_TL_SNo,'Facility Master'!A:A,0)),0),0)</f>
        <v>0</v>
      </c>
      <c r="Z64" s="701" t="n">
        <f aca="false">IFERROR(IF(B64&lt;YBL_TL_RepStart,0,IF(B64&gt;YBL_TL_Maturity,0,IF(COUNTIFS($B$5:$B64,"&gt;="&amp;YBL_TL_RepStart,$B$5:$B64,"&lt;="&amp;YBL_TL_Maturity)&lt;=8,INDEX('Facility Master'!K:K,MATCH(YBL_TL_SNo,'Facility Master'!A:A,0))*0.0125,IF(COUNTIFS($B$5:$B64,"&gt;="&amp;YBL_TL_RepStart,$B$5:$B64,"&lt;="&amp;YBL_TL_Maturity)&lt;=48,INDEX('Facility Master'!K:K,MATCH(YBL_TL_SNo,'Facility Master'!A:A,0))*0.0225,0)))),0)</f>
        <v>14.625</v>
      </c>
      <c r="AA64" s="701" t="n">
        <f aca="false">IFERROR((X64+(Y64-Z64)/2)*INDEX('Facility Master'!R:R,MATCH(YBL_TL_SNo,'Facility Master'!A:A,0))*(B64-B63)/DaysInYear,0)</f>
        <v>1.54974914383562</v>
      </c>
      <c r="AB64" s="701" t="n">
        <f aca="false">IFERROR(ROUND(MAX(X64+Y64-Z64,0),6),0)</f>
        <v>58.5</v>
      </c>
      <c r="AC64" s="701" t="n">
        <f aca="false">IFERROR(MAX(AG63,0),0)</f>
        <v>59.625</v>
      </c>
      <c r="AD64" s="701" t="n">
        <f aca="false">IFERROR(IF(AND(INDEX('Facility Master'!X:X,MATCH(IDFC_TL_SNo,'Facility Master'!A:A,0))&lt;=B64,INDEX('Facility Master'!X:X,MATCH(IDFC_TL_SNo,'Facility Master'!A:A,0))&gt;B63),INDEX('Facility Master'!K:K,MATCH(IDFC_TL_SNo,'Facility Master'!A:A,0)),0),0)</f>
        <v>0</v>
      </c>
      <c r="AE64" s="701" t="n">
        <f aca="false">IFERROR(IF(B64&lt;IDFC_TL_RepStart,0,IF(B64&gt;IDFC_TL_Maturity,0,IF(COUNTIFS($B$5:$B64,"&gt;="&amp;IDFC_TL_RepStart,$B$5:$B64,"&lt;="&amp;IDFC_TL_Maturity)&lt;=8,INDEX('Facility Master'!K:K,MATCH(IDFC_TL_SNo,'Facility Master'!A:A,0))*0.0125,IF(COUNTIFS($B$5:$B64,"&gt;="&amp;IDFC_TL_RepStart,$B$5:$B64,"&lt;="&amp;IDFC_TL_Maturity)&lt;=48,INDEX('Facility Master'!K:K,MATCH(IDFC_TL_SNo,'Facility Master'!A:A,0))*0.0225,0)))),0)</f>
        <v>11.925</v>
      </c>
      <c r="AF64" s="701" t="n">
        <f aca="false">IFERROR((AC64+(AD64-AE64)/2)*INDEX('Facility Master'!R:R,MATCH(IDFC_TL_SNo,'Facility Master'!A:A,0))*(B64-B63)/DaysInYear,0)</f>
        <v>1.16440273972603</v>
      </c>
      <c r="AG64" s="701" t="n">
        <f aca="false">IFERROR(ROUND(MAX(AC64+AD64-AE64,0),6),0)</f>
        <v>47.7</v>
      </c>
      <c r="AH64" s="703" t="n">
        <f aca="false">IFERROR(MAX(AL63,0),0)</f>
        <v>94.5</v>
      </c>
      <c r="AI64" s="703" t="n">
        <f aca="false">IFERROR(IF(AND(INDEX('Facility Master'!X:X,MATCH(ICICI_TL_SNo,'Facility Master'!A:A,0))&lt;=B64,INDEX('Facility Master'!X:X,MATCH(ICICI_TL_SNo,'Facility Master'!A:A,0))&gt;B63),INDEX('Facility Master'!K:K,MATCH(ICICI_TL_SNo,'Facility Master'!A:A,0)),0),0)</f>
        <v>0</v>
      </c>
      <c r="AJ64" s="703" t="n">
        <f aca="false">IFERROR(IF(B64&lt;ICICI_TL_RepStart,0,IF(B64&gt;ICICI_TL_Maturity,0,IF(COUNTIFS($B$5:$B64,"&gt;="&amp;ICICI_TL_RepStart,$B$5:$B64,"&lt;="&amp;ICICI_TL_Maturity)&lt;=8,INDEX('Facility Master'!K:K,MATCH(ICICI_TL_SNo,'Facility Master'!A:A,0))*0.0125,IF(COUNTIFS($B$5:$B64,"&gt;="&amp;ICICI_TL_RepStart,$B$5:$B64,"&lt;="&amp;ICICI_TL_Maturity)&lt;=48,INDEX('Facility Master'!K:K,MATCH(ICICI_TL_SNo,'Facility Master'!A:A,0))*0.0225,0)))),0)</f>
        <v>18.9</v>
      </c>
      <c r="AK64" s="703" t="n">
        <f aca="false">IFERROR((AH64+(AI64-AJ64)/2)*INDEX('Facility Master'!R:R,MATCH(ICICI_TL_SNo,'Facility Master'!A:A,0))*(B64-B63)/DaysInYear,0)</f>
        <v>1.82449726027397</v>
      </c>
      <c r="AL64" s="703" t="n">
        <f aca="false">IFERROR(ROUND(MAX(AH64+AI64-AJ64,0),6),0)</f>
        <v>75.6</v>
      </c>
      <c r="AM64" s="701" t="n">
        <f aca="false">F64+K64+P64+Z64+AE64+AJ64</f>
        <v>81.36</v>
      </c>
      <c r="AN64" s="701" t="n">
        <f aca="false">G64+L64+Q64+AA64+AF64+AK64</f>
        <v>8.14388147260274</v>
      </c>
      <c r="AO64" s="701" t="n">
        <f aca="false">AM64+AN64</f>
        <v>89.5038814726027</v>
      </c>
      <c r="AP64" s="701" t="n">
        <f aca="false">H64+M64+R64+AB64+AG64+AL64</f>
        <v>320.1525</v>
      </c>
    </row>
    <row r="65" customFormat="false" ht="15.75" hidden="false" customHeight="true" outlineLevel="0" collapsed="false">
      <c r="A65" s="496" t="n">
        <v>61</v>
      </c>
      <c r="B65" s="696" t="n">
        <v>50586</v>
      </c>
      <c r="C65" s="496" t="s">
        <v>725</v>
      </c>
      <c r="D65" s="500" t="n">
        <f aca="false">IFERROR(MAX(H64,0),0)</f>
        <v>101.25</v>
      </c>
      <c r="E65" s="500" t="n">
        <f aca="false">IFERROR(IF(AND(INDEX('Facility Master'!X:X,MATCH(UBI_RTL1_SNo,'Facility Master'!A:A,0))&lt;=B65,INDEX('Facility Master'!X:X,MATCH(UBI_RTL1_SNo,'Facility Master'!A:A,0))&gt;B64),INDEX('Facility Master'!K:K,MATCH(UBI_RTL1_SNo,'Facility Master'!A:A,0)),0),0)</f>
        <v>0</v>
      </c>
      <c r="F65" s="500" t="n">
        <f aca="false">IFERROR(IF(B65&lt;UBI_RTL1_RepStart,0,IF(B65&gt;UBI_RTL1_Maturity,0,IF(COUNTIFS($B$5:$B65,"&gt;="&amp;UBI_RTL1_RepStart,$B$5:$B65,"&lt;="&amp;UBI_RTL1_Maturity)&lt;=8,INDEX('Facility Master'!K:K,MATCH(UBI_RTL1_SNo,'Facility Master'!A:A,0))*0.0125,IF(COUNTIFS($B$5:$B65,"&gt;="&amp;UBI_RTL1_RepStart,$B$5:$B65,"&lt;="&amp;UBI_RTL1_Maturity)&lt;=48,INDEX('Facility Master'!K:K,MATCH(UBI_RTL1_SNo,'Facility Master'!A:A,0))*0.0225,0)))),0)</f>
        <v>25.3125</v>
      </c>
      <c r="G65" s="500" t="n">
        <f aca="false">IFERROR((D65+(E65-F65)/2)*INDEX('Facility Master'!R:R,MATCH(UBI_RTL1_SNo,'Facility Master'!A:A,0))*(B65-B64)/DaysInYear,0)</f>
        <v>2.07624914383562</v>
      </c>
      <c r="H65" s="500" t="n">
        <f aca="false">IFERROR(ROUND(MAX(D65+E65-F65,0),6),0)</f>
        <v>75.9375</v>
      </c>
      <c r="I65" s="500" t="n">
        <f aca="false">IFERROR(MAX(M64,0),0)</f>
        <v>21.24</v>
      </c>
      <c r="J65" s="500" t="n">
        <f aca="false">IFERROR(IF(AND(INDEX('Facility Master'!X:X,MATCH(UBI_RTL2_SNo,'Facility Master'!A:A,0))&lt;=B65,INDEX('Facility Master'!X:X,MATCH(UBI_RTL2_SNo,'Facility Master'!A:A,0))&gt;B64),INDEX('Facility Master'!K:K,MATCH(UBI_RTL2_SNo,'Facility Master'!A:A,0)),0),0)</f>
        <v>0</v>
      </c>
      <c r="K65" s="500" t="n">
        <f aca="false">IFERROR(IF(B65&lt;UBI_RTL2_RepStart,0,IF(B65&gt;UBI_RTL2_Maturity,0,IF(COUNTIFS($B$5:$B65,"&gt;="&amp;UBI_RTL2_RepStart,$B$5:$B65,"&lt;="&amp;UBI_RTL2_Maturity)&lt;=8,INDEX('Facility Master'!K:K,MATCH(UBI_RTL2_SNo,'Facility Master'!A:A,0))*0.0125,IF(COUNTIFS($B$5:$B65,"&gt;="&amp;UBI_RTL2_RepStart,$B$5:$B65,"&lt;="&amp;UBI_RTL2_Maturity)&lt;=48,INDEX('Facility Master'!K:K,MATCH(UBI_RTL2_SNo,'Facility Master'!A:A,0))*0.0225,0)))),0)</f>
        <v>5.31</v>
      </c>
      <c r="L65" s="500" t="n">
        <f aca="false">IFERROR((I65+(J65-K65)/2)*INDEX('Facility Master'!R:R,MATCH(UBI_RTL2_SNo,'Facility Master'!A:A,0))*(B65-B64)/DaysInYear,0)</f>
        <v>0.421650369863014</v>
      </c>
      <c r="M65" s="500" t="n">
        <f aca="false">IFERROR(ROUND(MAX(I65+J65-K65,0),6),0)</f>
        <v>15.93</v>
      </c>
      <c r="N65" s="500" t="n">
        <f aca="false">IFERROR(MAX(R64,0),0)</f>
        <v>15.8625</v>
      </c>
      <c r="O65" s="500" t="n">
        <f aca="false">IFERROR(IF(AND(INDEX('Facility Master'!X:X,MATCH(IB_TL_SNo,'Facility Master'!A:A,0))&lt;=B65,INDEX('Facility Master'!X:X,MATCH(IB_TL_SNo,'Facility Master'!A:A,0))&gt;B64),INDEX('Facility Master'!K:K,MATCH(IB_TL_SNo,'Facility Master'!A:A,0)),0),0)</f>
        <v>0</v>
      </c>
      <c r="P65" s="500" t="n">
        <f aca="false">IFERROR(IF(B65&lt;IB_TL_RepStart,0,IF(B65&gt;IB_TL_Maturity,0,IF(COUNTIFS($B$5:$B65,"&gt;="&amp;IB_TL_RepStart,$B$5:$B65,"&lt;="&amp;IB_TL_Maturity)&lt;=8,INDEX('Facility Master'!K:K,MATCH(IB_TL_SNo,'Facility Master'!A:A,0))*0.0125,IF(COUNTIFS($B$5:$B65,"&gt;="&amp;IB_TL_RepStart,$B$5:$B65,"&lt;="&amp;IB_TL_Maturity)&lt;=48,INDEX('Facility Master'!K:K,MATCH(IB_TL_SNo,'Facility Master'!A:A,0))*0.0225,0)))),0)</f>
        <v>5.2875</v>
      </c>
      <c r="Q65" s="500" t="n">
        <f aca="false">IFERROR((N65+(O65-P65)/2)*INDEX('Facility Master'!R:R,MATCH(IB_TL_SNo,'Facility Master'!A:A,0))*(B65-B64)/DaysInYear,0)</f>
        <v>0.309789554794521</v>
      </c>
      <c r="R65" s="500" t="n">
        <f aca="false">IFERROR(ROUND(MAX(N65+O65-P65,0),6),0)</f>
        <v>10.575</v>
      </c>
      <c r="S65" s="697" t="n">
        <f aca="false">IFERROR(MAX(W64,0),0)</f>
        <v>0</v>
      </c>
      <c r="T65" s="697" t="n">
        <f aca="false">IFERROR(IF(AND(INDEX('Facility Master'!X:X,MATCH(RBL_TL_SNo,'Facility Master'!A:A,0))&lt;=B65,INDEX('Facility Master'!X:X,MATCH(RBL_TL_SNo,'Facility Master'!A:A,0))&gt;B64),INDEX('Facility Master'!K:K,MATCH(RBL_TL_SNo,'Facility Master'!A:A,0)),0),0)</f>
        <v>0</v>
      </c>
      <c r="U65" s="697" t="n">
        <f aca="false">IFERROR(IF(AND(RBL_TL_Maturity&lt;=B65,RBL_TL_Maturity&gt;B64),INDEX('Facility Master'!K:K,MATCH(RBL_TL_SNo,'Facility Master'!A:A,0)),0),0)</f>
        <v>0</v>
      </c>
      <c r="V65" s="697" t="n">
        <f aca="false">IFERROR((S65+(T65-U65)/2)*INDEX('Facility Master'!R:R,MATCH(RBL_TL_SNo,'Facility Master'!A:A,0))*(B65-B64)/DaysInYear,0)</f>
        <v>0</v>
      </c>
      <c r="W65" s="697" t="n">
        <f aca="false">IFERROR(ROUND(MAX(S65+T65-U65,0),6),0)</f>
        <v>0</v>
      </c>
      <c r="X65" s="500" t="n">
        <f aca="false">IFERROR(MAX(AB64,0),0)</f>
        <v>58.5</v>
      </c>
      <c r="Y65" s="500" t="n">
        <f aca="false">IFERROR(IF(AND(INDEX('Facility Master'!X:X,MATCH(YBL_TL_SNo,'Facility Master'!A:A,0))&lt;=B65,INDEX('Facility Master'!X:X,MATCH(YBL_TL_SNo,'Facility Master'!A:A,0))&gt;B64),INDEX('Facility Master'!K:K,MATCH(YBL_TL_SNo,'Facility Master'!A:A,0)),0),0)</f>
        <v>0</v>
      </c>
      <c r="Z65" s="500" t="n">
        <f aca="false">IFERROR(IF(B65&lt;YBL_TL_RepStart,0,IF(B65&gt;YBL_TL_Maturity,0,IF(COUNTIFS($B$5:$B65,"&gt;="&amp;YBL_TL_RepStart,$B$5:$B65,"&lt;="&amp;YBL_TL_Maturity)&lt;=8,INDEX('Facility Master'!K:K,MATCH(YBL_TL_SNo,'Facility Master'!A:A,0))*0.0125,IF(COUNTIFS($B$5:$B65,"&gt;="&amp;YBL_TL_RepStart,$B$5:$B65,"&lt;="&amp;YBL_TL_Maturity)&lt;=48,INDEX('Facility Master'!K:K,MATCH(YBL_TL_SNo,'Facility Master'!A:A,0))*0.0225,0)))),0)</f>
        <v>14.625</v>
      </c>
      <c r="AA65" s="500" t="n">
        <f aca="false">IFERROR((X65+(Y65-Z65)/2)*INDEX('Facility Master'!R:R,MATCH(YBL_TL_SNo,'Facility Master'!A:A,0))*(B65-B64)/DaysInYear,0)</f>
        <v>1.2187533390411</v>
      </c>
      <c r="AB65" s="500" t="n">
        <f aca="false">IFERROR(ROUND(MAX(X65+Y65-Z65,0),6),0)</f>
        <v>43.875</v>
      </c>
      <c r="AC65" s="500" t="n">
        <f aca="false">IFERROR(MAX(AG64,0),0)</f>
        <v>47.7</v>
      </c>
      <c r="AD65" s="500" t="n">
        <f aca="false">IFERROR(IF(AND(INDEX('Facility Master'!X:X,MATCH(IDFC_TL_SNo,'Facility Master'!A:A,0))&lt;=B65,INDEX('Facility Master'!X:X,MATCH(IDFC_TL_SNo,'Facility Master'!A:A,0))&gt;B64),INDEX('Facility Master'!K:K,MATCH(IDFC_TL_SNo,'Facility Master'!A:A,0)),0),0)</f>
        <v>0</v>
      </c>
      <c r="AE65" s="500" t="n">
        <f aca="false">IFERROR(IF(B65&lt;IDFC_TL_RepStart,0,IF(B65&gt;IDFC_TL_Maturity,0,IF(COUNTIFS($B$5:$B65,"&gt;="&amp;IDFC_TL_RepStart,$B$5:$B65,"&lt;="&amp;IDFC_TL_Maturity)&lt;=8,INDEX('Facility Master'!K:K,MATCH(IDFC_TL_SNo,'Facility Master'!A:A,0))*0.0125,IF(COUNTIFS($B$5:$B65,"&gt;="&amp;IDFC_TL_RepStart,$B$5:$B65,"&lt;="&amp;IDFC_TL_Maturity)&lt;=48,INDEX('Facility Master'!K:K,MATCH(IDFC_TL_SNo,'Facility Master'!A:A,0))*0.0225,0)))),0)</f>
        <v>11.925</v>
      </c>
      <c r="AF65" s="500" t="n">
        <f aca="false">IFERROR((AC65+(AD65-AE65)/2)*INDEX('Facility Master'!R:R,MATCH(IDFC_TL_SNo,'Facility Master'!A:A,0))*(B65-B64)/DaysInYear,0)</f>
        <v>0.915709315068493</v>
      </c>
      <c r="AG65" s="500" t="n">
        <f aca="false">IFERROR(ROUND(MAX(AC65+AD65-AE65,0),6),0)</f>
        <v>35.775</v>
      </c>
      <c r="AH65" s="698" t="n">
        <f aca="false">IFERROR(MAX(AL64,0),0)</f>
        <v>75.6</v>
      </c>
      <c r="AI65" s="698" t="n">
        <f aca="false">IFERROR(IF(AND(INDEX('Facility Master'!X:X,MATCH(ICICI_TL_SNo,'Facility Master'!A:A,0))&lt;=B65,INDEX('Facility Master'!X:X,MATCH(ICICI_TL_SNo,'Facility Master'!A:A,0))&gt;B64),INDEX('Facility Master'!K:K,MATCH(ICICI_TL_SNo,'Facility Master'!A:A,0)),0),0)</f>
        <v>0</v>
      </c>
      <c r="AJ65" s="698" t="n">
        <f aca="false">IFERROR(IF(B65&lt;ICICI_TL_RepStart,0,IF(B65&gt;ICICI_TL_Maturity,0,IF(COUNTIFS($B$5:$B65,"&gt;="&amp;ICICI_TL_RepStart,$B$5:$B65,"&lt;="&amp;ICICI_TL_Maturity)&lt;=8,INDEX('Facility Master'!K:K,MATCH(ICICI_TL_SNo,'Facility Master'!A:A,0))*0.0125,IF(COUNTIFS($B$5:$B65,"&gt;="&amp;ICICI_TL_RepStart,$B$5:$B65,"&lt;="&amp;ICICI_TL_Maturity)&lt;=48,INDEX('Facility Master'!K:K,MATCH(ICICI_TL_SNo,'Facility Master'!A:A,0))*0.0225,0)))),0)</f>
        <v>18.9</v>
      </c>
      <c r="AK65" s="698" t="n">
        <f aca="false">IFERROR((AH65+(AI65-AJ65)/2)*INDEX('Facility Master'!R:R,MATCH(ICICI_TL_SNo,'Facility Master'!A:A,0))*(B65-B64)/DaysInYear,0)</f>
        <v>1.43482068493151</v>
      </c>
      <c r="AL65" s="698" t="n">
        <f aca="false">IFERROR(ROUND(MAX(AH65+AI65-AJ65,0),6),0)</f>
        <v>56.7</v>
      </c>
      <c r="AM65" s="500" t="n">
        <f aca="false">F65+K65+P65+Z65+AE65+AJ65</f>
        <v>81.36</v>
      </c>
      <c r="AN65" s="500" t="n">
        <f aca="false">G65+L65+Q65+AA65+AF65+AK65</f>
        <v>6.37697240753425</v>
      </c>
      <c r="AO65" s="500" t="n">
        <f aca="false">AM65+AN65</f>
        <v>87.7369724075342</v>
      </c>
      <c r="AP65" s="500" t="n">
        <f aca="false">H65+M65+R65+AB65+AG65+AL65</f>
        <v>238.7925</v>
      </c>
    </row>
    <row r="66" customFormat="false" ht="15.75" hidden="false" customHeight="true" outlineLevel="0" collapsed="false">
      <c r="A66" s="699" t="n">
        <v>62</v>
      </c>
      <c r="B66" s="700" t="n">
        <v>50678</v>
      </c>
      <c r="C66" s="699" t="s">
        <v>726</v>
      </c>
      <c r="D66" s="701" t="n">
        <f aca="false">IFERROR(MAX(H65,0),0)</f>
        <v>75.9375</v>
      </c>
      <c r="E66" s="701" t="n">
        <f aca="false">IFERROR(IF(AND(INDEX('Facility Master'!X:X,MATCH(UBI_RTL1_SNo,'Facility Master'!A:A,0))&lt;=B66,INDEX('Facility Master'!X:X,MATCH(UBI_RTL1_SNo,'Facility Master'!A:A,0))&gt;B65),INDEX('Facility Master'!K:K,MATCH(UBI_RTL1_SNo,'Facility Master'!A:A,0)),0),0)</f>
        <v>0</v>
      </c>
      <c r="F66" s="701" t="n">
        <f aca="false">IFERROR(IF(B66&lt;UBI_RTL1_RepStart,0,IF(B66&gt;UBI_RTL1_Maturity,0,IF(COUNTIFS($B$5:$B66,"&gt;="&amp;UBI_RTL1_RepStart,$B$5:$B66,"&lt;="&amp;UBI_RTL1_Maturity)&lt;=8,INDEX('Facility Master'!K:K,MATCH(UBI_RTL1_SNo,'Facility Master'!A:A,0))*0.0125,IF(COUNTIFS($B$5:$B66,"&gt;="&amp;UBI_RTL1_RepStart,$B$5:$B66,"&lt;="&amp;UBI_RTL1_Maturity)&lt;=48,INDEX('Facility Master'!K:K,MATCH(UBI_RTL1_SNo,'Facility Master'!A:A,0))*0.0225,0)))),0)</f>
        <v>25.3125</v>
      </c>
      <c r="G66" s="701" t="n">
        <f aca="false">IFERROR((D66+(E66-F66)/2)*INDEX('Facility Master'!R:R,MATCH(UBI_RTL1_SNo,'Facility Master'!A:A,0))*(B66-B65)/DaysInYear,0)</f>
        <v>1.49933219178082</v>
      </c>
      <c r="H66" s="701" t="n">
        <f aca="false">IFERROR(ROUND(MAX(D66+E66-F66,0),6),0)</f>
        <v>50.625</v>
      </c>
      <c r="I66" s="701" t="n">
        <f aca="false">IFERROR(MAX(M65,0),0)</f>
        <v>15.93</v>
      </c>
      <c r="J66" s="701" t="n">
        <f aca="false">IFERROR(IF(AND(INDEX('Facility Master'!X:X,MATCH(UBI_RTL2_SNo,'Facility Master'!A:A,0))&lt;=B66,INDEX('Facility Master'!X:X,MATCH(UBI_RTL2_SNo,'Facility Master'!A:A,0))&gt;B65),INDEX('Facility Master'!K:K,MATCH(UBI_RTL2_SNo,'Facility Master'!A:A,0)),0),0)</f>
        <v>0</v>
      </c>
      <c r="K66" s="701" t="n">
        <f aca="false">IFERROR(IF(B66&lt;UBI_RTL2_RepStart,0,IF(B66&gt;UBI_RTL2_Maturity,0,IF(COUNTIFS($B$5:$B66,"&gt;="&amp;UBI_RTL2_RepStart,$B$5:$B66,"&lt;="&amp;UBI_RTL2_Maturity)&lt;=8,INDEX('Facility Master'!K:K,MATCH(UBI_RTL2_SNo,'Facility Master'!A:A,0))*0.0125,IF(COUNTIFS($B$5:$B66,"&gt;="&amp;UBI_RTL2_RepStart,$B$5:$B66,"&lt;="&amp;UBI_RTL2_Maturity)&lt;=48,INDEX('Facility Master'!K:K,MATCH(UBI_RTL2_SNo,'Facility Master'!A:A,0))*0.0225,0)))),0)</f>
        <v>5.31</v>
      </c>
      <c r="L66" s="701" t="n">
        <f aca="false">IFERROR((I66+(J66-K66)/2)*INDEX('Facility Master'!R:R,MATCH(UBI_RTL2_SNo,'Facility Master'!A:A,0))*(B66-B65)/DaysInYear,0)</f>
        <v>0.304488493150685</v>
      </c>
      <c r="M66" s="701" t="n">
        <f aca="false">IFERROR(ROUND(MAX(I66+J66-K66,0),6),0)</f>
        <v>10.62</v>
      </c>
      <c r="N66" s="701" t="n">
        <f aca="false">IFERROR(MAX(R65,0),0)</f>
        <v>10.575</v>
      </c>
      <c r="O66" s="701" t="n">
        <f aca="false">IFERROR(IF(AND(INDEX('Facility Master'!X:X,MATCH(IB_TL_SNo,'Facility Master'!A:A,0))&lt;=B66,INDEX('Facility Master'!X:X,MATCH(IB_TL_SNo,'Facility Master'!A:A,0))&gt;B65),INDEX('Facility Master'!K:K,MATCH(IB_TL_SNo,'Facility Master'!A:A,0)),0),0)</f>
        <v>0</v>
      </c>
      <c r="P66" s="701" t="n">
        <f aca="false">IFERROR(IF(B66&lt;IB_TL_RepStart,0,IF(B66&gt;IB_TL_Maturity,0,IF(COUNTIFS($B$5:$B66,"&gt;="&amp;IB_TL_RepStart,$B$5:$B66,"&lt;="&amp;IB_TL_Maturity)&lt;=8,INDEX('Facility Master'!K:K,MATCH(IB_TL_SNo,'Facility Master'!A:A,0))*0.0125,IF(COUNTIFS($B$5:$B66,"&gt;="&amp;IB_TL_RepStart,$B$5:$B66,"&lt;="&amp;IB_TL_Maturity)&lt;=48,INDEX('Facility Master'!K:K,MATCH(IB_TL_SNo,'Facility Master'!A:A,0))*0.0225,0)))),0)</f>
        <v>5.2875</v>
      </c>
      <c r="Q66" s="701" t="n">
        <f aca="false">IFERROR((N66+(O66-P66)/2)*INDEX('Facility Master'!R:R,MATCH(IB_TL_SNo,'Facility Master'!A:A,0))*(B66-B65)/DaysInYear,0)</f>
        <v>0.187916301369863</v>
      </c>
      <c r="R66" s="701" t="n">
        <f aca="false">IFERROR(ROUND(MAX(N66+O66-P66,0),6),0)</f>
        <v>5.2875</v>
      </c>
      <c r="S66" s="702" t="n">
        <f aca="false">IFERROR(MAX(W65,0),0)</f>
        <v>0</v>
      </c>
      <c r="T66" s="702" t="n">
        <f aca="false">IFERROR(IF(AND(INDEX('Facility Master'!X:X,MATCH(RBL_TL_SNo,'Facility Master'!A:A,0))&lt;=B66,INDEX('Facility Master'!X:X,MATCH(RBL_TL_SNo,'Facility Master'!A:A,0))&gt;B65),INDEX('Facility Master'!K:K,MATCH(RBL_TL_SNo,'Facility Master'!A:A,0)),0),0)</f>
        <v>0</v>
      </c>
      <c r="U66" s="702" t="n">
        <f aca="false">IFERROR(IF(AND(RBL_TL_Maturity&lt;=B66,RBL_TL_Maturity&gt;B65),INDEX('Facility Master'!K:K,MATCH(RBL_TL_SNo,'Facility Master'!A:A,0)),0),0)</f>
        <v>0</v>
      </c>
      <c r="V66" s="702" t="n">
        <f aca="false">IFERROR((S66+(T66-U66)/2)*INDEX('Facility Master'!R:R,MATCH(RBL_TL_SNo,'Facility Master'!A:A,0))*(B66-B65)/DaysInYear,0)</f>
        <v>0</v>
      </c>
      <c r="W66" s="702" t="n">
        <f aca="false">IFERROR(ROUND(MAX(S66+T66-U66,0),6),0)</f>
        <v>0</v>
      </c>
      <c r="X66" s="701" t="n">
        <f aca="false">IFERROR(MAX(AB65,0),0)</f>
        <v>43.875</v>
      </c>
      <c r="Y66" s="701" t="n">
        <f aca="false">IFERROR(IF(AND(INDEX('Facility Master'!X:X,MATCH(YBL_TL_SNo,'Facility Master'!A:A,0))&lt;=B66,INDEX('Facility Master'!X:X,MATCH(YBL_TL_SNo,'Facility Master'!A:A,0))&gt;B65),INDEX('Facility Master'!K:K,MATCH(YBL_TL_SNo,'Facility Master'!A:A,0)),0),0)</f>
        <v>0</v>
      </c>
      <c r="Z66" s="701" t="n">
        <f aca="false">IFERROR(IF(B66&lt;YBL_TL_RepStart,0,IF(B66&gt;YBL_TL_Maturity,0,IF(COUNTIFS($B$5:$B66,"&gt;="&amp;YBL_TL_RepStart,$B$5:$B66,"&lt;="&amp;YBL_TL_Maturity)&lt;=8,INDEX('Facility Master'!K:K,MATCH(YBL_TL_SNo,'Facility Master'!A:A,0))*0.0125,IF(COUNTIFS($B$5:$B66,"&gt;="&amp;YBL_TL_RepStart,$B$5:$B66,"&lt;="&amp;YBL_TL_Maturity)&lt;=48,INDEX('Facility Master'!K:K,MATCH(YBL_TL_SNo,'Facility Master'!A:A,0))*0.0225,0)))),0)</f>
        <v>14.625</v>
      </c>
      <c r="AA66" s="701" t="n">
        <f aca="false">IFERROR((X66+(Y66-Z66)/2)*INDEX('Facility Master'!R:R,MATCH(YBL_TL_SNo,'Facility Master'!A:A,0))*(B66-B65)/DaysInYear,0)</f>
        <v>0.880104452054795</v>
      </c>
      <c r="AB66" s="701" t="n">
        <f aca="false">IFERROR(ROUND(MAX(X66+Y66-Z66,0),6),0)</f>
        <v>29.25</v>
      </c>
      <c r="AC66" s="701" t="n">
        <f aca="false">IFERROR(MAX(AG65,0),0)</f>
        <v>35.775</v>
      </c>
      <c r="AD66" s="701" t="n">
        <f aca="false">IFERROR(IF(AND(INDEX('Facility Master'!X:X,MATCH(IDFC_TL_SNo,'Facility Master'!A:A,0))&lt;=B66,INDEX('Facility Master'!X:X,MATCH(IDFC_TL_SNo,'Facility Master'!A:A,0))&gt;B65),INDEX('Facility Master'!K:K,MATCH(IDFC_TL_SNo,'Facility Master'!A:A,0)),0),0)</f>
        <v>0</v>
      </c>
      <c r="AE66" s="701" t="n">
        <f aca="false">IFERROR(IF(B66&lt;IDFC_TL_RepStart,0,IF(B66&gt;IDFC_TL_Maturity,0,IF(COUNTIFS($B$5:$B66,"&gt;="&amp;IDFC_TL_RepStart,$B$5:$B66,"&lt;="&amp;IDFC_TL_Maturity)&lt;=8,INDEX('Facility Master'!K:K,MATCH(IDFC_TL_SNo,'Facility Master'!A:A,0))*0.0125,IF(COUNTIFS($B$5:$B66,"&gt;="&amp;IDFC_TL_RepStart,$B$5:$B66,"&lt;="&amp;IDFC_TL_Maturity)&lt;=48,INDEX('Facility Master'!K:K,MATCH(IDFC_TL_SNo,'Facility Master'!A:A,0))*0.0225,0)))),0)</f>
        <v>11.925</v>
      </c>
      <c r="AF66" s="701" t="n">
        <f aca="false">IFERROR((AC66+(AD66-AE66)/2)*INDEX('Facility Master'!R:R,MATCH(IDFC_TL_SNo,'Facility Master'!A:A,0))*(B66-B65)/DaysInYear,0)</f>
        <v>0.661265753424658</v>
      </c>
      <c r="AG66" s="701" t="n">
        <f aca="false">IFERROR(ROUND(MAX(AC66+AD66-AE66,0),6),0)</f>
        <v>23.85</v>
      </c>
      <c r="AH66" s="703" t="n">
        <f aca="false">IFERROR(MAX(AL65,0),0)</f>
        <v>56.7</v>
      </c>
      <c r="AI66" s="703" t="n">
        <f aca="false">IFERROR(IF(AND(INDEX('Facility Master'!X:X,MATCH(ICICI_TL_SNo,'Facility Master'!A:A,0))&lt;=B66,INDEX('Facility Master'!X:X,MATCH(ICICI_TL_SNo,'Facility Master'!A:A,0))&gt;B65),INDEX('Facility Master'!K:K,MATCH(ICICI_TL_SNo,'Facility Master'!A:A,0)),0),0)</f>
        <v>0</v>
      </c>
      <c r="AJ66" s="703" t="n">
        <f aca="false">IFERROR(IF(B66&lt;ICICI_TL_RepStart,0,IF(B66&gt;ICICI_TL_Maturity,0,IF(COUNTIFS($B$5:$B66,"&gt;="&amp;ICICI_TL_RepStart,$B$5:$B66,"&lt;="&amp;ICICI_TL_Maturity)&lt;=8,INDEX('Facility Master'!K:K,MATCH(ICICI_TL_SNo,'Facility Master'!A:A,0))*0.0125,IF(COUNTIFS($B$5:$B66,"&gt;="&amp;ICICI_TL_RepStart,$B$5:$B66,"&lt;="&amp;ICICI_TL_Maturity)&lt;=48,INDEX('Facility Master'!K:K,MATCH(ICICI_TL_SNo,'Facility Master'!A:A,0))*0.0225,0)))),0)</f>
        <v>18.9</v>
      </c>
      <c r="AK66" s="703" t="n">
        <f aca="false">IFERROR((AH66+(AI66-AJ66)/2)*INDEX('Facility Master'!R:R,MATCH(ICICI_TL_SNo,'Facility Master'!A:A,0))*(B66-B65)/DaysInYear,0)</f>
        <v>1.03613424657534</v>
      </c>
      <c r="AL66" s="703" t="n">
        <f aca="false">IFERROR(ROUND(MAX(AH66+AI66-AJ66,0),6),0)</f>
        <v>37.8</v>
      </c>
      <c r="AM66" s="701" t="n">
        <f aca="false">F66+K66+P66+Z66+AE66+AJ66</f>
        <v>81.36</v>
      </c>
      <c r="AN66" s="701" t="n">
        <f aca="false">G66+L66+Q66+AA66+AF66+AK66</f>
        <v>4.56924143835617</v>
      </c>
      <c r="AO66" s="701" t="n">
        <f aca="false">AM66+AN66</f>
        <v>85.9292414383561</v>
      </c>
      <c r="AP66" s="701" t="n">
        <f aca="false">H66+M66+R66+AB66+AG66+AL66</f>
        <v>157.4325</v>
      </c>
    </row>
    <row r="67" customFormat="false" ht="15.75" hidden="false" customHeight="true" outlineLevel="0" collapsed="false">
      <c r="A67" s="496" t="n">
        <v>63</v>
      </c>
      <c r="B67" s="696" t="n">
        <v>50770</v>
      </c>
      <c r="C67" s="496" t="s">
        <v>727</v>
      </c>
      <c r="D67" s="500" t="n">
        <f aca="false">IFERROR(MAX(H66,0),0)</f>
        <v>50.625</v>
      </c>
      <c r="E67" s="500" t="n">
        <f aca="false">IFERROR(IF(AND(INDEX('Facility Master'!X:X,MATCH(UBI_RTL1_SNo,'Facility Master'!A:A,0))&lt;=B67,INDEX('Facility Master'!X:X,MATCH(UBI_RTL1_SNo,'Facility Master'!A:A,0))&gt;B66),INDEX('Facility Master'!K:K,MATCH(UBI_RTL1_SNo,'Facility Master'!A:A,0)),0),0)</f>
        <v>0</v>
      </c>
      <c r="F67" s="500" t="n">
        <f aca="false">IFERROR(IF(B67&lt;UBI_RTL1_RepStart,0,IF(B67&gt;UBI_RTL1_Maturity,0,IF(COUNTIFS($B$5:$B67,"&gt;="&amp;UBI_RTL1_RepStart,$B$5:$B67,"&lt;="&amp;UBI_RTL1_Maturity)&lt;=8,INDEX('Facility Master'!K:K,MATCH(UBI_RTL1_SNo,'Facility Master'!A:A,0))*0.0125,IF(COUNTIFS($B$5:$B67,"&gt;="&amp;UBI_RTL1_RepStart,$B$5:$B67,"&lt;="&amp;UBI_RTL1_Maturity)&lt;=48,INDEX('Facility Master'!K:K,MATCH(UBI_RTL1_SNo,'Facility Master'!A:A,0))*0.0225,0)))),0)</f>
        <v>25.3125</v>
      </c>
      <c r="G67" s="500" t="n">
        <f aca="false">IFERROR((D67+(E67-F67)/2)*INDEX('Facility Master'!R:R,MATCH(UBI_RTL1_SNo,'Facility Master'!A:A,0))*(B67-B66)/DaysInYear,0)</f>
        <v>0.899599315068493</v>
      </c>
      <c r="H67" s="500" t="n">
        <f aca="false">IFERROR(ROUND(MAX(D67+E67-F67,0),6),0)</f>
        <v>25.3125</v>
      </c>
      <c r="I67" s="500" t="n">
        <f aca="false">IFERROR(MAX(M66,0),0)</f>
        <v>10.62</v>
      </c>
      <c r="J67" s="500" t="n">
        <f aca="false">IFERROR(IF(AND(INDEX('Facility Master'!X:X,MATCH(UBI_RTL2_SNo,'Facility Master'!A:A,0))&lt;=B67,INDEX('Facility Master'!X:X,MATCH(UBI_RTL2_SNo,'Facility Master'!A:A,0))&gt;B66),INDEX('Facility Master'!K:K,MATCH(UBI_RTL2_SNo,'Facility Master'!A:A,0)),0),0)</f>
        <v>0</v>
      </c>
      <c r="K67" s="500" t="n">
        <f aca="false">IFERROR(IF(B67&lt;UBI_RTL2_RepStart,0,IF(B67&gt;UBI_RTL2_Maturity,0,IF(COUNTIFS($B$5:$B67,"&gt;="&amp;UBI_RTL2_RepStart,$B$5:$B67,"&lt;="&amp;UBI_RTL2_Maturity)&lt;=8,INDEX('Facility Master'!K:K,MATCH(UBI_RTL2_SNo,'Facility Master'!A:A,0))*0.0125,IF(COUNTIFS($B$5:$B67,"&gt;="&amp;UBI_RTL2_RepStart,$B$5:$B67,"&lt;="&amp;UBI_RTL2_Maturity)&lt;=48,INDEX('Facility Master'!K:K,MATCH(UBI_RTL2_SNo,'Facility Master'!A:A,0))*0.0225,0)))),0)</f>
        <v>5.31</v>
      </c>
      <c r="L67" s="500" t="n">
        <f aca="false">IFERROR((I67+(J67-K67)/2)*INDEX('Facility Master'!R:R,MATCH(UBI_RTL2_SNo,'Facility Master'!A:A,0))*(B67-B66)/DaysInYear,0)</f>
        <v>0.182693095890411</v>
      </c>
      <c r="M67" s="500" t="n">
        <f aca="false">IFERROR(ROUND(MAX(I67+J67-K67,0),6),0)</f>
        <v>5.31</v>
      </c>
      <c r="N67" s="500" t="n">
        <f aca="false">IFERROR(MAX(R66,0),0)</f>
        <v>5.2875</v>
      </c>
      <c r="O67" s="500" t="n">
        <f aca="false">IFERROR(IF(AND(INDEX('Facility Master'!X:X,MATCH(IB_TL_SNo,'Facility Master'!A:A,0))&lt;=B67,INDEX('Facility Master'!X:X,MATCH(IB_TL_SNo,'Facility Master'!A:A,0))&gt;B66),INDEX('Facility Master'!K:K,MATCH(IB_TL_SNo,'Facility Master'!A:A,0)),0),0)</f>
        <v>0</v>
      </c>
      <c r="P67" s="500" t="n">
        <f aca="false">IFERROR(IF(B67&lt;IB_TL_RepStart,0,IF(B67&gt;IB_TL_Maturity,0,IF(COUNTIFS($B$5:$B67,"&gt;="&amp;IB_TL_RepStart,$B$5:$B67,"&lt;="&amp;IB_TL_Maturity)&lt;=8,INDEX('Facility Master'!K:K,MATCH(IB_TL_SNo,'Facility Master'!A:A,0))*0.0125,IF(COUNTIFS($B$5:$B67,"&gt;="&amp;IB_TL_RepStart,$B$5:$B67,"&lt;="&amp;IB_TL_Maturity)&lt;=48,INDEX('Facility Master'!K:K,MATCH(IB_TL_SNo,'Facility Master'!A:A,0))*0.0225,0)))),0)</f>
        <v>5.2875</v>
      </c>
      <c r="Q67" s="500" t="n">
        <f aca="false">IFERROR((N67+(O67-P67)/2)*INDEX('Facility Master'!R:R,MATCH(IB_TL_SNo,'Facility Master'!A:A,0))*(B67-B66)/DaysInYear,0)</f>
        <v>0.0626387671232877</v>
      </c>
      <c r="R67" s="500" t="n">
        <f aca="false">IFERROR(ROUND(MAX(N67+O67-P67,0),6),0)</f>
        <v>0</v>
      </c>
      <c r="S67" s="697" t="n">
        <f aca="false">IFERROR(MAX(W66,0),0)</f>
        <v>0</v>
      </c>
      <c r="T67" s="697" t="n">
        <f aca="false">IFERROR(IF(AND(INDEX('Facility Master'!X:X,MATCH(RBL_TL_SNo,'Facility Master'!A:A,0))&lt;=B67,INDEX('Facility Master'!X:X,MATCH(RBL_TL_SNo,'Facility Master'!A:A,0))&gt;B66),INDEX('Facility Master'!K:K,MATCH(RBL_TL_SNo,'Facility Master'!A:A,0)),0),0)</f>
        <v>0</v>
      </c>
      <c r="U67" s="697" t="n">
        <f aca="false">IFERROR(IF(AND(RBL_TL_Maturity&lt;=B67,RBL_TL_Maturity&gt;B66),INDEX('Facility Master'!K:K,MATCH(RBL_TL_SNo,'Facility Master'!A:A,0)),0),0)</f>
        <v>0</v>
      </c>
      <c r="V67" s="697" t="n">
        <f aca="false">IFERROR((S67+(T67-U67)/2)*INDEX('Facility Master'!R:R,MATCH(RBL_TL_SNo,'Facility Master'!A:A,0))*(B67-B66)/DaysInYear,0)</f>
        <v>0</v>
      </c>
      <c r="W67" s="697" t="n">
        <f aca="false">IFERROR(ROUND(MAX(S67+T67-U67,0),6),0)</f>
        <v>0</v>
      </c>
      <c r="X67" s="500" t="n">
        <f aca="false">IFERROR(MAX(AB66,0),0)</f>
        <v>29.25</v>
      </c>
      <c r="Y67" s="500" t="n">
        <f aca="false">IFERROR(IF(AND(INDEX('Facility Master'!X:X,MATCH(YBL_TL_SNo,'Facility Master'!A:A,0))&lt;=B67,INDEX('Facility Master'!X:X,MATCH(YBL_TL_SNo,'Facility Master'!A:A,0))&gt;B66),INDEX('Facility Master'!K:K,MATCH(YBL_TL_SNo,'Facility Master'!A:A,0)),0),0)</f>
        <v>0</v>
      </c>
      <c r="Z67" s="500" t="n">
        <f aca="false">IFERROR(IF(B67&lt;YBL_TL_RepStart,0,IF(B67&gt;YBL_TL_Maturity,0,IF(COUNTIFS($B$5:$B67,"&gt;="&amp;YBL_TL_RepStart,$B$5:$B67,"&lt;="&amp;YBL_TL_Maturity)&lt;=8,INDEX('Facility Master'!K:K,MATCH(YBL_TL_SNo,'Facility Master'!A:A,0))*0.0125,IF(COUNTIFS($B$5:$B67,"&gt;="&amp;YBL_TL_RepStart,$B$5:$B67,"&lt;="&amp;YBL_TL_Maturity)&lt;=48,INDEX('Facility Master'!K:K,MATCH(YBL_TL_SNo,'Facility Master'!A:A,0))*0.0225,0)))),0)</f>
        <v>14.625</v>
      </c>
      <c r="AA67" s="500" t="n">
        <f aca="false">IFERROR((X67+(Y67-Z67)/2)*INDEX('Facility Master'!R:R,MATCH(YBL_TL_SNo,'Facility Master'!A:A,0))*(B67-B66)/DaysInYear,0)</f>
        <v>0.528062671232877</v>
      </c>
      <c r="AB67" s="500" t="n">
        <f aca="false">IFERROR(ROUND(MAX(X67+Y67-Z67,0),6),0)</f>
        <v>14.625</v>
      </c>
      <c r="AC67" s="500" t="n">
        <f aca="false">IFERROR(MAX(AG66,0),0)</f>
        <v>23.85</v>
      </c>
      <c r="AD67" s="500" t="n">
        <f aca="false">IFERROR(IF(AND(INDEX('Facility Master'!X:X,MATCH(IDFC_TL_SNo,'Facility Master'!A:A,0))&lt;=B67,INDEX('Facility Master'!X:X,MATCH(IDFC_TL_SNo,'Facility Master'!A:A,0))&gt;B66),INDEX('Facility Master'!K:K,MATCH(IDFC_TL_SNo,'Facility Master'!A:A,0)),0),0)</f>
        <v>0</v>
      </c>
      <c r="AE67" s="500" t="n">
        <f aca="false">IFERROR(IF(B67&lt;IDFC_TL_RepStart,0,IF(B67&gt;IDFC_TL_Maturity,0,IF(COUNTIFS($B$5:$B67,"&gt;="&amp;IDFC_TL_RepStart,$B$5:$B67,"&lt;="&amp;IDFC_TL_Maturity)&lt;=8,INDEX('Facility Master'!K:K,MATCH(IDFC_TL_SNo,'Facility Master'!A:A,0))*0.0125,IF(COUNTIFS($B$5:$B67,"&gt;="&amp;IDFC_TL_RepStart,$B$5:$B67,"&lt;="&amp;IDFC_TL_Maturity)&lt;=48,INDEX('Facility Master'!K:K,MATCH(IDFC_TL_SNo,'Facility Master'!A:A,0))*0.0225,0)))),0)</f>
        <v>11.925</v>
      </c>
      <c r="AF67" s="500" t="n">
        <f aca="false">IFERROR((AC67+(AD67-AE67)/2)*INDEX('Facility Master'!R:R,MATCH(IDFC_TL_SNo,'Facility Master'!A:A,0))*(B67-B66)/DaysInYear,0)</f>
        <v>0.396759452054795</v>
      </c>
      <c r="AG67" s="500" t="n">
        <f aca="false">IFERROR(ROUND(MAX(AC67+AD67-AE67,0),6),0)</f>
        <v>11.925</v>
      </c>
      <c r="AH67" s="698" t="n">
        <f aca="false">IFERROR(MAX(AL66,0),0)</f>
        <v>37.8</v>
      </c>
      <c r="AI67" s="698" t="n">
        <f aca="false">IFERROR(IF(AND(INDEX('Facility Master'!X:X,MATCH(ICICI_TL_SNo,'Facility Master'!A:A,0))&lt;=B67,INDEX('Facility Master'!X:X,MATCH(ICICI_TL_SNo,'Facility Master'!A:A,0))&gt;B66),INDEX('Facility Master'!K:K,MATCH(ICICI_TL_SNo,'Facility Master'!A:A,0)),0),0)</f>
        <v>0</v>
      </c>
      <c r="AJ67" s="698" t="n">
        <f aca="false">IFERROR(IF(B67&lt;ICICI_TL_RepStart,0,IF(B67&gt;ICICI_TL_Maturity,0,IF(COUNTIFS($B$5:$B67,"&gt;="&amp;ICICI_TL_RepStart,$B$5:$B67,"&lt;="&amp;ICICI_TL_Maturity)&lt;=8,INDEX('Facility Master'!K:K,MATCH(ICICI_TL_SNo,'Facility Master'!A:A,0))*0.0125,IF(COUNTIFS($B$5:$B67,"&gt;="&amp;ICICI_TL_RepStart,$B$5:$B67,"&lt;="&amp;ICICI_TL_Maturity)&lt;=48,INDEX('Facility Master'!K:K,MATCH(ICICI_TL_SNo,'Facility Master'!A:A,0))*0.0225,0)))),0)</f>
        <v>18.9</v>
      </c>
      <c r="AK67" s="698" t="n">
        <f aca="false">IFERROR((AH67+(AI67-AJ67)/2)*INDEX('Facility Master'!R:R,MATCH(ICICI_TL_SNo,'Facility Master'!A:A,0))*(B67-B66)/DaysInYear,0)</f>
        <v>0.621680547945205</v>
      </c>
      <c r="AL67" s="698" t="n">
        <f aca="false">IFERROR(ROUND(MAX(AH67+AI67-AJ67,0),6),0)</f>
        <v>18.9</v>
      </c>
      <c r="AM67" s="500" t="n">
        <f aca="false">F67+K67+P67+Z67+AE67+AJ67</f>
        <v>81.36</v>
      </c>
      <c r="AN67" s="500" t="n">
        <f aca="false">G67+L67+Q67+AA67+AF67+AK67</f>
        <v>2.69143384931507</v>
      </c>
      <c r="AO67" s="500" t="n">
        <f aca="false">AM67+AN67</f>
        <v>84.0514338493151</v>
      </c>
      <c r="AP67" s="500" t="n">
        <f aca="false">H67+M67+R67+AB67+AG67+AL67</f>
        <v>76.0725</v>
      </c>
    </row>
    <row r="68" customFormat="false" ht="15.75" hidden="false" customHeight="true" outlineLevel="0" collapsed="false">
      <c r="A68" s="699" t="n">
        <v>64</v>
      </c>
      <c r="B68" s="700" t="n">
        <v>50860</v>
      </c>
      <c r="C68" s="699" t="s">
        <v>728</v>
      </c>
      <c r="D68" s="701" t="n">
        <f aca="false">IFERROR(MAX(H67,0),0)</f>
        <v>25.3125</v>
      </c>
      <c r="E68" s="701" t="n">
        <f aca="false">IFERROR(IF(AND(INDEX('Facility Master'!X:X,MATCH(UBI_RTL1_SNo,'Facility Master'!A:A,0))&lt;=B68,INDEX('Facility Master'!X:X,MATCH(UBI_RTL1_SNo,'Facility Master'!A:A,0))&gt;B67),INDEX('Facility Master'!K:K,MATCH(UBI_RTL1_SNo,'Facility Master'!A:A,0)),0),0)</f>
        <v>0</v>
      </c>
      <c r="F68" s="701" t="n">
        <f aca="false">IFERROR(IF(B68&lt;UBI_RTL1_RepStart,0,IF(B68&gt;UBI_RTL1_Maturity,0,IF(COUNTIFS($B$5:$B68,"&gt;="&amp;UBI_RTL1_RepStart,$B$5:$B68,"&lt;="&amp;UBI_RTL1_Maturity)&lt;=8,INDEX('Facility Master'!K:K,MATCH(UBI_RTL1_SNo,'Facility Master'!A:A,0))*0.0125,IF(COUNTIFS($B$5:$B68,"&gt;="&amp;UBI_RTL1_RepStart,$B$5:$B68,"&lt;="&amp;UBI_RTL1_Maturity)&lt;=48,INDEX('Facility Master'!K:K,MATCH(UBI_RTL1_SNo,'Facility Master'!A:A,0))*0.0225,0)))),0)</f>
        <v>25.3125</v>
      </c>
      <c r="G68" s="701" t="n">
        <f aca="false">IFERROR((D68+(E68-F68)/2)*INDEX('Facility Master'!R:R,MATCH(UBI_RTL1_SNo,'Facility Master'!A:A,0))*(B68-B67)/DaysInYear,0)</f>
        <v>0.293347602739726</v>
      </c>
      <c r="H68" s="701" t="n">
        <f aca="false">IFERROR(ROUND(MAX(D68+E68-F68,0),6),0)</f>
        <v>0</v>
      </c>
      <c r="I68" s="701" t="n">
        <f aca="false">IFERROR(MAX(M67,0),0)</f>
        <v>5.31</v>
      </c>
      <c r="J68" s="701" t="n">
        <f aca="false">IFERROR(IF(AND(INDEX('Facility Master'!X:X,MATCH(UBI_RTL2_SNo,'Facility Master'!A:A,0))&lt;=B68,INDEX('Facility Master'!X:X,MATCH(UBI_RTL2_SNo,'Facility Master'!A:A,0))&gt;B67),INDEX('Facility Master'!K:K,MATCH(UBI_RTL2_SNo,'Facility Master'!A:A,0)),0),0)</f>
        <v>0</v>
      </c>
      <c r="K68" s="701" t="n">
        <f aca="false">IFERROR(IF(B68&lt;UBI_RTL2_RepStart,0,IF(B68&gt;UBI_RTL2_Maturity,0,IF(COUNTIFS($B$5:$B68,"&gt;="&amp;UBI_RTL2_RepStart,$B$5:$B68,"&lt;="&amp;UBI_RTL2_Maturity)&lt;=8,INDEX('Facility Master'!K:K,MATCH(UBI_RTL2_SNo,'Facility Master'!A:A,0))*0.0125,IF(COUNTIFS($B$5:$B68,"&gt;="&amp;UBI_RTL2_RepStart,$B$5:$B68,"&lt;="&amp;UBI_RTL2_Maturity)&lt;=48,INDEX('Facility Master'!K:K,MATCH(UBI_RTL2_SNo,'Facility Master'!A:A,0))*0.0225,0)))),0)</f>
        <v>5.31</v>
      </c>
      <c r="L68" s="701" t="n">
        <f aca="false">IFERROR((I68+(J68-K68)/2)*INDEX('Facility Master'!R:R,MATCH(UBI_RTL2_SNo,'Facility Master'!A:A,0))*(B68-B67)/DaysInYear,0)</f>
        <v>0.0595738356164384</v>
      </c>
      <c r="M68" s="701" t="n">
        <f aca="false">IFERROR(ROUND(MAX(I68+J68-K68,0),6),0)</f>
        <v>0</v>
      </c>
      <c r="N68" s="701" t="n">
        <f aca="false">IFERROR(MAX(R67,0),0)</f>
        <v>0</v>
      </c>
      <c r="O68" s="701" t="n">
        <f aca="false">IFERROR(IF(AND(INDEX('Facility Master'!X:X,MATCH(IB_TL_SNo,'Facility Master'!A:A,0))&lt;=B68,INDEX('Facility Master'!X:X,MATCH(IB_TL_SNo,'Facility Master'!A:A,0))&gt;B67),INDEX('Facility Master'!K:K,MATCH(IB_TL_SNo,'Facility Master'!A:A,0)),0),0)</f>
        <v>0</v>
      </c>
      <c r="P68" s="701" t="n">
        <f aca="false">IFERROR(IF(B68&lt;IB_TL_RepStart,0,IF(B68&gt;IB_TL_Maturity,0,IF(COUNTIFS($B$5:$B68,"&gt;="&amp;IB_TL_RepStart,$B$5:$B68,"&lt;="&amp;IB_TL_Maturity)&lt;=8,INDEX('Facility Master'!K:K,MATCH(IB_TL_SNo,'Facility Master'!A:A,0))*0.0125,IF(COUNTIFS($B$5:$B68,"&gt;="&amp;IB_TL_RepStart,$B$5:$B68,"&lt;="&amp;IB_TL_Maturity)&lt;=48,INDEX('Facility Master'!K:K,MATCH(IB_TL_SNo,'Facility Master'!A:A,0))*0.0225,0)))),0)</f>
        <v>0</v>
      </c>
      <c r="Q68" s="701" t="n">
        <f aca="false">IFERROR((N68+(O68-P68)/2)*INDEX('Facility Master'!R:R,MATCH(IB_TL_SNo,'Facility Master'!A:A,0))*(B68-B67)/DaysInYear,0)</f>
        <v>0</v>
      </c>
      <c r="R68" s="701" t="n">
        <f aca="false">IFERROR(ROUND(MAX(N68+O68-P68,0),6),0)</f>
        <v>0</v>
      </c>
      <c r="S68" s="702" t="n">
        <f aca="false">IFERROR(MAX(W67,0),0)</f>
        <v>0</v>
      </c>
      <c r="T68" s="702" t="n">
        <f aca="false">IFERROR(IF(AND(INDEX('Facility Master'!X:X,MATCH(RBL_TL_SNo,'Facility Master'!A:A,0))&lt;=B68,INDEX('Facility Master'!X:X,MATCH(RBL_TL_SNo,'Facility Master'!A:A,0))&gt;B67),INDEX('Facility Master'!K:K,MATCH(RBL_TL_SNo,'Facility Master'!A:A,0)),0),0)</f>
        <v>0</v>
      </c>
      <c r="U68" s="702" t="n">
        <f aca="false">IFERROR(IF(AND(RBL_TL_Maturity&lt;=B68,RBL_TL_Maturity&gt;B67),INDEX('Facility Master'!K:K,MATCH(RBL_TL_SNo,'Facility Master'!A:A,0)),0),0)</f>
        <v>0</v>
      </c>
      <c r="V68" s="702" t="n">
        <f aca="false">IFERROR((S68+(T68-U68)/2)*INDEX('Facility Master'!R:R,MATCH(RBL_TL_SNo,'Facility Master'!A:A,0))*(B68-B67)/DaysInYear,0)</f>
        <v>0</v>
      </c>
      <c r="W68" s="702" t="n">
        <f aca="false">IFERROR(ROUND(MAX(S68+T68-U68,0),6),0)</f>
        <v>0</v>
      </c>
      <c r="X68" s="701" t="n">
        <f aca="false">IFERROR(MAX(AB67,0),0)</f>
        <v>14.625</v>
      </c>
      <c r="Y68" s="701" t="n">
        <f aca="false">IFERROR(IF(AND(INDEX('Facility Master'!X:X,MATCH(YBL_TL_SNo,'Facility Master'!A:A,0))&lt;=B68,INDEX('Facility Master'!X:X,MATCH(YBL_TL_SNo,'Facility Master'!A:A,0))&gt;B67),INDEX('Facility Master'!K:K,MATCH(YBL_TL_SNo,'Facility Master'!A:A,0)),0),0)</f>
        <v>0</v>
      </c>
      <c r="Z68" s="701" t="n">
        <f aca="false">IFERROR(IF(B68&lt;YBL_TL_RepStart,0,IF(B68&gt;YBL_TL_Maturity,0,IF(COUNTIFS($B$5:$B68,"&gt;="&amp;YBL_TL_RepStart,$B$5:$B68,"&lt;="&amp;YBL_TL_Maturity)&lt;=8,INDEX('Facility Master'!K:K,MATCH(YBL_TL_SNo,'Facility Master'!A:A,0))*0.0125,IF(COUNTIFS($B$5:$B68,"&gt;="&amp;YBL_TL_RepStart,$B$5:$B68,"&lt;="&amp;YBL_TL_Maturity)&lt;=48,INDEX('Facility Master'!K:K,MATCH(YBL_TL_SNo,'Facility Master'!A:A,0))*0.0225,0)))),0)</f>
        <v>14.625</v>
      </c>
      <c r="AA68" s="701" t="n">
        <f aca="false">IFERROR((X68+(Y68-Z68)/2)*INDEX('Facility Master'!R:R,MATCH(YBL_TL_SNo,'Facility Master'!A:A,0))*(B68-B67)/DaysInYear,0)</f>
        <v>0.172194349315069</v>
      </c>
      <c r="AB68" s="701" t="n">
        <f aca="false">IFERROR(ROUND(MAX(X68+Y68-Z68,0),6),0)</f>
        <v>0</v>
      </c>
      <c r="AC68" s="701" t="n">
        <f aca="false">IFERROR(MAX(AG67,0),0)</f>
        <v>11.925</v>
      </c>
      <c r="AD68" s="701" t="n">
        <f aca="false">IFERROR(IF(AND(INDEX('Facility Master'!X:X,MATCH(IDFC_TL_SNo,'Facility Master'!A:A,0))&lt;=B68,INDEX('Facility Master'!X:X,MATCH(IDFC_TL_SNo,'Facility Master'!A:A,0))&gt;B67),INDEX('Facility Master'!K:K,MATCH(IDFC_TL_SNo,'Facility Master'!A:A,0)),0),0)</f>
        <v>0</v>
      </c>
      <c r="AE68" s="701" t="n">
        <f aca="false">IFERROR(IF(B68&lt;IDFC_TL_RepStart,0,IF(B68&gt;IDFC_TL_Maturity,0,IF(COUNTIFS($B$5:$B68,"&gt;="&amp;IDFC_TL_RepStart,$B$5:$B68,"&lt;="&amp;IDFC_TL_Maturity)&lt;=8,INDEX('Facility Master'!K:K,MATCH(IDFC_TL_SNo,'Facility Master'!A:A,0))*0.0125,IF(COUNTIFS($B$5:$B68,"&gt;="&amp;IDFC_TL_RepStart,$B$5:$B68,"&lt;="&amp;IDFC_TL_Maturity)&lt;=48,INDEX('Facility Master'!K:K,MATCH(IDFC_TL_SNo,'Facility Master'!A:A,0))*0.0225,0)))),0)</f>
        <v>11.925</v>
      </c>
      <c r="AF68" s="701" t="n">
        <f aca="false">IFERROR((AC68+(AD68-AE68)/2)*INDEX('Facility Master'!R:R,MATCH(IDFC_TL_SNo,'Facility Master'!A:A,0))*(B68-B67)/DaysInYear,0)</f>
        <v>0.129378082191781</v>
      </c>
      <c r="AG68" s="701" t="n">
        <f aca="false">IFERROR(ROUND(MAX(AC68+AD68-AE68,0),6),0)</f>
        <v>0</v>
      </c>
      <c r="AH68" s="703" t="n">
        <f aca="false">IFERROR(MAX(AL67,0),0)</f>
        <v>18.9</v>
      </c>
      <c r="AI68" s="703" t="n">
        <f aca="false">IFERROR(IF(AND(INDEX('Facility Master'!X:X,MATCH(ICICI_TL_SNo,'Facility Master'!A:A,0))&lt;=B68,INDEX('Facility Master'!X:X,MATCH(ICICI_TL_SNo,'Facility Master'!A:A,0))&gt;B67),INDEX('Facility Master'!K:K,MATCH(ICICI_TL_SNo,'Facility Master'!A:A,0)),0),0)</f>
        <v>0</v>
      </c>
      <c r="AJ68" s="703" t="n">
        <f aca="false">IFERROR(IF(B68&lt;ICICI_TL_RepStart,0,IF(B68&gt;ICICI_TL_Maturity,0,IF(COUNTIFS($B$5:$B68,"&gt;="&amp;ICICI_TL_RepStart,$B$5:$B68,"&lt;="&amp;ICICI_TL_Maturity)&lt;=8,INDEX('Facility Master'!K:K,MATCH(ICICI_TL_SNo,'Facility Master'!A:A,0))*0.0125,IF(COUNTIFS($B$5:$B68,"&gt;="&amp;ICICI_TL_RepStart,$B$5:$B68,"&lt;="&amp;ICICI_TL_Maturity)&lt;=48,INDEX('Facility Master'!K:K,MATCH(ICICI_TL_SNo,'Facility Master'!A:A,0))*0.0225,0)))),0)</f>
        <v>18.9</v>
      </c>
      <c r="AK68" s="703" t="n">
        <f aca="false">IFERROR((AH68+(AI68-AJ68)/2)*INDEX('Facility Master'!R:R,MATCH(ICICI_TL_SNo,'Facility Master'!A:A,0))*(B68-B67)/DaysInYear,0)</f>
        <v>0.202721917808219</v>
      </c>
      <c r="AL68" s="703" t="n">
        <f aca="false">IFERROR(ROUND(MAX(AH68+AI68-AJ68,0),6),0)</f>
        <v>0</v>
      </c>
      <c r="AM68" s="701" t="n">
        <f aca="false">F68+K68+P68+Z68+AE68+AJ68</f>
        <v>76.0725</v>
      </c>
      <c r="AN68" s="701" t="n">
        <f aca="false">G68+L68+Q68+AA68+AF68+AK68</f>
        <v>0.857215787671233</v>
      </c>
      <c r="AO68" s="701" t="n">
        <f aca="false">AM68+AN68</f>
        <v>76.9297157876712</v>
      </c>
      <c r="AP68" s="701" t="n">
        <f aca="false">H68+M68+R68+AB68+AG68+AL68</f>
        <v>0</v>
      </c>
    </row>
    <row r="69" customFormat="false" ht="19.5" hidden="false" customHeight="true" outlineLevel="0" collapsed="false">
      <c r="A69" s="713" t="s">
        <v>222</v>
      </c>
      <c r="B69" s="713"/>
      <c r="C69" s="713"/>
      <c r="D69" s="714"/>
      <c r="E69" s="715" t="n">
        <f aca="false">SUM(E5:E68)</f>
        <v>1125</v>
      </c>
      <c r="F69" s="715" t="n">
        <f aca="false">SUM(F5:F68)</f>
        <v>1125</v>
      </c>
      <c r="G69" s="715" t="n">
        <f aca="false">SUM(G5:G68)</f>
        <v>1087.56016181507</v>
      </c>
      <c r="H69" s="714"/>
      <c r="I69" s="714"/>
      <c r="J69" s="715" t="n">
        <f aca="false">SUM(J5:J68)</f>
        <v>236</v>
      </c>
      <c r="K69" s="715" t="n">
        <f aca="false">SUM(K5:K68)</f>
        <v>236</v>
      </c>
      <c r="L69" s="715" t="n">
        <f aca="false">SUM(L5:L68)</f>
        <v>172.470152150685</v>
      </c>
      <c r="M69" s="714"/>
      <c r="N69" s="714"/>
      <c r="O69" s="715" t="n">
        <f aca="false">SUM(O5:O68)</f>
        <v>235</v>
      </c>
      <c r="P69" s="715" t="n">
        <f aca="false">SUM(P5:P68)</f>
        <v>235</v>
      </c>
      <c r="Q69" s="715" t="n">
        <f aca="false">SUM(Q5:Q68)</f>
        <v>221.653253869863</v>
      </c>
      <c r="R69" s="714"/>
      <c r="S69" s="714"/>
      <c r="T69" s="715" t="n">
        <f aca="false">SUM(T5:T68)</f>
        <v>200</v>
      </c>
      <c r="U69" s="715" t="n">
        <f aca="false">SUM(U5:U68)</f>
        <v>200</v>
      </c>
      <c r="V69" s="715" t="n">
        <f aca="false">SUM(V5:V68)</f>
        <v>19</v>
      </c>
      <c r="W69" s="714"/>
      <c r="X69" s="714"/>
      <c r="Y69" s="715" t="n">
        <f aca="false">SUM(Y5:Y68)</f>
        <v>650</v>
      </c>
      <c r="Z69" s="715" t="n">
        <f aca="false">SUM(Z5:Z68)</f>
        <v>650</v>
      </c>
      <c r="AA69" s="715" t="n">
        <f aca="false">SUM(AA5:AA68)</f>
        <v>482.867606934932</v>
      </c>
      <c r="AB69" s="714"/>
      <c r="AC69" s="714"/>
      <c r="AD69" s="715" t="n">
        <f aca="false">SUM(AD5:AD68)</f>
        <v>530</v>
      </c>
      <c r="AE69" s="715" t="n">
        <f aca="false">SUM(AE5:AE68)</f>
        <v>530</v>
      </c>
      <c r="AF69" s="715" t="n">
        <f aca="false">SUM(AF5:AF68)</f>
        <v>351.174123013699</v>
      </c>
      <c r="AG69" s="714"/>
      <c r="AH69" s="714"/>
      <c r="AI69" s="715" t="n">
        <f aca="false">SUM(AI5:AI68)</f>
        <v>840</v>
      </c>
      <c r="AJ69" s="715" t="n">
        <f aca="false">SUM(AJ5:AJ68)</f>
        <v>840</v>
      </c>
      <c r="AK69" s="715" t="n">
        <f aca="false">SUM(AK5:AK68)</f>
        <v>550.253106986301</v>
      </c>
      <c r="AL69" s="714"/>
      <c r="AM69" s="715" t="n">
        <f aca="false">SUM(AM5:AM68)</f>
        <v>3616</v>
      </c>
      <c r="AN69" s="715" t="n">
        <f aca="false">SUM(AN5:AN68)</f>
        <v>2865.97840477055</v>
      </c>
      <c r="AO69" s="715" t="n">
        <f aca="false">SUM(AO5:AO68)</f>
        <v>6481.97840477055</v>
      </c>
      <c r="AP69" s="715" t="n">
        <f aca="false">AP68</f>
        <v>0</v>
      </c>
    </row>
    <row r="70" customFormat="false" ht="7.5" hidden="false" customHeight="true" outlineLevel="0" collapsed="false">
      <c r="A70" s="436"/>
      <c r="B70" s="436"/>
      <c r="C70" s="436"/>
      <c r="D70" s="436"/>
      <c r="E70" s="436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  <c r="AB70" s="436"/>
      <c r="AC70" s="436"/>
      <c r="AD70" s="436"/>
      <c r="AE70" s="436"/>
      <c r="AF70" s="436"/>
      <c r="AG70" s="436"/>
      <c r="AH70" s="436"/>
      <c r="AI70" s="436"/>
      <c r="AJ70" s="436"/>
      <c r="AK70" s="436"/>
      <c r="AL70" s="436"/>
      <c r="AM70" s="436"/>
      <c r="AN70" s="436"/>
      <c r="AO70" s="436"/>
      <c r="AP70" s="436"/>
    </row>
    <row r="71" customFormat="false" ht="21.75" hidden="false" customHeight="true" outlineLevel="0" collapsed="false">
      <c r="A71" s="716" t="s">
        <v>729</v>
      </c>
      <c r="B71" s="716"/>
      <c r="C71" s="716"/>
      <c r="D71" s="716"/>
      <c r="E71" s="716"/>
      <c r="F71" s="716"/>
      <c r="G71" s="716"/>
      <c r="H71" s="716"/>
      <c r="I71" s="716"/>
      <c r="J71" s="716"/>
      <c r="K71" s="716"/>
      <c r="L71" s="716"/>
      <c r="M71" s="716"/>
      <c r="N71" s="716"/>
      <c r="O71" s="716"/>
      <c r="P71" s="716"/>
      <c r="Q71" s="716"/>
      <c r="R71" s="716"/>
      <c r="S71" s="716"/>
      <c r="T71" s="716"/>
      <c r="U71" s="716"/>
      <c r="V71" s="716"/>
      <c r="W71" s="716"/>
      <c r="X71" s="716"/>
      <c r="Y71" s="716"/>
      <c r="Z71" s="716"/>
      <c r="AA71" s="716"/>
      <c r="AB71" s="716"/>
      <c r="AC71" s="716"/>
      <c r="AD71" s="716"/>
      <c r="AE71" s="716"/>
      <c r="AF71" s="716"/>
      <c r="AG71" s="716"/>
      <c r="AH71" s="716"/>
      <c r="AI71" s="716"/>
      <c r="AJ71" s="716"/>
      <c r="AK71" s="716"/>
      <c r="AL71" s="716"/>
      <c r="AM71" s="716"/>
      <c r="AN71" s="716"/>
      <c r="AO71" s="716"/>
      <c r="AP71" s="716"/>
    </row>
    <row r="72" customFormat="false" ht="21.75" hidden="false" customHeight="true" outlineLevel="0" collapsed="false">
      <c r="A72" s="717" t="s">
        <v>730</v>
      </c>
      <c r="B72" s="717" t="s">
        <v>370</v>
      </c>
      <c r="C72" s="717" t="s">
        <v>633</v>
      </c>
      <c r="D72" s="717" t="s">
        <v>731</v>
      </c>
      <c r="E72" s="717"/>
      <c r="F72" s="717"/>
      <c r="G72" s="717" t="s">
        <v>158</v>
      </c>
      <c r="H72" s="717"/>
      <c r="I72" s="717"/>
      <c r="J72" s="717"/>
      <c r="K72" s="718"/>
      <c r="L72" s="718"/>
      <c r="M72" s="718"/>
      <c r="N72" s="718"/>
      <c r="O72" s="718"/>
      <c r="P72" s="718"/>
      <c r="Q72" s="718"/>
      <c r="R72" s="718"/>
      <c r="S72" s="718"/>
      <c r="T72" s="718"/>
      <c r="U72" s="718"/>
      <c r="V72" s="718"/>
      <c r="W72" s="718"/>
      <c r="X72" s="718"/>
      <c r="Y72" s="718"/>
      <c r="Z72" s="718"/>
      <c r="AA72" s="718"/>
      <c r="AB72" s="718"/>
      <c r="AC72" s="718"/>
      <c r="AD72" s="718"/>
      <c r="AE72" s="718"/>
      <c r="AF72" s="718"/>
      <c r="AG72" s="718"/>
      <c r="AH72" s="718"/>
      <c r="AI72" s="718"/>
      <c r="AJ72" s="718"/>
      <c r="AK72" s="718"/>
      <c r="AL72" s="718"/>
      <c r="AM72" s="718"/>
      <c r="AN72" s="718"/>
      <c r="AO72" s="718"/>
      <c r="AP72" s="718"/>
    </row>
    <row r="73" customFormat="false" ht="18" hidden="false" customHeight="true" outlineLevel="0" collapsed="false">
      <c r="A73" s="719" t="s">
        <v>587</v>
      </c>
      <c r="B73" s="720" t="n">
        <f aca="false">UBI_RTL1_SNo</f>
        <v>1</v>
      </c>
      <c r="C73" s="721" t="n">
        <f aca="false">INDEX('Facility Master'!K:K,MATCH(UBI_RTL1_SNo,'Facility Master'!A:A,0))</f>
        <v>1125</v>
      </c>
      <c r="D73" s="722" t="n">
        <f aca="false">IFERROR(INDEX(H5:H68,MATCH(AsOfDate,B5:B68,1)+1),INDEX('Facility Master'!K:K,MATCH(UBI_RTL1_SNo,'Facility Master'!A:A,0)))</f>
        <v>1125</v>
      </c>
      <c r="E73" s="722"/>
      <c r="F73" s="722"/>
      <c r="G73" s="723" t="str">
        <f aca="false">IF(D73&gt;=C73,"Moratorium (full sanctioned)",IF(D73&gt;0,"Amortising","Repaid/Not Drawn"))</f>
        <v>Moratorium (full sanctioned)</v>
      </c>
      <c r="H73" s="723"/>
      <c r="I73" s="723"/>
      <c r="J73" s="723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  <c r="AA73" s="298"/>
      <c r="AB73" s="298"/>
      <c r="AC73" s="298"/>
      <c r="AD73" s="298"/>
      <c r="AE73" s="298"/>
      <c r="AF73" s="298"/>
      <c r="AG73" s="298"/>
      <c r="AH73" s="298"/>
      <c r="AI73" s="298"/>
      <c r="AJ73" s="298"/>
      <c r="AK73" s="298"/>
      <c r="AL73" s="298"/>
      <c r="AM73" s="298"/>
      <c r="AN73" s="298"/>
      <c r="AO73" s="298"/>
      <c r="AP73" s="298"/>
    </row>
    <row r="74" customFormat="false" ht="18" hidden="false" customHeight="true" outlineLevel="0" collapsed="false">
      <c r="A74" s="724" t="s">
        <v>588</v>
      </c>
      <c r="B74" s="725" t="n">
        <f aca="false">UBI_RTL2_SNo</f>
        <v>2</v>
      </c>
      <c r="C74" s="726" t="n">
        <f aca="false">INDEX('Facility Master'!K:K,MATCH(UBI_RTL2_SNo,'Facility Master'!A:A,0))</f>
        <v>236</v>
      </c>
      <c r="D74" s="727" t="n">
        <f aca="false">IFERROR(INDEX(M5:M68,MATCH(AsOfDate,B5:B68,1)+1),INDEX('Facility Master'!K:K,MATCH(UBI_RTL2_SNo,'Facility Master'!A:A,0)))</f>
        <v>236</v>
      </c>
      <c r="E74" s="727"/>
      <c r="F74" s="727"/>
      <c r="G74" s="728" t="str">
        <f aca="false">IF(D74&gt;=C74,"Moratorium (full sanctioned)",IF(D74&gt;0,"Amortising","Repaid/Not Drawn"))</f>
        <v>Moratorium (full sanctioned)</v>
      </c>
      <c r="H74" s="728"/>
      <c r="I74" s="728"/>
      <c r="J74" s="728"/>
      <c r="K74" s="298"/>
      <c r="L74" s="298"/>
      <c r="M74" s="298"/>
      <c r="N74" s="298"/>
      <c r="O74" s="298"/>
      <c r="P74" s="298"/>
      <c r="Q74" s="298"/>
      <c r="R74" s="298"/>
      <c r="S74" s="298"/>
      <c r="T74" s="298"/>
      <c r="U74" s="298"/>
      <c r="V74" s="298"/>
      <c r="W74" s="298"/>
      <c r="X74" s="298"/>
      <c r="Y74" s="298"/>
      <c r="Z74" s="298"/>
      <c r="AA74" s="298"/>
      <c r="AB74" s="298"/>
      <c r="AC74" s="298"/>
      <c r="AD74" s="298"/>
      <c r="AE74" s="298"/>
      <c r="AF74" s="298"/>
      <c r="AG74" s="298"/>
      <c r="AH74" s="298"/>
      <c r="AI74" s="298"/>
      <c r="AJ74" s="298"/>
      <c r="AK74" s="298"/>
      <c r="AL74" s="298"/>
      <c r="AM74" s="298"/>
      <c r="AN74" s="298"/>
      <c r="AO74" s="298"/>
      <c r="AP74" s="298"/>
    </row>
    <row r="75" customFormat="false" ht="18" hidden="false" customHeight="true" outlineLevel="0" collapsed="false">
      <c r="A75" s="719" t="s">
        <v>88</v>
      </c>
      <c r="B75" s="720" t="n">
        <f aca="false">IB_TL_SNo</f>
        <v>6</v>
      </c>
      <c r="C75" s="721" t="n">
        <f aca="false">INDEX('Facility Master'!K:K,MATCH(IB_TL_SNo,'Facility Master'!A:A,0))</f>
        <v>235</v>
      </c>
      <c r="D75" s="722" t="n">
        <f aca="false">IFERROR(INDEX(R5:R68,MATCH(AsOfDate,B5:B68,1)+1),INDEX('Facility Master'!K:K,MATCH(IB_TL_SNo,'Facility Master'!A:A,0)))</f>
        <v>235</v>
      </c>
      <c r="E75" s="722"/>
      <c r="F75" s="722"/>
      <c r="G75" s="723" t="str">
        <f aca="false">IF(D75&gt;=C75,"Moratorium (full sanctioned)",IF(D75&gt;0,"Amortising","Repaid/Not Drawn"))</f>
        <v>Moratorium (full sanctioned)</v>
      </c>
      <c r="H75" s="723"/>
      <c r="I75" s="723"/>
      <c r="J75" s="723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  <c r="AH75" s="298"/>
      <c r="AI75" s="298"/>
      <c r="AJ75" s="298"/>
      <c r="AK75" s="298"/>
      <c r="AL75" s="298"/>
      <c r="AM75" s="298"/>
      <c r="AN75" s="298"/>
      <c r="AO75" s="298"/>
      <c r="AP75" s="298"/>
    </row>
    <row r="76" customFormat="false" ht="18" hidden="false" customHeight="true" outlineLevel="0" collapsed="false">
      <c r="A76" s="729" t="s">
        <v>732</v>
      </c>
      <c r="B76" s="730" t="n">
        <f aca="false">RBL_TL_SNo</f>
        <v>7</v>
      </c>
      <c r="C76" s="731" t="n">
        <f aca="false">INDEX('Facility Master'!K:K,MATCH(RBL_TL_SNo,'Facility Master'!A:A,0))</f>
        <v>200</v>
      </c>
      <c r="D76" s="732" t="n">
        <f aca="false">IFERROR(INDEX(W5:W68,MATCH(AsOfDate,B5:B68,1)+1),INDEX('Facility Master'!K:K,MATCH(RBL_TL_SNo,'Facility Master'!A:A,0)))</f>
        <v>200</v>
      </c>
      <c r="E76" s="732"/>
      <c r="F76" s="732"/>
      <c r="G76" s="733" t="str">
        <f aca="false">IF(D76&gt;=C76,"Moratorium (full sanctioned)",IF(D76&gt;0,"Amortising","Repaid/Not Drawn"))</f>
        <v>Moratorium (full sanctioned)</v>
      </c>
      <c r="H76" s="733"/>
      <c r="I76" s="733"/>
      <c r="J76" s="733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8"/>
      <c r="Y76" s="298"/>
      <c r="Z76" s="298"/>
      <c r="AA76" s="298"/>
      <c r="AB76" s="298"/>
      <c r="AC76" s="298"/>
      <c r="AD76" s="298"/>
      <c r="AE76" s="298"/>
      <c r="AF76" s="298"/>
      <c r="AG76" s="298"/>
      <c r="AH76" s="298"/>
      <c r="AI76" s="298"/>
      <c r="AJ76" s="298"/>
      <c r="AK76" s="298"/>
      <c r="AL76" s="298"/>
      <c r="AM76" s="298"/>
      <c r="AN76" s="298"/>
      <c r="AO76" s="298"/>
      <c r="AP76" s="298"/>
    </row>
    <row r="77" customFormat="false" ht="18" hidden="false" customHeight="true" outlineLevel="0" collapsed="false">
      <c r="A77" s="719" t="s">
        <v>90</v>
      </c>
      <c r="B77" s="720" t="n">
        <f aca="false">YBL_TL_SNo</f>
        <v>10</v>
      </c>
      <c r="C77" s="721" t="n">
        <f aca="false">INDEX('Facility Master'!K:K,MATCH(YBL_TL_SNo,'Facility Master'!A:A,0))</f>
        <v>650</v>
      </c>
      <c r="D77" s="722" t="n">
        <f aca="false">IFERROR(INDEX(AB5:AB68,MATCH(AsOfDate,B5:B68,1)+1),INDEX('Facility Master'!K:K,MATCH(YBL_TL_SNo,'Facility Master'!A:A,0)))</f>
        <v>650</v>
      </c>
      <c r="E77" s="722"/>
      <c r="F77" s="722"/>
      <c r="G77" s="723" t="str">
        <f aca="false">IF(D77&gt;=C77,"Moratorium (full sanctioned)",IF(D77&gt;0,"Amortising","Repaid/Not Drawn"))</f>
        <v>Moratorium (full sanctioned)</v>
      </c>
      <c r="H77" s="723"/>
      <c r="I77" s="723"/>
      <c r="J77" s="723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8"/>
      <c r="Y77" s="298"/>
      <c r="Z77" s="298"/>
      <c r="AA77" s="298"/>
      <c r="AB77" s="298"/>
      <c r="AC77" s="298"/>
      <c r="AD77" s="298"/>
      <c r="AE77" s="298"/>
      <c r="AF77" s="298"/>
      <c r="AG77" s="298"/>
      <c r="AH77" s="298"/>
      <c r="AI77" s="298"/>
      <c r="AJ77" s="298"/>
      <c r="AK77" s="298"/>
      <c r="AL77" s="298"/>
      <c r="AM77" s="298"/>
      <c r="AN77" s="298"/>
      <c r="AO77" s="298"/>
      <c r="AP77" s="298"/>
    </row>
    <row r="78" customFormat="false" ht="18" hidden="false" customHeight="true" outlineLevel="0" collapsed="false">
      <c r="A78" s="719" t="s">
        <v>590</v>
      </c>
      <c r="B78" s="720" t="n">
        <f aca="false">IDFC_TL_SNo</f>
        <v>12</v>
      </c>
      <c r="C78" s="721" t="n">
        <f aca="false">INDEX('Facility Master'!K:K,MATCH(IDFC_TL_SNo,'Facility Master'!A:A,0))</f>
        <v>530</v>
      </c>
      <c r="D78" s="722" t="n">
        <f aca="false">IFERROR(INDEX(AG5:AG68,MATCH(AsOfDate,B5:B68,1)+1),INDEX('Facility Master'!K:K,MATCH(IDFC_TL_SNo,'Facility Master'!A:A,0)))</f>
        <v>530</v>
      </c>
      <c r="E78" s="722"/>
      <c r="F78" s="722"/>
      <c r="G78" s="723" t="str">
        <f aca="false">IF(D78&gt;=C78,"Moratorium (full sanctioned)",IF(D78&gt;0,"Amortising","Repaid/Not Drawn"))</f>
        <v>Moratorium (full sanctioned)</v>
      </c>
      <c r="H78" s="723"/>
      <c r="I78" s="723"/>
      <c r="J78" s="723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298"/>
      <c r="AK78" s="298"/>
      <c r="AL78" s="298"/>
      <c r="AM78" s="298"/>
      <c r="AN78" s="298"/>
      <c r="AO78" s="298"/>
      <c r="AP78" s="298"/>
    </row>
    <row r="79" customFormat="false" ht="18" hidden="false" customHeight="true" outlineLevel="0" collapsed="false">
      <c r="A79" s="734" t="s">
        <v>733</v>
      </c>
      <c r="B79" s="735" t="n">
        <f aca="false">ICICI_TL_SNo</f>
        <v>42</v>
      </c>
      <c r="C79" s="736" t="n">
        <f aca="false">INDEX('Facility Master'!K:K,MATCH(ICICI_TL_SNo,'Facility Master'!A:A,0))</f>
        <v>840</v>
      </c>
      <c r="D79" s="737" t="n">
        <f aca="false">IFERROR(INDEX(AL5:AL68,MATCH(AsOfDate,B5:B68,1)+1),INDEX('Facility Master'!K:K,MATCH(ICICI_TL_SNo,'Facility Master'!A:A,0)))</f>
        <v>840</v>
      </c>
      <c r="E79" s="737"/>
      <c r="F79" s="737"/>
      <c r="G79" s="738" t="str">
        <f aca="false">IF(D79&gt;=C79,"Moratorium (full sanctioned)",IF(D79&gt;0,"Amortising","Repaid/Not Drawn"))</f>
        <v>Moratorium (full sanctioned)</v>
      </c>
      <c r="H79" s="738"/>
      <c r="I79" s="738"/>
      <c r="J79" s="73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  <c r="AG79" s="298"/>
      <c r="AH79" s="298"/>
      <c r="AI79" s="298"/>
      <c r="AJ79" s="298"/>
      <c r="AK79" s="298"/>
      <c r="AL79" s="298"/>
      <c r="AM79" s="298"/>
      <c r="AN79" s="298"/>
      <c r="AO79" s="298"/>
      <c r="AP79" s="298"/>
    </row>
    <row r="80" customFormat="false" ht="19.5" hidden="false" customHeight="true" outlineLevel="0" collapsed="false">
      <c r="A80" s="739" t="s">
        <v>734</v>
      </c>
      <c r="B80" s="739"/>
      <c r="C80" s="739"/>
      <c r="D80" s="740" t="n">
        <f aca="false">SUM(D73:D79)</f>
        <v>3816</v>
      </c>
      <c r="E80" s="740"/>
      <c r="F80" s="740"/>
      <c r="G80" s="741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  <c r="AH80" s="298"/>
      <c r="AI80" s="298"/>
      <c r="AJ80" s="298"/>
      <c r="AK80" s="298"/>
      <c r="AL80" s="298"/>
      <c r="AM80" s="298"/>
      <c r="AN80" s="298"/>
      <c r="AO80" s="298"/>
      <c r="AP80" s="298"/>
    </row>
  </sheetData>
  <mergeCells count="31">
    <mergeCell ref="A1:AP1"/>
    <mergeCell ref="A2:AP2"/>
    <mergeCell ref="A3:C3"/>
    <mergeCell ref="D3:H3"/>
    <mergeCell ref="I3:M3"/>
    <mergeCell ref="N3:R3"/>
    <mergeCell ref="S3:W3"/>
    <mergeCell ref="X3:AB3"/>
    <mergeCell ref="AC3:AG3"/>
    <mergeCell ref="AH3:AL3"/>
    <mergeCell ref="AM3:AP3"/>
    <mergeCell ref="A69:C69"/>
    <mergeCell ref="A71:AP71"/>
    <mergeCell ref="D72:F72"/>
    <mergeCell ref="G72:J72"/>
    <mergeCell ref="D73:F73"/>
    <mergeCell ref="G73:J73"/>
    <mergeCell ref="D74:F74"/>
    <mergeCell ref="G74:J74"/>
    <mergeCell ref="D75:F75"/>
    <mergeCell ref="G75:J75"/>
    <mergeCell ref="D76:F76"/>
    <mergeCell ref="G76:J76"/>
    <mergeCell ref="D77:F77"/>
    <mergeCell ref="G77:J77"/>
    <mergeCell ref="D78:F78"/>
    <mergeCell ref="G78:J78"/>
    <mergeCell ref="D79:F79"/>
    <mergeCell ref="G79:J79"/>
    <mergeCell ref="A80:C80"/>
    <mergeCell ref="D80:F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ACC6"/>
    <pageSetUpPr fitToPage="false"/>
  </sheetPr>
  <dimension ref="A1:K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H14" activeCellId="0" sqref="H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18.56"/>
    <col collapsed="false" customWidth="true" hidden="false" outlineLevel="0" max="3" min="3" style="1" width="40.77"/>
    <col collapsed="false" customWidth="true" hidden="false" outlineLevel="0" max="4" min="4" style="1" width="13"/>
    <col collapsed="false" customWidth="true" hidden="false" outlineLevel="0" max="5" min="5" style="1" width="10.2"/>
    <col collapsed="false" customWidth="true" hidden="false" outlineLevel="0" max="7" min="6" style="1" width="13.88"/>
    <col collapsed="false" customWidth="true" hidden="false" outlineLevel="0" max="8" min="8" style="1" width="12"/>
    <col collapsed="false" customWidth="true" hidden="false" outlineLevel="0" max="9" min="9" style="1" width="18.56"/>
    <col collapsed="false" customWidth="true" hidden="false" outlineLevel="0" max="10" min="10" style="1" width="7.44"/>
    <col collapsed="false" customWidth="true" hidden="false" outlineLevel="0" max="11" min="11" style="1" width="51.88"/>
    <col collapsed="false" customWidth="true" hidden="true" outlineLevel="0" max="26" min="12" style="1" width="11.53"/>
  </cols>
  <sheetData>
    <row r="1" customFormat="false" ht="27.75" hidden="false" customHeight="true" outlineLevel="0" collapsed="false">
      <c r="A1" s="340" t="s">
        <v>735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</row>
    <row r="2" customFormat="false" ht="15.75" hidden="false" customHeight="true" outlineLevel="0" collapsed="false">
      <c r="A2" s="434" t="s">
        <v>736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</row>
    <row r="3" customFormat="false" ht="24" hidden="false" customHeight="true" outlineLevel="0" collapsed="false">
      <c r="A3" s="441" t="s">
        <v>153</v>
      </c>
      <c r="B3" s="440" t="s">
        <v>82</v>
      </c>
      <c r="C3" s="440" t="s">
        <v>371</v>
      </c>
      <c r="D3" s="441" t="s">
        <v>119</v>
      </c>
      <c r="E3" s="441" t="s">
        <v>375</v>
      </c>
      <c r="F3" s="441" t="s">
        <v>633</v>
      </c>
      <c r="G3" s="441" t="s">
        <v>737</v>
      </c>
      <c r="H3" s="441" t="s">
        <v>738</v>
      </c>
      <c r="I3" s="441" t="s">
        <v>739</v>
      </c>
      <c r="J3" s="441" t="s">
        <v>740</v>
      </c>
      <c r="K3" s="441" t="s">
        <v>398</v>
      </c>
    </row>
    <row r="4" customFormat="false" ht="21.75" hidden="false" customHeight="true" outlineLevel="0" collapsed="false">
      <c r="A4" s="742" t="n">
        <f aca="false">IFERROR('Facility Master'!A5,"")</f>
        <v>1</v>
      </c>
      <c r="B4" s="743" t="str">
        <f aca="false">IFERROR('Facility Master'!B5,"")</f>
        <v>UBI</v>
      </c>
      <c r="C4" s="744" t="str">
        <f aca="false">IFERROR('Facility Master'!C5,"")</f>
        <v>RTL-I (renewal)</v>
      </c>
      <c r="D4" s="745" t="str">
        <f aca="false">IFERROR('Facility Master'!D5,"")</f>
        <v>FB-Term</v>
      </c>
      <c r="E4" s="742" t="n">
        <f aca="false">IFERROR('Facility Master'!H5,0)</f>
        <v>1</v>
      </c>
      <c r="F4" s="746" t="n">
        <f aca="false">IFERROR('Facility Master'!K5,0)</f>
        <v>1125</v>
      </c>
      <c r="G4" s="746" t="n">
        <f aca="false">IFERROR('Facility Master'!M5,0)</f>
        <v>1125</v>
      </c>
      <c r="H4" s="747" t="n">
        <f aca="false">IFERROR('Facility Master'!R5,0)</f>
        <v>0.094</v>
      </c>
      <c r="I4" s="748" t="n">
        <f aca="false">IFERROR(IF(D4="Hedge",0,IF(OR(D4="FB",D4="FB-Term",D4="FB-FCY",D4="FB-FDbacked"),G4*H4,F4*H4)),0)</f>
        <v>105.75</v>
      </c>
      <c r="J4" s="742" t="str">
        <f aca="false">IFERROR('Facility Master'!I5,"")</f>
        <v>INR</v>
      </c>
      <c r="K4" s="749" t="str">
        <f aca="false">IFERROR('Facility Master'!AF5,"")</f>
        <v>Renewal of existing TL; 1Y MCLR 8.90% per UBI SL p.1 (RTL-I); Spread 0.50% -&gt; effective 9.40% p.a. at present. Next MCLR reset 26-Jun-2026. (RTL-II uses 1Y MCLR 8.60% + 0.50% = 9.10%.)</v>
      </c>
    </row>
    <row r="5" customFormat="false" ht="19.5" hidden="false" customHeight="true" outlineLevel="0" collapsed="false">
      <c r="A5" s="633" t="n">
        <f aca="false">IFERROR('Facility Master'!A6,"")</f>
        <v>2</v>
      </c>
      <c r="B5" s="356" t="s">
        <v>167</v>
      </c>
      <c r="C5" s="357" t="str">
        <f aca="false">IFERROR('Facility Master'!C6,"")</f>
        <v>RTL-II (fresh)</v>
      </c>
      <c r="D5" s="634" t="str">
        <f aca="false">IFERROR('Facility Master'!D6,"")</f>
        <v>FB-Term</v>
      </c>
      <c r="E5" s="633" t="n">
        <f aca="false">IFERROR('Facility Master'!H6,0)</f>
        <v>1</v>
      </c>
      <c r="F5" s="635" t="n">
        <f aca="false">IFERROR('Facility Master'!K6,0)</f>
        <v>236</v>
      </c>
      <c r="G5" s="635" t="n">
        <f aca="false">IFERROR('Facility Master'!M6,0)</f>
        <v>236</v>
      </c>
      <c r="H5" s="638" t="n">
        <f aca="false">IFERROR('Facility Master'!R6,0)</f>
        <v>0.091</v>
      </c>
      <c r="I5" s="750" t="n">
        <f aca="false">IFERROR(IF(D5="Hedge",0,IF(OR(D5="FB",D5="FB-Term",D5="FB-FCY",D5="FB-FDbacked"),G5*H5,F5*H5)),0)</f>
        <v>21.476</v>
      </c>
      <c r="J5" s="633" t="str">
        <f aca="false">IFERROR('Facility Master'!I6,"")</f>
        <v>INR</v>
      </c>
      <c r="K5" s="751" t="str">
        <f aca="false">IFERROR('Facility Master'!AF6,"")</f>
        <v>Fresh facility; 1Y MCLR 8.60% (reset basis); consortium-aligned 48 quarterly</v>
      </c>
    </row>
    <row r="6" customFormat="false" ht="19.5" hidden="false" customHeight="true" outlineLevel="0" collapsed="false">
      <c r="A6" s="623" t="n">
        <f aca="false">IFERROR('Facility Master'!A7,"")</f>
        <v>3</v>
      </c>
      <c r="B6" s="669" t="s">
        <v>167</v>
      </c>
      <c r="C6" s="625" t="str">
        <f aca="false">IFERROR('Facility Master'!C7,"")</f>
        <v>Letter of Credit (Capex LC/UPAS/SBLC)</v>
      </c>
      <c r="D6" s="626" t="str">
        <f aca="false">IFERROR('Facility Master'!D7,"")</f>
        <v>NFB</v>
      </c>
      <c r="E6" s="623" t="n">
        <f aca="false">IFERROR('Facility Master'!H7,0)</f>
        <v>0</v>
      </c>
      <c r="F6" s="627" t="n">
        <f aca="false">IFERROR('Facility Master'!K7,0)</f>
        <v>750</v>
      </c>
      <c r="G6" s="627" t="n">
        <f aca="false">IFERROR('Facility Master'!M7,0)</f>
        <v>750</v>
      </c>
      <c r="H6" s="631" t="n">
        <f aca="false">IFERROR('Facility Master'!R7,0)</f>
        <v>0.006</v>
      </c>
      <c r="I6" s="752" t="n">
        <f aca="false">IFERROR(IF(D6="Hedge",0,IF(OR(D6="FB",D6="FB-Term",D6="FB-FCY",D6="FB-FDbacked"),G6*H6,F6*H6)),0)</f>
        <v>4.5</v>
      </c>
      <c r="J6" s="623" t="str">
        <f aca="false">IFERROR('Facility Master'!I7,"")</f>
        <v>INR</v>
      </c>
      <c r="K6" s="753" t="str">
        <f aca="false">IFERROR('Facility Master'!AF7,"")</f>
        <v>0.60% p.a. + GST commission; UBI branch SBLC; other-bank SBLC 0.85%</v>
      </c>
    </row>
    <row r="7" customFormat="false" ht="19.5" hidden="false" customHeight="true" outlineLevel="0" collapsed="false">
      <c r="A7" s="633" t="n">
        <f aca="false">IFERROR('Facility Master'!A8,"")</f>
        <v>4</v>
      </c>
      <c r="B7" s="356" t="s">
        <v>167</v>
      </c>
      <c r="C7" s="357" t="str">
        <f aca="false">IFERROR('Facility Master'!C8,"")</f>
        <v>Bank Guarantee</v>
      </c>
      <c r="D7" s="634" t="str">
        <f aca="false">IFERROR('Facility Master'!D8,"")</f>
        <v>NFB</v>
      </c>
      <c r="E7" s="633" t="n">
        <f aca="false">IFERROR('Facility Master'!H8,0)</f>
        <v>0</v>
      </c>
      <c r="F7" s="635" t="n">
        <f aca="false">IFERROR('Facility Master'!K8,0)</f>
        <v>12.5</v>
      </c>
      <c r="G7" s="635" t="n">
        <f aca="false">IFERROR('Facility Master'!M8,0)</f>
        <v>12.5</v>
      </c>
      <c r="H7" s="638" t="n">
        <f aca="false">IFERROR('Facility Master'!R8,0)</f>
        <v>0.006</v>
      </c>
      <c r="I7" s="750" t="n">
        <f aca="false">IFERROR(IF(D7="Hedge",0,IF(OR(D7="FB",D7="FB-Term",D7="FB-FCY",D7="FB-FDbacked"),G7*H7,F7*H7)),0)</f>
        <v>0.075</v>
      </c>
      <c r="J7" s="633" t="str">
        <f aca="false">IFERROR('Facility Master'!I8,"")</f>
        <v>INR</v>
      </c>
      <c r="K7" s="751" t="str">
        <f aca="false">IFERROR('Facility Master'!AF8,"")</f>
        <v>0.60% p.a. + GST</v>
      </c>
    </row>
    <row r="8" customFormat="false" ht="19.5" hidden="false" customHeight="true" outlineLevel="0" collapsed="false">
      <c r="A8" s="623" t="n">
        <f aca="false">IFERROR('Facility Master'!A9,"")</f>
        <v>5</v>
      </c>
      <c r="B8" s="669" t="s">
        <v>167</v>
      </c>
      <c r="C8" s="625" t="str">
        <f aca="false">IFERROR('Facility Master'!C9,"")</f>
        <v>Forward Contract (credit equivalent)</v>
      </c>
      <c r="D8" s="626" t="str">
        <f aca="false">IFERROR('Facility Master'!D9,"")</f>
        <v>Hedge</v>
      </c>
      <c r="E8" s="623" t="str">
        <f aca="false">IFERROR('Facility Master'!H9,0)</f>
        <v>H</v>
      </c>
      <c r="F8" s="627" t="n">
        <f aca="false">IFERROR('Facility Master'!K9,0)</f>
        <v>75</v>
      </c>
      <c r="G8" s="627" t="n">
        <f aca="false">IFERROR('Facility Master'!M9,0)</f>
        <v>75</v>
      </c>
      <c r="H8" s="631" t="n">
        <f aca="false">IFERROR('Facility Master'!R9,0)</f>
        <v>0</v>
      </c>
      <c r="I8" s="752" t="n">
        <f aca="false">IFERROR(IF(D8="Hedge",0,IF(OR(D8="FB",D8="FB-Term",D8="FB-FCY",D8="FB-FDbacked"),G8*H8,F8*H8)),0)</f>
        <v>0</v>
      </c>
      <c r="J8" s="623" t="str">
        <f aca="false">IFERROR('Facility Master'!I9,"")</f>
        <v>INR</v>
      </c>
      <c r="K8" s="753" t="str">
        <f aca="false">IFERROR('Facility Master'!AF9,"")</f>
        <v>MEMO ONLY. '^' superscript on UBI cover table with no footnote — treatment ambiguous; provisionally classified as hedge memo. Out of all buckets.</v>
      </c>
    </row>
    <row r="9" customFormat="false" ht="21.75" hidden="false" customHeight="true" outlineLevel="0" collapsed="false">
      <c r="A9" s="754" t="n">
        <f aca="false">IFERROR('Facility Master'!A10,"")</f>
        <v>6</v>
      </c>
      <c r="B9" s="755" t="str">
        <f aca="false">IFERROR('Facility Master'!B10,"")</f>
        <v>Indian Bank</v>
      </c>
      <c r="C9" s="756" t="str">
        <f aca="false">IFERROR('Facility Master'!C10,"")</f>
        <v>Term Loan (per amendment ticket)</v>
      </c>
      <c r="D9" s="757" t="str">
        <f aca="false">IFERROR('Facility Master'!D10,"")</f>
        <v>FB-Term</v>
      </c>
      <c r="E9" s="754" t="n">
        <f aca="false">IFERROR('Facility Master'!H10,0)</f>
        <v>1</v>
      </c>
      <c r="F9" s="758" t="n">
        <f aca="false">IFERROR('Facility Master'!K10,0)</f>
        <v>235</v>
      </c>
      <c r="G9" s="758" t="n">
        <f aca="false">IFERROR('Facility Master'!M10,0)</f>
        <v>235</v>
      </c>
      <c r="H9" s="759" t="n">
        <f aca="false">IFERROR('Facility Master'!R10,0)</f>
        <v>0.094</v>
      </c>
      <c r="I9" s="760" t="n">
        <f aca="false">IFERROR(IF(D9="Hedge",0,IF(OR(D9="FB",D9="FB-Term",D9="FB-FCY",D9="FB-FDbacked"),G9*H9,F9*H9)),0)</f>
        <v>22.09</v>
      </c>
      <c r="J9" s="754" t="str">
        <f aca="false">IFERROR('Facility Master'!I10,"")</f>
        <v>INR</v>
      </c>
      <c r="K9" s="761" t="str">
        <f aca="false">IFERROR('Facility Master'!AF10,"")</f>
        <v>Indian Bank: Loan ₹235 Cr DERIVED from repayment table totals (8Q × ₹2.9375 + 40Q × ₹5.2875 = ₹235 ✓). 12-yr tenor; 12-mo moratorium; graduated 1.25%/2.25% quarterly; per amendment ticket 26-Sep-2025.</v>
      </c>
    </row>
    <row r="10" customFormat="false" ht="21.75" hidden="false" customHeight="true" outlineLevel="0" collapsed="false">
      <c r="A10" s="613" t="n">
        <f aca="false">IFERROR('Facility Master'!A11,"")</f>
        <v>7</v>
      </c>
      <c r="B10" s="614" t="str">
        <f aca="false">IFERROR('Facility Master'!B11,"")</f>
        <v>RBL Bank</v>
      </c>
      <c r="C10" s="615" t="str">
        <f aca="false">IFERROR('Facility Master'!C11,"")</f>
        <v>Term Loan (12-month bullet bridge)</v>
      </c>
      <c r="D10" s="616" t="str">
        <f aca="false">IFERROR('Facility Master'!D11,"")</f>
        <v>FB-Term</v>
      </c>
      <c r="E10" s="613" t="n">
        <f aca="false">IFERROR('Facility Master'!H11,0)</f>
        <v>1</v>
      </c>
      <c r="F10" s="617" t="n">
        <f aca="false">IFERROR('Facility Master'!K11,0)</f>
        <v>200</v>
      </c>
      <c r="G10" s="617" t="n">
        <f aca="false">IFERROR('Facility Master'!M11,0)</f>
        <v>200</v>
      </c>
      <c r="H10" s="621" t="n">
        <f aca="false">IFERROR('Facility Master'!R11,0)</f>
        <v>0.095</v>
      </c>
      <c r="I10" s="762" t="n">
        <f aca="false">IFERROR(IF(D10="Hedge",0,IF(OR(D10="FB",D10="FB-Term",D10="FB-FCY",D10="FB-FDbacked"),G10*H10,F10*H10)),0)</f>
        <v>19</v>
      </c>
      <c r="J10" s="613" t="str">
        <f aca="false">IFERROR('Facility Master'!I11,"")</f>
        <v>INR</v>
      </c>
      <c r="K10" s="763" t="str">
        <f aca="false">IFERROR('Facility Master'!AF11,"")</f>
        <v>FLAG: Bridge facility — 12-month BULLET, NOT consortium amortising. Rate 'to be decided at disbursement' — FLAG. Min promoter contribution ₹1,363 Cr covenant. Min BBB rating within 180 days.</v>
      </c>
    </row>
    <row r="11" customFormat="false" ht="19.5" hidden="false" customHeight="true" outlineLevel="0" collapsed="false">
      <c r="A11" s="633" t="n">
        <f aca="false">IFERROR('Facility Master'!A12,"")</f>
        <v>8</v>
      </c>
      <c r="B11" s="356" t="s">
        <v>167</v>
      </c>
      <c r="C11" s="357" t="str">
        <f aca="false">IFERROR('Facility Master'!C12,"")</f>
        <v>Letter of Credit (sub-limit of TL)</v>
      </c>
      <c r="D11" s="634" t="str">
        <f aca="false">IFERROR('Facility Master'!D12,"")</f>
        <v>NFB</v>
      </c>
      <c r="E11" s="633" t="n">
        <f aca="false">IFERROR('Facility Master'!H12,0)</f>
        <v>0</v>
      </c>
      <c r="F11" s="635" t="n">
        <f aca="false">IFERROR('Facility Master'!K12,0)</f>
        <v>200</v>
      </c>
      <c r="G11" s="635" t="n">
        <f aca="false">IFERROR('Facility Master'!M12,0)</f>
        <v>200</v>
      </c>
      <c r="H11" s="638" t="n">
        <f aca="false">IFERROR('Facility Master'!R12,0)</f>
        <v>0.005</v>
      </c>
      <c r="I11" s="750" t="n">
        <f aca="false">IFERROR(IF(D11="Hedge",0,IF(OR(D11="FB",D11="FB-Term",D11="FB-FCY",D11="FB-FDbacked"),G11*H11,F11*H11)),0)</f>
        <v>1</v>
      </c>
      <c r="J11" s="633" t="str">
        <f aca="false">IFERROR('Facility Master'!I12,"")</f>
        <v>INR</v>
      </c>
      <c r="K11" s="751" t="str">
        <f aca="false">IFERROR('Facility Master'!AF12,"")</f>
        <v>Sub-limit within ₹200 Cr TL; 0.50% p.a. commission; no LCs to sister/group companies; 6 months max per LC</v>
      </c>
    </row>
    <row r="12" customFormat="false" ht="19.5" hidden="false" customHeight="true" outlineLevel="0" collapsed="false">
      <c r="A12" s="613" t="n">
        <f aca="false">IFERROR('Facility Master'!A13,"")</f>
        <v>9</v>
      </c>
      <c r="B12" s="672" t="s">
        <v>167</v>
      </c>
      <c r="C12" s="615" t="str">
        <f aca="false">IFERROR('Facility Master'!C13,"")</f>
        <v>FDOD (Overdraft against FD)</v>
      </c>
      <c r="D12" s="616" t="str">
        <f aca="false">IFERROR('Facility Master'!D13,"")</f>
        <v>FB-FDbacked</v>
      </c>
      <c r="E12" s="613" t="n">
        <f aca="false">IFERROR('Facility Master'!H13,0)</f>
        <v>3</v>
      </c>
      <c r="F12" s="617" t="n">
        <f aca="false">IFERROR('Facility Master'!K13,0)</f>
        <v>100</v>
      </c>
      <c r="G12" s="617" t="n">
        <f aca="false">IFERROR('Facility Master'!M13,0)</f>
        <v>100</v>
      </c>
      <c r="H12" s="621" t="n">
        <f aca="false">IFERROR('Facility Master'!R13,0)</f>
        <v>0.095</v>
      </c>
      <c r="I12" s="762" t="n">
        <f aca="false">IFERROR(IF(D12="Hedge",0,IF(OR(D12="FB",D12="FB-Term",D12="FB-FCY",D12="FB-FDbacked"),G12*H12,F12*H12)),0)</f>
        <v>9.5</v>
      </c>
      <c r="J12" s="613" t="str">
        <f aca="false">IFERROR('Facility Master'!I13,"")</f>
        <v>INR</v>
      </c>
      <c r="K12" s="763" t="str">
        <f aca="false">IFERROR('Facility Master'!AF13,"")</f>
        <v>FD-backed; economic exposure nil; rate TBD at disbursement — FLAG</v>
      </c>
    </row>
    <row r="13" customFormat="false" ht="21.75" hidden="false" customHeight="true" outlineLevel="0" collapsed="false">
      <c r="A13" s="742" t="n">
        <f aca="false">IFERROR('Facility Master'!A14,"")</f>
        <v>10</v>
      </c>
      <c r="B13" s="743" t="str">
        <f aca="false">IFERROR('Facility Master'!B14,"")</f>
        <v>YES Bank</v>
      </c>
      <c r="C13" s="744" t="str">
        <f aca="false">IFERROR('Facility Master'!C14,"")</f>
        <v>Term Loan (project, new consortium joiner)</v>
      </c>
      <c r="D13" s="745" t="str">
        <f aca="false">IFERROR('Facility Master'!D14,"")</f>
        <v>FB-Term</v>
      </c>
      <c r="E13" s="742" t="n">
        <f aca="false">IFERROR('Facility Master'!H14,0)</f>
        <v>1</v>
      </c>
      <c r="F13" s="746" t="n">
        <f aca="false">IFERROR('Facility Master'!K14,0)</f>
        <v>650</v>
      </c>
      <c r="G13" s="746" t="n">
        <f aca="false">IFERROR('Facility Master'!M14,0)</f>
        <v>650</v>
      </c>
      <c r="H13" s="747" t="n">
        <f aca="false">IFERROR('Facility Master'!R14,0)</f>
        <v>0.0955</v>
      </c>
      <c r="I13" s="748" t="n">
        <f aca="false">IFERROR(IF(D13="Hedge",0,IF(OR(D13="FB",D13="FB-Term",D13="FB-FCY",D13="FB-FDbacked"),G13*H13,F13*H13)),0)</f>
        <v>62.075</v>
      </c>
      <c r="J13" s="742" t="str">
        <f aca="false">IFERROR('Facility Master'!I14,"")</f>
        <v>INR</v>
      </c>
      <c r="K13" s="749" t="str">
        <f aca="false">IFERROR('Facility Master'!AF14,"")</f>
        <v>YBL: EBLR + 3.45% (current EBLR not stated in letter). 160 mo tenor; 12-mo moratorium; quarterly P+I; per FL 30-Dec-2025. See F-06, F-13.</v>
      </c>
    </row>
    <row r="14" customFormat="false" ht="19.5" hidden="false" customHeight="true" outlineLevel="0" collapsed="false">
      <c r="A14" s="623" t="n">
        <f aca="false">IFERROR('Facility Master'!A15,"")</f>
        <v>11</v>
      </c>
      <c r="B14" s="669" t="s">
        <v>167</v>
      </c>
      <c r="C14" s="625" t="str">
        <f aca="false">IFERROR('Facility Master'!C15,"")</f>
        <v>Capex LC (sub-limit of TL)</v>
      </c>
      <c r="D14" s="626" t="str">
        <f aca="false">IFERROR('Facility Master'!D15,"")</f>
        <v>NFB</v>
      </c>
      <c r="E14" s="623" t="n">
        <f aca="false">IFERROR('Facility Master'!H15,0)</f>
        <v>0</v>
      </c>
      <c r="F14" s="627" t="n">
        <f aca="false">IFERROR('Facility Master'!K15,0)</f>
        <v>100</v>
      </c>
      <c r="G14" s="627" t="n">
        <f aca="false">IFERROR('Facility Master'!M15,0)</f>
        <v>100</v>
      </c>
      <c r="H14" s="631" t="n">
        <f aca="false">IFERROR('Facility Master'!R15,0)</f>
        <v>0.005</v>
      </c>
      <c r="I14" s="752" t="n">
        <f aca="false">IFERROR(IF(D14="Hedge",0,IF(OR(D14="FB",D14="FB-Term",D14="FB-FCY",D14="FB-FDbacked"),G14*H14,F14*H14)),0)</f>
        <v>0.5</v>
      </c>
      <c r="J14" s="623" t="str">
        <f aca="false">IFERROR('Facility Master'!I15,"")</f>
        <v>INR</v>
      </c>
      <c r="K14" s="753" t="str">
        <f aca="false">IFERROR('Facility Master'!AF15,"")</f>
        <v>Sub-limit within ₹650 Cr TL; 0.50% p.a.; 36-month tenor incl 12-month usance; availability till 02-Mar-2026</v>
      </c>
    </row>
    <row r="15" customFormat="false" ht="21.75" hidden="false" customHeight="true" outlineLevel="0" collapsed="false">
      <c r="A15" s="754" t="n">
        <f aca="false">IFERROR('Facility Master'!A16,"")</f>
        <v>12</v>
      </c>
      <c r="B15" s="755" t="str">
        <f aca="false">IFERROR('Facility Master'!B16,"")</f>
        <v>IDFC First Bank</v>
      </c>
      <c r="C15" s="756" t="str">
        <f aca="false">IFERROR('Facility Master'!C16,"")</f>
        <v>RTL (project, new consortium joiner)</v>
      </c>
      <c r="D15" s="757" t="str">
        <f aca="false">IFERROR('Facility Master'!D16,"")</f>
        <v>FB-Term</v>
      </c>
      <c r="E15" s="754" t="n">
        <f aca="false">IFERROR('Facility Master'!H16,0)</f>
        <v>1</v>
      </c>
      <c r="F15" s="758" t="n">
        <f aca="false">IFERROR('Facility Master'!K16,0)</f>
        <v>530</v>
      </c>
      <c r="G15" s="758" t="n">
        <f aca="false">IFERROR('Facility Master'!M16,0)</f>
        <v>530</v>
      </c>
      <c r="H15" s="759" t="n">
        <f aca="false">IFERROR('Facility Master'!R16,0)</f>
        <v>0.088</v>
      </c>
      <c r="I15" s="760" t="n">
        <f aca="false">IFERROR(IF(D15="Hedge",0,IF(OR(D15="FB",D15="FB-Term",D15="FB-FCY",D15="FB-FDbacked"),G15*H15,F15*H15)),0)</f>
        <v>46.64</v>
      </c>
      <c r="J15" s="754" t="str">
        <f aca="false">IFERROR('Facility Master'!I16,"")</f>
        <v>INR</v>
      </c>
      <c r="K15" s="761" t="str">
        <f aca="false">IFERROR('Facility Master'!AF16,"")</f>
        <v>IDFC: EBLR 7.75% + 1.05% spread = ~8.80%. 144-mo tenor; 12-mo moratorium; quarterly P+I; per SL 09-Jan-2026 accepted 14-Jan-2026.</v>
      </c>
    </row>
    <row r="16" customFormat="false" ht="19.5" hidden="false" customHeight="true" outlineLevel="0" collapsed="false">
      <c r="A16" s="764" t="n">
        <f aca="false">IFERROR('Facility Master'!A17,"")</f>
        <v>13</v>
      </c>
      <c r="B16" s="765" t="s">
        <v>167</v>
      </c>
      <c r="C16" s="766" t="str">
        <f aca="false">IFERROR('Facility Master'!C17,"")</f>
        <v>NFB — Capex LC/SBLC (A)</v>
      </c>
      <c r="D16" s="767" t="str">
        <f aca="false">IFERROR('Facility Master'!D17,"")</f>
        <v>NFB</v>
      </c>
      <c r="E16" s="764" t="n">
        <f aca="false">IFERROR('Facility Master'!H17,0)</f>
        <v>0</v>
      </c>
      <c r="F16" s="768" t="n">
        <f aca="false">IFERROR('Facility Master'!K17,0)</f>
        <v>400</v>
      </c>
      <c r="G16" s="768" t="n">
        <f aca="false">IFERROR('Facility Master'!M17,0)</f>
        <v>400</v>
      </c>
      <c r="H16" s="769" t="n">
        <f aca="false">IFERROR('Facility Master'!R17,0)</f>
        <v>0.0035</v>
      </c>
      <c r="I16" s="770" t="n">
        <f aca="false">IFERROR(IF(D16="Hedge",0,IF(OR(D16="FB",D16="FB-Term",D16="FB-FCY",D16="FB-FDbacked"),G16*H16,F16*H16)),0)</f>
        <v>1.4</v>
      </c>
      <c r="J16" s="764" t="str">
        <f aca="false">IFERROR('Facility Master'!I17,"")</f>
        <v>INR</v>
      </c>
      <c r="K16" s="771" t="str">
        <f aca="false">IFERROR('Facility Master'!AF17,"")</f>
        <v>IDFC NFB-A (Capex LC/SBLC): ₹400 Cr total NFB cap; AG=TRUE. Per SL p.2 verbatim 'Sub-Limits under Facility: Rs 400.00 Cr towards non-funded'.</v>
      </c>
    </row>
    <row r="17" customFormat="false" ht="19.5" hidden="false" customHeight="true" outlineLevel="0" collapsed="false">
      <c r="A17" s="633" t="n">
        <f aca="false">IFERROR('Facility Master'!A18,"")</f>
        <v>14</v>
      </c>
      <c r="B17" s="356" t="s">
        <v>167</v>
      </c>
      <c r="C17" s="357" t="str">
        <f aca="false">IFERROR('Facility Master'!C18,"")</f>
        <v>NFB — BG / SBLC (B, sub-limit within ₹400 cap)</v>
      </c>
      <c r="D17" s="634" t="str">
        <f aca="false">IFERROR('Facility Master'!D18,"")</f>
        <v>NFB</v>
      </c>
      <c r="E17" s="633" t="n">
        <f aca="false">IFERROR('Facility Master'!H18,0)</f>
        <v>0</v>
      </c>
      <c r="F17" s="635" t="n">
        <f aca="false">IFERROR('Facility Master'!K18,0)</f>
        <v>200</v>
      </c>
      <c r="G17" s="635" t="n">
        <f aca="false">IFERROR('Facility Master'!M18,0)</f>
        <v>200</v>
      </c>
      <c r="H17" s="638" t="n">
        <f aca="false">IFERROR('Facility Master'!R18,0)</f>
        <v>0.0035</v>
      </c>
      <c r="I17" s="750" t="n">
        <f aca="false">IFERROR(IF(D17="Hedge",0,IF(OR(D17="FB",D17="FB-Term",D17="FB-FCY",D17="FB-FDbacked"),G17*H17,F17*H17)),0)</f>
        <v>0.7</v>
      </c>
      <c r="J17" s="633" t="str">
        <f aca="false">IFERROR('Facility Master'!I18,"")</f>
        <v>INR</v>
      </c>
      <c r="K17" s="751" t="str">
        <f aca="false">IFERROR('Facility Master'!AF18,"")</f>
        <v>IDFC NFB-B (BG/SBLC): sub-cap ₹200 Cr within A's ₹400 Cr parent. AG=FALSE — combined A+B ≤ ₹400 Cr (not additive). See F-03 (RESOLVED).</v>
      </c>
    </row>
    <row r="18" customFormat="false" ht="21.75" hidden="false" customHeight="true" outlineLevel="0" collapsed="false">
      <c r="A18" s="742" t="n">
        <f aca="false">IFERROR('Facility Master'!A19,"")</f>
        <v>15</v>
      </c>
      <c r="B18" s="743" t="str">
        <f aca="false">IFERROR('Facility Master'!B19,"")</f>
        <v>ICICI Bank</v>
      </c>
      <c r="C18" s="744" t="str">
        <f aca="false">IFERROR('Facility Master'!C19,"")</f>
        <v>Cash Credit (WC)</v>
      </c>
      <c r="D18" s="745" t="str">
        <f aca="false">IFERROR('Facility Master'!D19,"")</f>
        <v>FB</v>
      </c>
      <c r="E18" s="742" t="n">
        <f aca="false">IFERROR('Facility Master'!H19,0)</f>
        <v>1</v>
      </c>
      <c r="F18" s="746" t="n">
        <f aca="false">IFERROR('Facility Master'!K19,0)</f>
        <v>100</v>
      </c>
      <c r="G18" s="746" t="n">
        <f aca="false">IFERROR('Facility Master'!M19,0)</f>
        <v>100</v>
      </c>
      <c r="H18" s="747" t="n">
        <f aca="false">IFERROR('Facility Master'!R19,0)</f>
        <v>0.085</v>
      </c>
      <c r="I18" s="748" t="n">
        <f aca="false">IFERROR(IF(D18="Hedge",0,IF(OR(D18="FB",D18="FB-Term",D18="FB-FCY",D18="FB-FDbacked"),G18*H18,F18*H18)),0)</f>
        <v>8.5</v>
      </c>
      <c r="J18" s="742" t="str">
        <f aca="false">IFERROR('Facility Master'!I19,"")</f>
        <v>INR</v>
      </c>
      <c r="K18" s="749" t="str">
        <f aca="false">IFERROR('Facility Master'!AF19,"")</f>
        <v>I-MCLR-6M (8.30%) + 0.20% = ~8.50%. Reset every 6 mo. Interchangeable one-way to LC. Validity 03-Feb-2027.</v>
      </c>
    </row>
    <row r="19" customFormat="false" ht="19.5" hidden="false" customHeight="true" outlineLevel="0" collapsed="false">
      <c r="A19" s="633" t="n">
        <f aca="false">IFERROR('Facility Master'!A20,"")</f>
        <v>16</v>
      </c>
      <c r="B19" s="356" t="s">
        <v>167</v>
      </c>
      <c r="C19" s="357" t="str">
        <f aca="false">IFERROR('Facility Master'!C20,"")</f>
        <v>WCDL (sub-limit of CC)</v>
      </c>
      <c r="D19" s="634" t="str">
        <f aca="false">IFERROR('Facility Master'!D20,"")</f>
        <v>FB</v>
      </c>
      <c r="E19" s="633" t="n">
        <f aca="false">IFERROR('Facility Master'!H20,0)</f>
        <v>0</v>
      </c>
      <c r="F19" s="635" t="n">
        <f aca="false">IFERROR('Facility Master'!K20,0)</f>
        <v>100</v>
      </c>
      <c r="G19" s="635" t="n">
        <f aca="false">IFERROR('Facility Master'!M20,0)</f>
        <v>100</v>
      </c>
      <c r="H19" s="638" t="n">
        <f aca="false">IFERROR('Facility Master'!R20,0)</f>
        <v>0.0525</v>
      </c>
      <c r="I19" s="750" t="n">
        <f aca="false">IFERROR(IF(D19="Hedge",0,IF(OR(D19="FB",D19="FB-Term",D19="FB-FCY",D19="FB-FDbacked"),G19*H19,F19*H19)),0)</f>
        <v>5.25</v>
      </c>
      <c r="J19" s="633" t="str">
        <f aca="false">IFERROR('Facility Master'!I20,"")</f>
        <v>INR</v>
      </c>
      <c r="K19" s="751" t="str">
        <f aca="false">IFERROR('Facility Master'!AF20,"")</f>
        <v>Repo Rate + Spread (TBD per drawdown — FLAG). Max 90-day tranche; default 95 days under RBI LDS. Sub of CC.</v>
      </c>
    </row>
    <row r="20" customFormat="false" ht="19.5" hidden="false" customHeight="true" outlineLevel="0" collapsed="false">
      <c r="A20" s="623" t="n">
        <f aca="false">IFERROR('Facility Master'!A21,"")</f>
        <v>17</v>
      </c>
      <c r="B20" s="669" t="s">
        <v>167</v>
      </c>
      <c r="C20" s="625" t="str">
        <f aca="false">IFERROR('Facility Master'!C21,"")</f>
        <v>Letter of Credit (WC)</v>
      </c>
      <c r="D20" s="626" t="str">
        <f aca="false">IFERROR('Facility Master'!D21,"")</f>
        <v>NFB</v>
      </c>
      <c r="E20" s="623" t="n">
        <f aca="false">IFERROR('Facility Master'!H21,0)</f>
        <v>2</v>
      </c>
      <c r="F20" s="627" t="n">
        <f aca="false">IFERROR('Facility Master'!K21,0)</f>
        <v>300</v>
      </c>
      <c r="G20" s="627" t="n">
        <f aca="false">IFERROR('Facility Master'!M21,0)</f>
        <v>300</v>
      </c>
      <c r="H20" s="631" t="n">
        <f aca="false">IFERROR('Facility Master'!R21,0)</f>
        <v>0.006</v>
      </c>
      <c r="I20" s="752" t="n">
        <f aca="false">IFERROR(IF(D20="Hedge",0,IF(OR(D20="FB",D20="FB-Term",D20="FB-FCY",D20="FB-FDbacked"),G20*H20,F20*H20)),0)</f>
        <v>1.8</v>
      </c>
      <c r="J20" s="623" t="str">
        <f aca="false">IFERROR('Facility Master'!I21,"")</f>
        <v>INR</v>
      </c>
      <c r="K20" s="753" t="str">
        <f aca="false">IFERROR('Facility Master'!AF21,"")</f>
        <v>0.60% p.a. commission. Foreign LC max 150 days; Inland 90 days. Group co LC cap 25% (Jindal Coke + JSL combined).</v>
      </c>
    </row>
    <row r="21" customFormat="false" ht="19.5" hidden="false" customHeight="true" outlineLevel="0" collapsed="false">
      <c r="A21" s="633" t="n">
        <f aca="false">IFERROR('Facility Master'!A22,"")</f>
        <v>18</v>
      </c>
      <c r="B21" s="356" t="s">
        <v>167</v>
      </c>
      <c r="C21" s="357" t="str">
        <f aca="false">IFERROR('Facility Master'!C22,"")</f>
        <v>BG (F+P, sub-limit of LC)</v>
      </c>
      <c r="D21" s="634" t="str">
        <f aca="false">IFERROR('Facility Master'!D22,"")</f>
        <v>NFB</v>
      </c>
      <c r="E21" s="633" t="n">
        <f aca="false">IFERROR('Facility Master'!H22,0)</f>
        <v>0</v>
      </c>
      <c r="F21" s="635" t="n">
        <f aca="false">IFERROR('Facility Master'!K22,0)</f>
        <v>300</v>
      </c>
      <c r="G21" s="635" t="n">
        <f aca="false">IFERROR('Facility Master'!M22,0)</f>
        <v>300</v>
      </c>
      <c r="H21" s="638" t="n">
        <f aca="false">IFERROR('Facility Master'!R22,0)</f>
        <v>0.006</v>
      </c>
      <c r="I21" s="750" t="n">
        <f aca="false">IFERROR(IF(D21="Hedge",0,IF(OR(D21="FB",D21="FB-Term",D21="FB-FCY",D21="FB-FDbacked"),G21*H21,F21*H21)),0)</f>
        <v>1.8</v>
      </c>
      <c r="J21" s="633" t="str">
        <f aca="false">IFERROR('Facility Master'!I22,"")</f>
        <v>INR</v>
      </c>
      <c r="K21" s="751" t="str">
        <f aca="false">IFERROR('Facility Master'!AF22,"")</f>
        <v>BG(F) 0.85% ≤1y / 1.00% 1-3y; BG(P) 0.60% / 0.75%. Onerous BG: 12.5% private, 25% PSU. Sub of LC.</v>
      </c>
    </row>
    <row r="22" customFormat="false" ht="21.75" hidden="false" customHeight="true" outlineLevel="0" collapsed="false">
      <c r="A22" s="640" t="n">
        <f aca="false">IFERROR('Facility Master'!A23,"")</f>
        <v>19</v>
      </c>
      <c r="B22" s="641" t="str">
        <f aca="false">IFERROR('Facility Master'!B23,"")</f>
        <v>HSBC</v>
      </c>
      <c r="C22" s="663" t="str">
        <f aca="false">IFERROR('Facility Master'!C23,"")</f>
        <v>Combined Limit (Uncommitted)</v>
      </c>
      <c r="D22" s="643" t="str">
        <f aca="false">IFERROR('Facility Master'!D23,"")</f>
        <v>NFB</v>
      </c>
      <c r="E22" s="640" t="n">
        <f aca="false">IFERROR('Facility Master'!H23,0)</f>
        <v>1</v>
      </c>
      <c r="F22" s="644" t="n">
        <f aca="false">IFERROR('Facility Master'!K23,0)</f>
        <v>200</v>
      </c>
      <c r="G22" s="644" t="n">
        <f aca="false">IFERROR('Facility Master'!M23,0)</f>
        <v>200</v>
      </c>
      <c r="H22" s="648" t="n">
        <f aca="false">IFERROR('Facility Master'!R23,0)</f>
        <v>0.09</v>
      </c>
      <c r="I22" s="772" t="n">
        <f aca="false">IFERROR(IF(D22="Hedge",0,IF(OR(D22="FB",D22="FB-Term",D22="FB-FCY",D22="FB-FDbacked"),G22*H22,F22*H22)),0)</f>
        <v>18</v>
      </c>
      <c r="J22" s="640" t="str">
        <f aca="false">IFERROR('Facility Master'!I23,"")</f>
        <v>INR</v>
      </c>
      <c r="K22" s="773" t="str">
        <f aca="false">IFERROR('Facility Master'!AF23,"")</f>
        <v>HSBC: ₹1,000 Cr face UNCOMMITTED Combined Limit. Model carries ₹200 Cr post 20% haircut in Bucket 1 (Sanctioned/FB Mains). Bank retains discretion to cancel. All 14 sub-facilities Bucket 0. Security excludes immovable FA. See F-07, MP-13, F-18.</v>
      </c>
    </row>
    <row r="23" customFormat="false" ht="19.5" hidden="false" customHeight="true" outlineLevel="0" collapsed="false">
      <c r="A23" s="633" t="n">
        <f aca="false">IFERROR('Facility Master'!A24,"")</f>
        <v>20</v>
      </c>
      <c r="B23" s="356" t="s">
        <v>167</v>
      </c>
      <c r="C23" s="667" t="str">
        <f aca="false">IFERROR('Facility Master'!C24,"")</f>
        <v>Working Capital Loan (Uncommitted, sub of #1)</v>
      </c>
      <c r="D23" s="634" t="str">
        <f aca="false">IFERROR('Facility Master'!D24,"")</f>
        <v>FB</v>
      </c>
      <c r="E23" s="633" t="n">
        <f aca="false">IFERROR('Facility Master'!H24,0)</f>
        <v>0</v>
      </c>
      <c r="F23" s="635" t="n">
        <f aca="false">IFERROR('Facility Master'!K24,0)</f>
        <v>26.08</v>
      </c>
      <c r="G23" s="635" t="n">
        <f aca="false">IFERROR('Facility Master'!M24,0)</f>
        <v>26.08</v>
      </c>
      <c r="H23" s="638" t="n">
        <f aca="false">IFERROR('Facility Master'!R24,0)</f>
        <v>0.09</v>
      </c>
      <c r="I23" s="750" t="n">
        <f aca="false">IFERROR(IF(D23="Hedge",0,IF(OR(D23="FB",D23="FB-Term",D23="FB-FCY",D23="FB-FDbacked"),G23*H23,F23*H23)),0)</f>
        <v>2.3472</v>
      </c>
      <c r="J23" s="633" t="str">
        <f aca="false">IFERROR('Facility Master'!I24,"")</f>
        <v>INR</v>
      </c>
      <c r="K23" s="751" t="str">
        <f aca="false">IFERROR('Facility Master'!AF24,"")</f>
        <v>6-month tenor; rate mutually agreed</v>
      </c>
    </row>
    <row r="24" customFormat="false" ht="19.5" hidden="false" customHeight="true" outlineLevel="0" collapsed="false">
      <c r="A24" s="640" t="n">
        <f aca="false">IFERROR('Facility Master'!A25,"")</f>
        <v>21</v>
      </c>
      <c r="B24" s="668" t="s">
        <v>167</v>
      </c>
      <c r="C24" s="663" t="str">
        <f aca="false">IFERROR('Facility Master'!C25,"")</f>
        <v>Overdraft (Uncommitted, sub of WCL)</v>
      </c>
      <c r="D24" s="643" t="str">
        <f aca="false">IFERROR('Facility Master'!D25,"")</f>
        <v>FB</v>
      </c>
      <c r="E24" s="640" t="n">
        <f aca="false">IFERROR('Facility Master'!H25,0)</f>
        <v>0</v>
      </c>
      <c r="F24" s="644" t="n">
        <f aca="false">IFERROR('Facility Master'!K25,0)</f>
        <v>10.432</v>
      </c>
      <c r="G24" s="644" t="n">
        <f aca="false">IFERROR('Facility Master'!M25,0)</f>
        <v>10.432</v>
      </c>
      <c r="H24" s="648" t="n">
        <f aca="false">IFERROR('Facility Master'!R25,0)</f>
        <v>0.09</v>
      </c>
      <c r="I24" s="772" t="n">
        <f aca="false">IFERROR(IF(D24="Hedge",0,IF(OR(D24="FB",D24="FB-Term",D24="FB-FCY",D24="FB-FDbacked"),G24*H24,F24*H24)),0)</f>
        <v>0.93888</v>
      </c>
      <c r="J24" s="640" t="str">
        <f aca="false">IFERROR('Facility Master'!I25,"")</f>
        <v>INR</v>
      </c>
      <c r="K24" s="773" t="str">
        <f aca="false">IFERROR('Facility Master'!AF25,"")</f>
        <v>On demand; rate mutually agreed</v>
      </c>
    </row>
    <row r="25" customFormat="false" ht="19.5" hidden="false" customHeight="true" outlineLevel="0" collapsed="false">
      <c r="A25" s="633" t="n">
        <f aca="false">IFERROR('Facility Master'!A26,"")</f>
        <v>22</v>
      </c>
      <c r="B25" s="356" t="s">
        <v>167</v>
      </c>
      <c r="C25" s="667" t="str">
        <f aca="false">IFERROR('Facility Master'!C26,"")</f>
        <v>Import Controlling line - 1 (Uncommitted)</v>
      </c>
      <c r="D25" s="634" t="str">
        <f aca="false">IFERROR('Facility Master'!D26,"")</f>
        <v>NFB</v>
      </c>
      <c r="E25" s="633" t="n">
        <f aca="false">IFERROR('Facility Master'!H26,0)</f>
        <v>0</v>
      </c>
      <c r="F25" s="635" t="n">
        <f aca="false">IFERROR('Facility Master'!K26,0)</f>
        <v>26.08</v>
      </c>
      <c r="G25" s="635" t="n">
        <f aca="false">IFERROR('Facility Master'!M26,0)</f>
        <v>26.08</v>
      </c>
      <c r="H25" s="638" t="n">
        <f aca="false">IFERROR('Facility Master'!R26,0)</f>
        <v>0.09</v>
      </c>
      <c r="I25" s="750" t="n">
        <f aca="false">IFERROR(IF(D25="Hedge",0,IF(OR(D25="FB",D25="FB-Term",D25="FB-FCY",D25="FB-FDbacked"),G25*H25,F25*H25)),0)</f>
        <v>2.3472</v>
      </c>
      <c r="J25" s="633" t="str">
        <f aca="false">IFERROR('Facility Master'!I26,"")</f>
        <v>INR</v>
      </c>
      <c r="K25" s="751" t="str">
        <f aca="false">IFERROR('Facility Master'!AF26,"")</f>
        <v>Sub of OD; rate TBD</v>
      </c>
    </row>
    <row r="26" customFormat="false" ht="19.5" hidden="false" customHeight="true" outlineLevel="0" collapsed="false">
      <c r="A26" s="640" t="n">
        <f aca="false">IFERROR('Facility Master'!A27,"")</f>
        <v>23</v>
      </c>
      <c r="B26" s="668" t="s">
        <v>167</v>
      </c>
      <c r="C26" s="663" t="str">
        <f aca="false">IFERROR('Facility Master'!C27,"")</f>
        <v>TradePay Domestic/Import (Uncommitted)</v>
      </c>
      <c r="D26" s="643" t="str">
        <f aca="false">IFERROR('Facility Master'!D27,"")</f>
        <v>NFB</v>
      </c>
      <c r="E26" s="640" t="n">
        <f aca="false">IFERROR('Facility Master'!H27,0)</f>
        <v>0</v>
      </c>
      <c r="F26" s="644" t="n">
        <f aca="false">IFERROR('Facility Master'!K27,0)</f>
        <v>26.08</v>
      </c>
      <c r="G26" s="644" t="n">
        <f aca="false">IFERROR('Facility Master'!M27,0)</f>
        <v>26.08</v>
      </c>
      <c r="H26" s="648" t="n">
        <f aca="false">IFERROR('Facility Master'!R27,0)</f>
        <v>0.09</v>
      </c>
      <c r="I26" s="772" t="n">
        <f aca="false">IFERROR(IF(D26="Hedge",0,IF(OR(D26="FB",D26="FB-Term",D26="FB-FCY",D26="FB-FDbacked"),G26*H26,F26*H26)),0)</f>
        <v>2.3472</v>
      </c>
      <c r="J26" s="640" t="str">
        <f aca="false">IFERROR('Facility Master'!I27,"")</f>
        <v>INR</v>
      </c>
      <c r="K26" s="773" t="str">
        <f aca="false">IFERROR('Facility Master'!AF27,"")</f>
        <v>6 months; rate TBD</v>
      </c>
    </row>
    <row r="27" customFormat="false" ht="19.5" hidden="false" customHeight="true" outlineLevel="0" collapsed="false">
      <c r="A27" s="633" t="n">
        <f aca="false">IFERROR('Facility Master'!A28,"")</f>
        <v>24</v>
      </c>
      <c r="B27" s="356" t="s">
        <v>167</v>
      </c>
      <c r="C27" s="667" t="str">
        <f aca="false">IFERROR('Facility Master'!C28,"")</f>
        <v>Pre-shipment Buyer Loan (Uncommitted)</v>
      </c>
      <c r="D27" s="634" t="str">
        <f aca="false">IFERROR('Facility Master'!D28,"")</f>
        <v>FB</v>
      </c>
      <c r="E27" s="633" t="n">
        <f aca="false">IFERROR('Facility Master'!H28,0)</f>
        <v>0</v>
      </c>
      <c r="F27" s="635" t="n">
        <f aca="false">IFERROR('Facility Master'!K28,0)</f>
        <v>26.08</v>
      </c>
      <c r="G27" s="635" t="n">
        <f aca="false">IFERROR('Facility Master'!M28,0)</f>
        <v>26.08</v>
      </c>
      <c r="H27" s="638" t="n">
        <f aca="false">IFERROR('Facility Master'!R28,0)</f>
        <v>0.09</v>
      </c>
      <c r="I27" s="750" t="n">
        <f aca="false">IFERROR(IF(D27="Hedge",0,IF(OR(D27="FB",D27="FB-Term",D27="FB-FCY",D27="FB-FDbacked"),G27*H27,F27*H27)),0)</f>
        <v>2.3472</v>
      </c>
      <c r="J27" s="633" t="str">
        <f aca="false">IFERROR('Facility Master'!I28,"")</f>
        <v>INR</v>
      </c>
      <c r="K27" s="751" t="str">
        <f aca="false">IFERROR('Facility Master'!AF28,"")</f>
        <v>6 months; rate TBD</v>
      </c>
    </row>
    <row r="28" customFormat="false" ht="19.5" hidden="false" customHeight="true" outlineLevel="0" collapsed="false">
      <c r="A28" s="640" t="n">
        <f aca="false">IFERROR('Facility Master'!A29,"")</f>
        <v>25</v>
      </c>
      <c r="B28" s="668" t="s">
        <v>167</v>
      </c>
      <c r="C28" s="663" t="str">
        <f aca="false">IFERROR('Facility Master'!C29,"")</f>
        <v>Post-Shipment Buyer Loan / DPF / LAI (Uncommitted)</v>
      </c>
      <c r="D28" s="643" t="str">
        <f aca="false">IFERROR('Facility Master'!D29,"")</f>
        <v>FB</v>
      </c>
      <c r="E28" s="640" t="n">
        <f aca="false">IFERROR('Facility Master'!H29,0)</f>
        <v>0</v>
      </c>
      <c r="F28" s="644" t="n">
        <f aca="false">IFERROR('Facility Master'!K29,0)</f>
        <v>26.08</v>
      </c>
      <c r="G28" s="644" t="n">
        <f aca="false">IFERROR('Facility Master'!M29,0)</f>
        <v>26.08</v>
      </c>
      <c r="H28" s="648" t="n">
        <f aca="false">IFERROR('Facility Master'!R29,0)</f>
        <v>0.09</v>
      </c>
      <c r="I28" s="772" t="n">
        <f aca="false">IFERROR(IF(D28="Hedge",0,IF(OR(D28="FB",D28="FB-Term",D28="FB-FCY",D28="FB-FDbacked"),G28*H28,F28*H28)),0)</f>
        <v>2.3472</v>
      </c>
      <c r="J28" s="640" t="str">
        <f aca="false">IFERROR('Facility Master'!I29,"")</f>
        <v>INR</v>
      </c>
      <c r="K28" s="773" t="str">
        <f aca="false">IFERROR('Facility Master'!AF29,"")</f>
        <v>6 months; rate TBD</v>
      </c>
    </row>
    <row r="29" customFormat="false" ht="19.5" hidden="false" customHeight="true" outlineLevel="0" collapsed="false">
      <c r="A29" s="633" t="n">
        <f aca="false">IFERROR('Facility Master'!A30,"")</f>
        <v>26</v>
      </c>
      <c r="B29" s="356" t="s">
        <v>167</v>
      </c>
      <c r="C29" s="667" t="str">
        <f aca="false">IFERROR('Facility Master'!C30,"")</f>
        <v>Export Controlling line (Uncommitted)</v>
      </c>
      <c r="D29" s="634" t="str">
        <f aca="false">IFERROR('Facility Master'!D30,"")</f>
        <v>NFB</v>
      </c>
      <c r="E29" s="633" t="n">
        <f aca="false">IFERROR('Facility Master'!H30,0)</f>
        <v>0</v>
      </c>
      <c r="F29" s="635" t="n">
        <f aca="false">IFERROR('Facility Master'!K30,0)</f>
        <v>26.08</v>
      </c>
      <c r="G29" s="635" t="n">
        <f aca="false">IFERROR('Facility Master'!M30,0)</f>
        <v>26.08</v>
      </c>
      <c r="H29" s="638" t="n">
        <f aca="false">IFERROR('Facility Master'!R30,0)</f>
        <v>0.09</v>
      </c>
      <c r="I29" s="750" t="n">
        <f aca="false">IFERROR(IF(D29="Hedge",0,IF(OR(D29="FB",D29="FB-Term",D29="FB-FCY",D29="FB-FDbacked"),G29*H29,F29*H29)),0)</f>
        <v>2.3472</v>
      </c>
      <c r="J29" s="633" t="str">
        <f aca="false">IFERROR('Facility Master'!I30,"")</f>
        <v>INR</v>
      </c>
      <c r="K29" s="751" t="str">
        <f aca="false">IFERROR('Facility Master'!AF30,"")</f>
        <v>INR or FCY equivalent; rate TBD</v>
      </c>
    </row>
    <row r="30" customFormat="false" ht="19.5" hidden="false" customHeight="true" outlineLevel="0" collapsed="false">
      <c r="A30" s="640" t="n">
        <f aca="false">IFERROR('Facility Master'!A31,"")</f>
        <v>27</v>
      </c>
      <c r="B30" s="668" t="s">
        <v>167</v>
      </c>
      <c r="C30" s="663" t="str">
        <f aca="false">IFERROR('Facility Master'!C31,"")</f>
        <v>Pre-shipment Seller Loan (Uncommitted)</v>
      </c>
      <c r="D30" s="643" t="str">
        <f aca="false">IFERROR('Facility Master'!D31,"")</f>
        <v>FB</v>
      </c>
      <c r="E30" s="640" t="n">
        <f aca="false">IFERROR('Facility Master'!H31,0)</f>
        <v>0</v>
      </c>
      <c r="F30" s="644" t="n">
        <f aca="false">IFERROR('Facility Master'!K31,0)</f>
        <v>26.08</v>
      </c>
      <c r="G30" s="644" t="n">
        <f aca="false">IFERROR('Facility Master'!M31,0)</f>
        <v>26.08</v>
      </c>
      <c r="H30" s="648" t="n">
        <f aca="false">IFERROR('Facility Master'!R31,0)</f>
        <v>0.09</v>
      </c>
      <c r="I30" s="772" t="n">
        <f aca="false">IFERROR(IF(D30="Hedge",0,IF(OR(D30="FB",D30="FB-Term",D30="FB-FCY",D30="FB-FDbacked"),G30*H30,F30*H30)),0)</f>
        <v>2.3472</v>
      </c>
      <c r="J30" s="640" t="str">
        <f aca="false">IFERROR('Facility Master'!I31,"")</f>
        <v>INR</v>
      </c>
      <c r="K30" s="773" t="str">
        <f aca="false">IFERROR('Facility Master'!AF31,"")</f>
        <v>6 months; INR or FCY; rate TBD</v>
      </c>
    </row>
    <row r="31" customFormat="false" ht="19.5" hidden="false" customHeight="true" outlineLevel="0" collapsed="false">
      <c r="A31" s="633" t="n">
        <f aca="false">IFERROR('Facility Master'!A32,"")</f>
        <v>28</v>
      </c>
      <c r="B31" s="356" t="s">
        <v>167</v>
      </c>
      <c r="C31" s="667" t="str">
        <f aca="false">IFERROR('Facility Master'!C32,"")</f>
        <v>Post-Shipment Seller Loan, Open Account (Uncommitted)</v>
      </c>
      <c r="D31" s="634" t="str">
        <f aca="false">IFERROR('Facility Master'!D32,"")</f>
        <v>FB</v>
      </c>
      <c r="E31" s="633" t="n">
        <f aca="false">IFERROR('Facility Master'!H32,0)</f>
        <v>0</v>
      </c>
      <c r="F31" s="635" t="n">
        <f aca="false">IFERROR('Facility Master'!K32,0)</f>
        <v>26.08</v>
      </c>
      <c r="G31" s="635" t="n">
        <f aca="false">IFERROR('Facility Master'!M32,0)</f>
        <v>26.08</v>
      </c>
      <c r="H31" s="638" t="n">
        <f aca="false">IFERROR('Facility Master'!R32,0)</f>
        <v>0.09</v>
      </c>
      <c r="I31" s="750" t="n">
        <f aca="false">IFERROR(IF(D31="Hedge",0,IF(OR(D31="FB",D31="FB-Term",D31="FB-FCY",D31="FB-FDbacked"),G31*H31,F31*H31)),0)</f>
        <v>2.3472</v>
      </c>
      <c r="J31" s="633" t="str">
        <f aca="false">IFERROR('Facility Master'!I32,"")</f>
        <v>INR</v>
      </c>
      <c r="K31" s="751" t="str">
        <f aca="false">IFERROR('Facility Master'!AF32,"")</f>
        <v>6 months; INR or FCY; rate TBD</v>
      </c>
    </row>
    <row r="32" customFormat="false" ht="19.5" hidden="false" customHeight="true" outlineLevel="0" collapsed="false">
      <c r="A32" s="640" t="n">
        <f aca="false">IFERROR('Facility Master'!A33,"")</f>
        <v>29</v>
      </c>
      <c r="B32" s="668" t="s">
        <v>167</v>
      </c>
      <c r="C32" s="663" t="str">
        <f aca="false">IFERROR('Facility Master'!C33,"")</f>
        <v>Import Controlling line - 2 (Uncommitted)</v>
      </c>
      <c r="D32" s="643" t="str">
        <f aca="false">IFERROR('Facility Master'!D33,"")</f>
        <v>NFB</v>
      </c>
      <c r="E32" s="640" t="n">
        <f aca="false">IFERROR('Facility Master'!H33,0)</f>
        <v>0</v>
      </c>
      <c r="F32" s="644" t="n">
        <f aca="false">IFERROR('Facility Master'!K33,0)</f>
        <v>154.58</v>
      </c>
      <c r="G32" s="644" t="n">
        <f aca="false">IFERROR('Facility Master'!M33,0)</f>
        <v>154.58</v>
      </c>
      <c r="H32" s="648" t="n">
        <f aca="false">IFERROR('Facility Master'!R33,0)</f>
        <v>0.09</v>
      </c>
      <c r="I32" s="772" t="n">
        <f aca="false">IFERROR(IF(D32="Hedge",0,IF(OR(D32="FB",D32="FB-Term",D32="FB-FCY",D32="FB-FDbacked"),G32*H32,F32*H32)),0)</f>
        <v>13.9122</v>
      </c>
      <c r="J32" s="640" t="str">
        <f aca="false">IFERROR('Facility Master'!I33,"")</f>
        <v>INR</v>
      </c>
      <c r="K32" s="773" t="str">
        <f aca="false">IFERROR('Facility Master'!AF33,"")</f>
        <v>Headline LC line for Letter of Credit issuance</v>
      </c>
    </row>
    <row r="33" customFormat="false" ht="19.5" hidden="false" customHeight="true" outlineLevel="0" collapsed="false">
      <c r="A33" s="633" t="n">
        <f aca="false">IFERROR('Facility Master'!A34,"")</f>
        <v>30</v>
      </c>
      <c r="B33" s="356" t="s">
        <v>167</v>
      </c>
      <c r="C33" s="667" t="str">
        <f aca="false">IFERROR('Facility Master'!C34,"")</f>
        <v>Import Documentary Credit - 12 (Uncommitted)</v>
      </c>
      <c r="D33" s="634" t="str">
        <f aca="false">IFERROR('Facility Master'!D34,"")</f>
        <v>NFB</v>
      </c>
      <c r="E33" s="633" t="n">
        <f aca="false">IFERROR('Facility Master'!H34,0)</f>
        <v>0</v>
      </c>
      <c r="F33" s="635" t="n">
        <f aca="false">IFERROR('Facility Master'!K34,0)</f>
        <v>154.58</v>
      </c>
      <c r="G33" s="635" t="n">
        <f aca="false">IFERROR('Facility Master'!M34,0)</f>
        <v>154.58</v>
      </c>
      <c r="H33" s="638" t="n">
        <f aca="false">IFERROR('Facility Master'!R34,0)</f>
        <v>0</v>
      </c>
      <c r="I33" s="750" t="n">
        <f aca="false">IFERROR(IF(D33="Hedge",0,IF(OR(D33="FB",D33="FB-Term",D33="FB-FCY",D33="FB-FDbacked"),G33*H33,F33*H33)),0)</f>
        <v>0</v>
      </c>
      <c r="J33" s="633" t="str">
        <f aca="false">IFERROR('Facility Master'!I34,"")</f>
        <v>INR</v>
      </c>
      <c r="K33" s="751" t="str">
        <f aca="false">IFERROR('Facility Master'!AF34,"")</f>
        <v>Sight / 180-day usance with 120-day cover; rate TBD</v>
      </c>
    </row>
    <row r="34" customFormat="false" ht="19.5" hidden="false" customHeight="true" outlineLevel="0" collapsed="false">
      <c r="A34" s="640" t="n">
        <f aca="false">IFERROR('Facility Master'!A35,"")</f>
        <v>31</v>
      </c>
      <c r="B34" s="668" t="s">
        <v>167</v>
      </c>
      <c r="C34" s="663" t="str">
        <f aca="false">IFERROR('Facility Master'!C35,"")</f>
        <v>Import Documentary Credit - 13 (Uncommitted)</v>
      </c>
      <c r="D34" s="643" t="str">
        <f aca="false">IFERROR('Facility Master'!D35,"")</f>
        <v>NFB</v>
      </c>
      <c r="E34" s="640" t="n">
        <f aca="false">IFERROR('Facility Master'!H35,0)</f>
        <v>0</v>
      </c>
      <c r="F34" s="644" t="n">
        <f aca="false">IFERROR('Facility Master'!K35,0)</f>
        <v>10</v>
      </c>
      <c r="G34" s="644" t="n">
        <f aca="false">IFERROR('Facility Master'!M35,0)</f>
        <v>10</v>
      </c>
      <c r="H34" s="648" t="n">
        <f aca="false">IFERROR('Facility Master'!R35,0)</f>
        <v>0</v>
      </c>
      <c r="I34" s="772" t="n">
        <f aca="false">IFERROR(IF(D34="Hedge",0,IF(OR(D34="FB",D34="FB-Term",D34="FB-FCY",D34="FB-FDbacked"),G34*H34,F34*H34)),0)</f>
        <v>0</v>
      </c>
      <c r="J34" s="640" t="str">
        <f aca="false">IFERROR('Facility Master'!I35,"")</f>
        <v>INR</v>
      </c>
      <c r="K34" s="773" t="str">
        <f aca="false">IFERROR('Facility Master'!AF35,"")</f>
        <v>Second LC line — relationship to ₹772.9 Cr line unclear; FLAG</v>
      </c>
    </row>
    <row r="35" customFormat="false" ht="19.5" hidden="false" customHeight="true" outlineLevel="0" collapsed="false">
      <c r="A35" s="633" t="n">
        <f aca="false">IFERROR('Facility Master'!A36,"")</f>
        <v>32</v>
      </c>
      <c r="B35" s="356" t="s">
        <v>167</v>
      </c>
      <c r="C35" s="667" t="str">
        <f aca="false">IFERROR('Facility Master'!C36,"")</f>
        <v>Guarantees/Bonds Non-Financial (Uncommitted)</v>
      </c>
      <c r="D35" s="634" t="str">
        <f aca="false">IFERROR('Facility Master'!D36,"")</f>
        <v>NFB</v>
      </c>
      <c r="E35" s="633" t="n">
        <f aca="false">IFERROR('Facility Master'!H36,0)</f>
        <v>0</v>
      </c>
      <c r="F35" s="635" t="n">
        <f aca="false">IFERROR('Facility Master'!K36,0)</f>
        <v>17.4</v>
      </c>
      <c r="G35" s="635" t="n">
        <f aca="false">IFERROR('Facility Master'!M36,0)</f>
        <v>17.4</v>
      </c>
      <c r="H35" s="638" t="n">
        <f aca="false">IFERROR('Facility Master'!R36,0)</f>
        <v>0.09</v>
      </c>
      <c r="I35" s="750" t="n">
        <f aca="false">IFERROR(IF(D35="Hedge",0,IF(OR(D35="FB",D35="FB-Term",D35="FB-FCY",D35="FB-FDbacked"),G35*H35,F35*H35)),0)</f>
        <v>1.566</v>
      </c>
      <c r="J35" s="633" t="str">
        <f aca="false">IFERROR('Facility Master'!I36,"")</f>
        <v>INR</v>
      </c>
      <c r="K35" s="751" t="str">
        <f aca="false">IFERROR('Facility Master'!AF36,"")</f>
        <v>3 years + 12-month claim period</v>
      </c>
    </row>
    <row r="36" customFormat="false" ht="21.75" hidden="false" customHeight="true" outlineLevel="0" collapsed="false">
      <c r="A36" s="754" t="n">
        <f aca="false">IFERROR('Facility Master'!A37,"")</f>
        <v>33</v>
      </c>
      <c r="B36" s="755" t="str">
        <f aca="false">IFERROR('Facility Master'!B37,"")</f>
        <v>HSBC</v>
      </c>
      <c r="C36" s="756" t="str">
        <f aca="false">IFERROR('Facility Master'!C37,"")</f>
        <v>Guarantees/Bonds Financial (Uncommitted)</v>
      </c>
      <c r="D36" s="757" t="str">
        <f aca="false">IFERROR('Facility Master'!D37,"")</f>
        <v>NFB</v>
      </c>
      <c r="E36" s="754" t="n">
        <f aca="false">IFERROR('Facility Master'!H37,0)</f>
        <v>0</v>
      </c>
      <c r="F36" s="758" t="n">
        <f aca="false">IFERROR('Facility Master'!K37,0)</f>
        <v>1.94</v>
      </c>
      <c r="G36" s="758" t="n">
        <f aca="false">IFERROR('Facility Master'!M37,0)</f>
        <v>1.94</v>
      </c>
      <c r="H36" s="759" t="n">
        <f aca="false">IFERROR('Facility Master'!R37,0)</f>
        <v>0.09</v>
      </c>
      <c r="I36" s="760" t="n">
        <f aca="false">IFERROR(IF(D36="Hedge",0,IF(OR(D36="FB",D36="FB-Term",D36="FB-FCY",D36="FB-FDbacked"),G36*H36,F36*H36)),0)</f>
        <v>0.1746</v>
      </c>
      <c r="J36" s="754" t="str">
        <f aca="false">IFERROR('Facility Master'!I37,"")</f>
        <v>INR</v>
      </c>
      <c r="K36" s="761" t="str">
        <f aca="false">IFERROR('Facility Master'!AF37,"")</f>
        <v>3 years + 12-month claim period</v>
      </c>
    </row>
    <row r="37" customFormat="false" ht="19.5" hidden="false" customHeight="true" outlineLevel="0" collapsed="false">
      <c r="A37" s="633" t="n">
        <f aca="false">IFERROR('Facility Master'!A38,"")</f>
        <v>34</v>
      </c>
      <c r="B37" s="356" t="s">
        <v>167</v>
      </c>
      <c r="C37" s="357" t="str">
        <f aca="false">IFERROR('Facility Master'!C38,"")</f>
        <v>Letter of Credit (WC parent)</v>
      </c>
      <c r="D37" s="634" t="str">
        <f aca="false">IFERROR('Facility Master'!D38,"")</f>
        <v>NFB</v>
      </c>
      <c r="E37" s="633" t="n">
        <f aca="false">IFERROR('Facility Master'!H38,0)</f>
        <v>2</v>
      </c>
      <c r="F37" s="635" t="n">
        <f aca="false">IFERROR('Facility Master'!K38,0)</f>
        <v>250</v>
      </c>
      <c r="G37" s="635" t="n">
        <f aca="false">IFERROR('Facility Master'!M38,0)</f>
        <v>250</v>
      </c>
      <c r="H37" s="638" t="n">
        <f aca="false">IFERROR('Facility Master'!R38,0)</f>
        <v>0.005</v>
      </c>
      <c r="I37" s="750" t="n">
        <f aca="false">IFERROR(IF(D37="Hedge",0,IF(OR(D37="FB",D37="FB-Term",D37="FB-FCY",D37="FB-FDbacked"),G37*H37,F37*H37)),0)</f>
        <v>1.25</v>
      </c>
      <c r="J37" s="633" t="str">
        <f aca="false">IFERROR('Facility Master'!I38,"")</f>
        <v>INR</v>
      </c>
      <c r="K37" s="751" t="str">
        <f aca="false">IFERROR('Facility Master'!AF38,"")</f>
        <v>LC 0.50% (daily). Multiple sub-limits within ₹250 Cr cap. Processing 0.12% p.a.; renewal 0.10%. JSL 2.5x cover; HR coil offtake 3mo pre-DCCO.</v>
      </c>
    </row>
    <row r="38" customFormat="false" ht="19.5" hidden="false" customHeight="true" outlineLevel="0" collapsed="false">
      <c r="A38" s="764" t="n">
        <f aca="false">IFERROR('Facility Master'!A39,"")</f>
        <v>35</v>
      </c>
      <c r="B38" s="765" t="s">
        <v>167</v>
      </c>
      <c r="C38" s="766" t="str">
        <f aca="false">IFERROR('Facility Master'!C39,"")</f>
        <v>Post Shipment Finance (sub of LC)</v>
      </c>
      <c r="D38" s="767" t="str">
        <f aca="false">IFERROR('Facility Master'!D39,"")</f>
        <v>FB</v>
      </c>
      <c r="E38" s="764" t="n">
        <f aca="false">IFERROR('Facility Master'!H39,0)</f>
        <v>0</v>
      </c>
      <c r="F38" s="768" t="n">
        <f aca="false">IFERROR('Facility Master'!K39,0)</f>
        <v>100</v>
      </c>
      <c r="G38" s="768" t="n">
        <f aca="false">IFERROR('Facility Master'!M39,0)</f>
        <v>100</v>
      </c>
      <c r="H38" s="769" t="n">
        <f aca="false">IFERROR('Facility Master'!R39,0)</f>
        <v>0.095</v>
      </c>
      <c r="I38" s="770" t="n">
        <f aca="false">IFERROR(IF(D38="Hedge",0,IF(OR(D38="FB",D38="FB-Term",D38="FB-FCY",D38="FB-FDbacked"),G38*H38,F38*H38)),0)</f>
        <v>9.5</v>
      </c>
      <c r="J38" s="764" t="str">
        <f aca="false">IFERROR('Facility Master'!I39,"")</f>
        <v>INR</v>
      </c>
      <c r="K38" s="771" t="str">
        <f aca="false">IFERROR('Facility Master'!AF39,"")</f>
        <v>Rate TBD at drawdown — FLAG; order-backed</v>
      </c>
    </row>
    <row r="39" customFormat="false" ht="19.5" hidden="false" customHeight="true" outlineLevel="0" collapsed="false">
      <c r="A39" s="633" t="n">
        <f aca="false">IFERROR('Facility Master'!A40,"")</f>
        <v>36</v>
      </c>
      <c r="B39" s="356" t="s">
        <v>167</v>
      </c>
      <c r="C39" s="357" t="str">
        <f aca="false">IFERROR('Facility Master'!C40,"")</f>
        <v>Pre-shipment Finance (sub of LC)</v>
      </c>
      <c r="D39" s="634" t="str">
        <f aca="false">IFERROR('Facility Master'!D40,"")</f>
        <v>FB</v>
      </c>
      <c r="E39" s="633" t="n">
        <f aca="false">IFERROR('Facility Master'!H40,0)</f>
        <v>0</v>
      </c>
      <c r="F39" s="635" t="n">
        <f aca="false">IFERROR('Facility Master'!K40,0)</f>
        <v>200</v>
      </c>
      <c r="G39" s="635" t="n">
        <f aca="false">IFERROR('Facility Master'!M40,0)</f>
        <v>200</v>
      </c>
      <c r="H39" s="638" t="n">
        <f aca="false">IFERROR('Facility Master'!R40,0)</f>
        <v>0.095</v>
      </c>
      <c r="I39" s="750" t="n">
        <f aca="false">IFERROR(IF(D39="Hedge",0,IF(OR(D39="FB",D39="FB-Term",D39="FB-FCY",D39="FB-FDbacked"),G39*H39,F39*H39)),0)</f>
        <v>19</v>
      </c>
      <c r="J39" s="633" t="str">
        <f aca="false">IFERROR('Facility Master'!I40,"")</f>
        <v>INR</v>
      </c>
      <c r="K39" s="751" t="str">
        <f aca="false">IFERROR('Facility Master'!AF40,"")</f>
        <v>Rate TBD at drawdown — FLAG; order-backed</v>
      </c>
    </row>
    <row r="40" customFormat="false" ht="19.5" hidden="false" customHeight="true" outlineLevel="0" collapsed="false">
      <c r="A40" s="764" t="n">
        <f aca="false">IFERROR('Facility Master'!A41,"")</f>
        <v>37</v>
      </c>
      <c r="B40" s="765" t="s">
        <v>167</v>
      </c>
      <c r="C40" s="766" t="str">
        <f aca="false">IFERROR('Facility Master'!C41,"")</f>
        <v>SBLC (sub of LC)</v>
      </c>
      <c r="D40" s="767" t="str">
        <f aca="false">IFERROR('Facility Master'!D41,"")</f>
        <v>NFB</v>
      </c>
      <c r="E40" s="764" t="n">
        <f aca="false">IFERROR('Facility Master'!H41,0)</f>
        <v>0</v>
      </c>
      <c r="F40" s="768" t="n">
        <f aca="false">IFERROR('Facility Master'!K41,0)</f>
        <v>250</v>
      </c>
      <c r="G40" s="768" t="n">
        <f aca="false">IFERROR('Facility Master'!M41,0)</f>
        <v>250</v>
      </c>
      <c r="H40" s="769" t="n">
        <f aca="false">IFERROR('Facility Master'!R41,0)</f>
        <v>0.095</v>
      </c>
      <c r="I40" s="770" t="n">
        <f aca="false">IFERROR(IF(D40="Hedge",0,IF(OR(D40="FB",D40="FB-Term",D40="FB-FCY",D40="FB-FDbacked"),G40*H40,F40*H40)),0)</f>
        <v>23.75</v>
      </c>
      <c r="J40" s="764" t="str">
        <f aca="false">IFERROR('Facility Master'!I41,"")</f>
        <v>INR</v>
      </c>
      <c r="K40" s="771" t="str">
        <f aca="false">IFERROR('Facility Master'!AF41,"")</f>
        <v>Rate TBD at drawdown</v>
      </c>
    </row>
    <row r="41" customFormat="false" ht="19.5" hidden="false" customHeight="true" outlineLevel="0" collapsed="false">
      <c r="A41" s="633" t="n">
        <f aca="false">IFERROR('Facility Master'!A42,"")</f>
        <v>38</v>
      </c>
      <c r="B41" s="356" t="s">
        <v>167</v>
      </c>
      <c r="C41" s="357" t="str">
        <f aca="false">IFERROR('Facility Master'!C42,"")</f>
        <v>Cash Credit (sub of LC)</v>
      </c>
      <c r="D41" s="634" t="str">
        <f aca="false">IFERROR('Facility Master'!D42,"")</f>
        <v>FB</v>
      </c>
      <c r="E41" s="633" t="n">
        <f aca="false">IFERROR('Facility Master'!H42,0)</f>
        <v>0</v>
      </c>
      <c r="F41" s="635" t="n">
        <f aca="false">IFERROR('Facility Master'!K42,0)</f>
        <v>50</v>
      </c>
      <c r="G41" s="635" t="n">
        <f aca="false">IFERROR('Facility Master'!M42,0)</f>
        <v>50</v>
      </c>
      <c r="H41" s="638" t="n">
        <f aca="false">IFERROR('Facility Master'!R42,0)</f>
        <v>0.0815</v>
      </c>
      <c r="I41" s="750" t="n">
        <f aca="false">IFERROR(IF(D41="Hedge",0,IF(OR(D41="FB",D41="FB-Term",D41="FB-FCY",D41="FB-FDbacked"),G41*H41,F41*H41)),0)</f>
        <v>4.075</v>
      </c>
      <c r="J41" s="633" t="str">
        <f aca="false">IFERROR('Facility Master'!I42,"")</f>
        <v>INR</v>
      </c>
      <c r="K41" s="751" t="str">
        <f aca="false">IFERROR('Facility Master'!AF42,"")</f>
        <v>CC = 8.15% linked to 14-day Repo</v>
      </c>
    </row>
    <row r="42" customFormat="false" ht="19.5" hidden="false" customHeight="true" outlineLevel="0" collapsed="false">
      <c r="A42" s="764" t="n">
        <f aca="false">IFERROR('Facility Master'!A43,"")</f>
        <v>39</v>
      </c>
      <c r="B42" s="765" t="s">
        <v>167</v>
      </c>
      <c r="C42" s="766" t="str">
        <f aca="false">IFERROR('Facility Master'!C43,"")</f>
        <v>WCDL (sub of LC)</v>
      </c>
      <c r="D42" s="767" t="str">
        <f aca="false">IFERROR('Facility Master'!D43,"")</f>
        <v>FB</v>
      </c>
      <c r="E42" s="764" t="n">
        <f aca="false">IFERROR('Facility Master'!H43,0)</f>
        <v>0</v>
      </c>
      <c r="F42" s="768" t="n">
        <f aca="false">IFERROR('Facility Master'!K43,0)</f>
        <v>50</v>
      </c>
      <c r="G42" s="768" t="n">
        <f aca="false">IFERROR('Facility Master'!M43,0)</f>
        <v>50</v>
      </c>
      <c r="H42" s="769" t="n">
        <f aca="false">IFERROR('Facility Master'!R43,0)</f>
        <v>0.095</v>
      </c>
      <c r="I42" s="770" t="n">
        <f aca="false">IFERROR(IF(D42="Hedge",0,IF(OR(D42="FB",D42="FB-Term",D42="FB-FCY",D42="FB-FDbacked"),G42*H42,F42*H42)),0)</f>
        <v>4.75</v>
      </c>
      <c r="J42" s="764" t="str">
        <f aca="false">IFERROR('Facility Master'!I43,"")</f>
        <v>INR</v>
      </c>
      <c r="K42" s="771" t="str">
        <f aca="false">IFERROR('Facility Master'!AF43,"")</f>
        <v>Rate TBD; max 90-day tranche</v>
      </c>
    </row>
    <row r="43" customFormat="false" ht="19.5" hidden="false" customHeight="true" outlineLevel="0" collapsed="false">
      <c r="A43" s="633" t="n">
        <f aca="false">IFERROR('Facility Master'!A44,"")</f>
        <v>40</v>
      </c>
      <c r="B43" s="356" t="s">
        <v>167</v>
      </c>
      <c r="C43" s="357" t="str">
        <f aca="false">IFERROR('Facility Master'!C44,"")</f>
        <v>FD-OD (FD-Backed)</v>
      </c>
      <c r="D43" s="634" t="str">
        <f aca="false">IFERROR('Facility Master'!D44,"")</f>
        <v>FB-FDbacked</v>
      </c>
      <c r="E43" s="633" t="n">
        <f aca="false">IFERROR('Facility Master'!H44,0)</f>
        <v>3</v>
      </c>
      <c r="F43" s="635" t="n">
        <f aca="false">IFERROR('Facility Master'!K44,0)</f>
        <v>50</v>
      </c>
      <c r="G43" s="635" t="n">
        <f aca="false">IFERROR('Facility Master'!M44,0)</f>
        <v>50</v>
      </c>
      <c r="H43" s="638" t="n">
        <f aca="false">IFERROR('Facility Master'!R44,0)</f>
        <v>0.08</v>
      </c>
      <c r="I43" s="750" t="n">
        <f aca="false">IFERROR(IF(D43="Hedge",0,IF(OR(D43="FB",D43="FB-Term",D43="FB-FCY",D43="FB-FDbacked"),G43*H43,F43*H43)),0)</f>
        <v>4</v>
      </c>
      <c r="J43" s="633" t="str">
        <f aca="false">IFERROR('Facility Master'!I44,"")</f>
        <v>INR</v>
      </c>
      <c r="K43" s="751" t="str">
        <f aca="false">IFERROR('Facility Master'!AF44,"")</f>
        <v>FD Rate + 1% spread; monthly rests</v>
      </c>
    </row>
    <row r="44" customFormat="false" ht="21.75" hidden="false" customHeight="true" outlineLevel="0" collapsed="false">
      <c r="A44" s="613" t="n">
        <f aca="false">IFERROR('Facility Master'!A45,"")</f>
        <v>41</v>
      </c>
      <c r="B44" s="614" t="str">
        <f aca="false">IFERROR('Facility Master'!B45,"")</f>
        <v>HDFC Bank</v>
      </c>
      <c r="C44" s="774" t="str">
        <f aca="false">IFERROR('Facility Master'!C45,"")</f>
        <v>BG (sub of FD-OD)</v>
      </c>
      <c r="D44" s="616" t="str">
        <f aca="false">IFERROR('Facility Master'!D45,"")</f>
        <v>NFB</v>
      </c>
      <c r="E44" s="613" t="n">
        <f aca="false">IFERROR('Facility Master'!H45,0)</f>
        <v>0</v>
      </c>
      <c r="F44" s="617" t="n">
        <f aca="false">IFERROR('Facility Master'!K45,0)</f>
        <v>50</v>
      </c>
      <c r="G44" s="617" t="n">
        <f aca="false">IFERROR('Facility Master'!M45,0)</f>
        <v>50</v>
      </c>
      <c r="H44" s="621" t="n">
        <f aca="false">IFERROR('Facility Master'!R45,0)</f>
        <v>0</v>
      </c>
      <c r="I44" s="762" t="n">
        <f aca="false">IFERROR(IF(D44="Hedge",0,IF(OR(D44="FB",D44="FB-Term",D44="FB-FCY",D44="FB-FDbacked"),G44*H44,F44*H44)),0)</f>
        <v>0</v>
      </c>
      <c r="J44" s="613" t="str">
        <f aca="false">IFERROR('Facility Master'!I45,"")</f>
        <v>INR</v>
      </c>
      <c r="K44" s="763" t="str">
        <f aca="false">IFERROR('Facility Master'!AF45,"")</f>
        <v>Sub of FD-OD; 36 months incl claim</v>
      </c>
    </row>
    <row r="45" customFormat="false" ht="19.5" hidden="false" customHeight="true" outlineLevel="0" collapsed="false">
      <c r="A45" s="613" t="n">
        <f aca="false">IFERROR('Facility Master'!A46,"")</f>
        <v>42</v>
      </c>
      <c r="B45" s="672" t="s">
        <v>167</v>
      </c>
      <c r="C45" s="774" t="str">
        <f aca="false">IFERROR('Facility Master'!C46,"")</f>
        <v>Term Loan — TAKEOVER of disbursed consortium</v>
      </c>
      <c r="D45" s="616" t="str">
        <f aca="false">IFERROR('Facility Master'!D46,"")</f>
        <v>FB-Term</v>
      </c>
      <c r="E45" s="613" t="n">
        <f aca="false">IFERROR('Facility Master'!H46,0)</f>
        <v>1</v>
      </c>
      <c r="F45" s="617" t="n">
        <f aca="false">IFERROR('Facility Master'!K46,0)</f>
        <v>840</v>
      </c>
      <c r="G45" s="617" t="n">
        <f aca="false">IFERROR('Facility Master'!M46,0)</f>
        <v>840</v>
      </c>
      <c r="H45" s="621" t="n">
        <f aca="false">IFERROR('Facility Master'!R46,0)</f>
        <v>0.087</v>
      </c>
      <c r="I45" s="762" t="n">
        <f aca="false">IFERROR(IF(D45="Hedge",0,IF(OR(D45="FB",D45="FB-Term",D45="FB-FCY",D45="FB-FDbacked"),G45*H45,F45*H45)),0)</f>
        <v>73.08</v>
      </c>
      <c r="J45" s="613" t="str">
        <f aca="false">IFERROR('Facility Master'!I46,"")</f>
        <v>INR</v>
      </c>
      <c r="K45" s="763" t="str">
        <f aca="false">IFERROR('Facility Master'!AF46,"")</f>
        <v>ICICI TL: TAKEOVER of disbursed debt — NOT additive. Adj Cons = ₹4,666 − ₹840 = ₹3,826 Cr. Put Option every 5y from DCCO (first Apr-2031, 90-day notice). Moratorium 31-Mar-2027. See F-05.</v>
      </c>
    </row>
    <row r="46" customFormat="false" ht="19.5" hidden="false" customHeight="true" outlineLevel="0" collapsed="false">
      <c r="A46" s="613" t="n">
        <f aca="false">IFERROR('Facility Master'!A47,"")</f>
        <v>43</v>
      </c>
      <c r="B46" s="672" t="s">
        <v>167</v>
      </c>
      <c r="C46" s="774" t="str">
        <f aca="false">IFERROR('Facility Master'!C47,"")</f>
        <v>BG Financial (sub of RTL)</v>
      </c>
      <c r="D46" s="616" t="str">
        <f aca="false">IFERROR('Facility Master'!D47,"")</f>
        <v>NFB</v>
      </c>
      <c r="E46" s="613" t="n">
        <f aca="false">IFERROR('Facility Master'!H47,0)</f>
        <v>0</v>
      </c>
      <c r="F46" s="617" t="n">
        <f aca="false">IFERROR('Facility Master'!K47,0)</f>
        <v>20</v>
      </c>
      <c r="G46" s="617" t="n">
        <f aca="false">IFERROR('Facility Master'!M47,0)</f>
        <v>20</v>
      </c>
      <c r="H46" s="621" t="n">
        <f aca="false">IFERROR('Facility Master'!R47,0)</f>
        <v>0.0075</v>
      </c>
      <c r="I46" s="762" t="n">
        <f aca="false">IFERROR(IF(D46="Hedge",0,IF(OR(D46="FB",D46="FB-Term",D46="FB-FCY",D46="FB-FDbacked"),G46*H46,F46*H46)),0)</f>
        <v>0.15</v>
      </c>
      <c r="J46" s="613" t="str">
        <f aca="false">IFERROR('Facility Master'!I47,"")</f>
        <v>INR</v>
      </c>
      <c r="K46" s="763" t="str">
        <f aca="false">IFERROR('Facility Master'!AF47,"")</f>
        <v>0.75% commission; min ₹500/instrument; upfront</v>
      </c>
    </row>
    <row r="47" customFormat="false" ht="19.5" hidden="false" customHeight="true" outlineLevel="0" collapsed="false">
      <c r="A47" s="613" t="n">
        <f aca="false">IFERROR('Facility Master'!A48,"")</f>
        <v>44</v>
      </c>
      <c r="B47" s="672" t="s">
        <v>167</v>
      </c>
      <c r="C47" s="774" t="str">
        <f aca="false">IFERROR('Facility Master'!C48,"")</f>
        <v>SBLC Buyers Credit (sub of RTL)</v>
      </c>
      <c r="D47" s="616" t="str">
        <f aca="false">IFERROR('Facility Master'!D48,"")</f>
        <v>NFB</v>
      </c>
      <c r="E47" s="613" t="n">
        <f aca="false">IFERROR('Facility Master'!H48,0)</f>
        <v>0</v>
      </c>
      <c r="F47" s="617" t="n">
        <f aca="false">IFERROR('Facility Master'!K48,0)</f>
        <v>20</v>
      </c>
      <c r="G47" s="617" t="n">
        <f aca="false">IFERROR('Facility Master'!M48,0)</f>
        <v>20</v>
      </c>
      <c r="H47" s="621" t="n">
        <f aca="false">IFERROR('Facility Master'!R48,0)</f>
        <v>0.0075</v>
      </c>
      <c r="I47" s="762" t="n">
        <f aca="false">IFERROR(IF(D47="Hedge",0,IF(OR(D47="FB",D47="FB-Term",D47="FB-FCY",D47="FB-FDbacked"),G47*H47,F47*H47)),0)</f>
        <v>0.15</v>
      </c>
      <c r="J47" s="613" t="str">
        <f aca="false">IFERROR('Facility Master'!I48,"")</f>
        <v>INR</v>
      </c>
      <c r="K47" s="763" t="str">
        <f aca="false">IFERROR('Facility Master'!AF48,"")</f>
        <v>0.75% commission</v>
      </c>
    </row>
    <row r="48" customFormat="false" ht="6" hidden="false" customHeight="true" outlineLevel="0" collapsed="false">
      <c r="A48" s="436"/>
      <c r="B48" s="436"/>
      <c r="C48" s="436"/>
      <c r="D48" s="436"/>
      <c r="E48" s="436"/>
      <c r="F48" s="436"/>
      <c r="G48" s="436"/>
      <c r="H48" s="436"/>
      <c r="I48" s="436"/>
      <c r="J48" s="436"/>
      <c r="K48" s="436"/>
    </row>
    <row r="49" customFormat="false" ht="6" hidden="false" customHeight="true" outlineLevel="0" collapsed="false">
      <c r="A49" s="775"/>
      <c r="B49" s="776"/>
      <c r="C49" s="776"/>
      <c r="D49" s="776"/>
      <c r="E49" s="776"/>
      <c r="F49" s="776"/>
      <c r="G49" s="776"/>
      <c r="H49" s="776"/>
      <c r="I49" s="776"/>
      <c r="J49" s="776"/>
      <c r="K49" s="776"/>
    </row>
    <row r="50" customFormat="false" ht="25.5" hidden="false" customHeight="true" outlineLevel="0" collapsed="false">
      <c r="A50" s="412" t="s">
        <v>741</v>
      </c>
      <c r="B50" s="412"/>
      <c r="C50" s="412"/>
      <c r="D50" s="412"/>
      <c r="E50" s="412"/>
      <c r="F50" s="412"/>
      <c r="G50" s="412"/>
      <c r="H50" s="412"/>
      <c r="I50" s="412"/>
      <c r="J50" s="412"/>
      <c r="K50" s="412"/>
    </row>
    <row r="51" customFormat="false" ht="21.75" hidden="false" customHeight="true" outlineLevel="0" collapsed="false">
      <c r="A51" s="413" t="s">
        <v>375</v>
      </c>
      <c r="B51" s="457" t="s">
        <v>742</v>
      </c>
      <c r="C51" s="413" t="s">
        <v>737</v>
      </c>
      <c r="D51" s="413" t="s">
        <v>743</v>
      </c>
      <c r="E51" s="457" t="s">
        <v>744</v>
      </c>
    </row>
    <row r="52" customFormat="false" ht="21.75" hidden="false" customHeight="true" outlineLevel="0" collapsed="false">
      <c r="A52" s="777" t="n">
        <v>1</v>
      </c>
      <c r="B52" s="778" t="s">
        <v>745</v>
      </c>
      <c r="C52" s="779" t="n">
        <f aca="false">SUMIF(E4:E47,1,G4:G47)</f>
        <v>4116</v>
      </c>
      <c r="D52" s="780" t="n">
        <f aca="false">SUMIF(E4:E47,1,I4:I47)</f>
        <v>376.611</v>
      </c>
      <c r="E52" s="778" t="s">
        <v>746</v>
      </c>
    </row>
    <row r="53" customFormat="false" ht="21.75" hidden="false" customHeight="true" outlineLevel="0" collapsed="false">
      <c r="A53" s="781" t="n">
        <v>2</v>
      </c>
      <c r="B53" s="782" t="s">
        <v>747</v>
      </c>
      <c r="C53" s="783" t="n">
        <f aca="false">SUMIF(E4:E47,2,G4:G47)</f>
        <v>550</v>
      </c>
      <c r="D53" s="784" t="n">
        <f aca="false">SUMIF(E4:E47,2,I4:I47)</f>
        <v>3.05</v>
      </c>
      <c r="E53" s="782" t="s">
        <v>748</v>
      </c>
    </row>
    <row r="54" customFormat="false" ht="21.75" hidden="false" customHeight="true" outlineLevel="0" collapsed="false">
      <c r="A54" s="592" t="n">
        <v>3</v>
      </c>
      <c r="B54" s="785" t="s">
        <v>749</v>
      </c>
      <c r="C54" s="786" t="n">
        <f aca="false">SUMIF(E4:E47,3,G4:G47)</f>
        <v>150</v>
      </c>
      <c r="D54" s="787" t="n">
        <f aca="false">SUMIF(E4:E47,3,I4:I47)</f>
        <v>13.5</v>
      </c>
      <c r="E54" s="785" t="s">
        <v>750</v>
      </c>
    </row>
    <row r="55" customFormat="false" ht="21.75" hidden="false" customHeight="true" outlineLevel="0" collapsed="false">
      <c r="A55" s="300" t="s">
        <v>751</v>
      </c>
      <c r="B55" s="455" t="s">
        <v>752</v>
      </c>
      <c r="C55" s="650" t="n">
        <f aca="false">C52+C53+C54</f>
        <v>4816</v>
      </c>
      <c r="D55" s="682" t="n">
        <f aca="false">D52+D53+D54</f>
        <v>393.161</v>
      </c>
      <c r="E55" s="455" t="s">
        <v>753</v>
      </c>
    </row>
    <row r="56" customFormat="false" ht="21.75" hidden="false" customHeight="true" outlineLevel="0" collapsed="false">
      <c r="A56" s="591" t="n">
        <v>4</v>
      </c>
      <c r="B56" s="788" t="s">
        <v>754</v>
      </c>
      <c r="C56" s="789" t="n">
        <f aca="false">SUMIF(E4:E47,4,G4:G47)</f>
        <v>0</v>
      </c>
      <c r="D56" s="790" t="n">
        <f aca="false">SUMIF(E4:E47,4,I4:I47)</f>
        <v>0</v>
      </c>
      <c r="E56" s="788" t="s">
        <v>755</v>
      </c>
    </row>
    <row r="57" customFormat="false" ht="21.75" hidden="false" customHeight="true" outlineLevel="0" collapsed="false">
      <c r="A57" s="791" t="n">
        <v>0</v>
      </c>
      <c r="B57" s="792" t="s">
        <v>756</v>
      </c>
      <c r="C57" s="793" t="s">
        <v>314</v>
      </c>
      <c r="D57" s="794" t="n">
        <f aca="false">SUMIF(E4:E47,0,I4:I47)</f>
        <v>111.96928</v>
      </c>
      <c r="E57" s="792" t="s">
        <v>757</v>
      </c>
    </row>
    <row r="58" customFormat="false" ht="15" hidden="false" customHeight="true" outlineLevel="0" collapsed="false"/>
    <row r="59" customFormat="false" ht="21.75" hidden="false" customHeight="true" outlineLevel="0" collapsed="false">
      <c r="A59" s="795" t="s">
        <v>758</v>
      </c>
      <c r="B59" s="796" t="s">
        <v>759</v>
      </c>
      <c r="C59" s="797" t="n">
        <f aca="false">IFERROR(D52/C52,0)</f>
        <v>0.0914992711370262</v>
      </c>
      <c r="D59" s="796"/>
      <c r="E59" s="796"/>
    </row>
    <row r="60" customFormat="false" ht="30" hidden="false" customHeight="true" outlineLevel="0" collapsed="false">
      <c r="A60" s="651" t="s">
        <v>760</v>
      </c>
      <c r="B60" s="652"/>
      <c r="C60" s="652"/>
      <c r="D60" s="652"/>
      <c r="E60" s="652"/>
      <c r="F60" s="652"/>
      <c r="G60" s="652"/>
      <c r="H60" s="652"/>
      <c r="I60" s="652"/>
      <c r="J60" s="652"/>
      <c r="K60" s="652"/>
    </row>
    <row r="61" customFormat="false" ht="15" hidden="true" customHeight="true" outlineLevel="0" collapsed="false"/>
    <row r="62" customFormat="false" ht="15" hidden="true" customHeight="true" outlineLevel="0" collapsed="false"/>
    <row r="63" customFormat="false" ht="30" hidden="true" customHeight="true" outlineLevel="0" collapsed="false"/>
    <row r="64" customFormat="false" ht="1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ACC6"/>
    <pageSetUpPr fitToPage="false"/>
  </sheetPr>
  <dimension ref="A1:I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F7" activeCellId="0" sqref="F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20.33"/>
    <col collapsed="false" customWidth="true" hidden="false" outlineLevel="0" max="3" min="3" style="1" width="40.77"/>
    <col collapsed="false" customWidth="true" hidden="false" outlineLevel="0" max="4" min="4" style="1" width="8.34"/>
    <col collapsed="false" customWidth="true" hidden="false" outlineLevel="0" max="5" min="5" style="1" width="25.88"/>
    <col collapsed="false" customWidth="true" hidden="false" outlineLevel="0" max="6" min="6" style="1" width="12"/>
    <col collapsed="false" customWidth="true" hidden="false" outlineLevel="0" max="8" min="7" style="1" width="13"/>
    <col collapsed="false" customWidth="true" hidden="false" outlineLevel="0" max="9" min="9" style="1" width="33.33"/>
    <col collapsed="false" customWidth="true" hidden="true" outlineLevel="0" max="16" min="10" style="1" width="11.53"/>
  </cols>
  <sheetData>
    <row r="1" customFormat="false" ht="27.75" hidden="false" customHeight="true" outlineLevel="0" collapsed="false">
      <c r="A1" s="340" t="s">
        <v>761</v>
      </c>
      <c r="B1" s="340"/>
      <c r="C1" s="340"/>
      <c r="D1" s="340"/>
      <c r="E1" s="340"/>
      <c r="F1" s="340"/>
      <c r="G1" s="340"/>
      <c r="H1" s="340"/>
      <c r="I1" s="340"/>
    </row>
    <row r="2" customFormat="false" ht="15.75" hidden="false" customHeight="true" outlineLevel="0" collapsed="false">
      <c r="A2" s="434" t="s">
        <v>762</v>
      </c>
      <c r="B2" s="434"/>
      <c r="C2" s="434"/>
      <c r="D2" s="434"/>
      <c r="E2" s="434"/>
      <c r="F2" s="434"/>
      <c r="G2" s="434"/>
      <c r="H2" s="434"/>
      <c r="I2" s="434"/>
    </row>
    <row r="3" customFormat="false" ht="24" hidden="false" customHeight="true" outlineLevel="0" collapsed="false">
      <c r="A3" s="798" t="s">
        <v>153</v>
      </c>
      <c r="B3" s="799" t="s">
        <v>82</v>
      </c>
      <c r="C3" s="799" t="s">
        <v>371</v>
      </c>
      <c r="D3" s="798" t="s">
        <v>740</v>
      </c>
      <c r="E3" s="799" t="s">
        <v>763</v>
      </c>
      <c r="F3" s="798" t="s">
        <v>764</v>
      </c>
      <c r="G3" s="798" t="s">
        <v>765</v>
      </c>
      <c r="H3" s="798" t="s">
        <v>385</v>
      </c>
      <c r="I3" s="800" t="s">
        <v>397</v>
      </c>
    </row>
    <row r="4" customFormat="false" ht="19.5" hidden="false" customHeight="true" outlineLevel="0" collapsed="false">
      <c r="A4" s="742" t="n">
        <f aca="false">IFERROR('Facility Master'!A5,"")</f>
        <v>1</v>
      </c>
      <c r="B4" s="801" t="str">
        <f aca="false">IFERROR('Facility Master'!B5,"")</f>
        <v>UBI</v>
      </c>
      <c r="C4" s="749" t="str">
        <f aca="false">IFERROR('Facility Master'!C5,"")</f>
        <v>RTL-I (renewal)</v>
      </c>
      <c r="D4" s="742" t="str">
        <f aca="false">IFERROR('Facility Master'!I5,"")</f>
        <v>INR</v>
      </c>
      <c r="E4" s="749" t="str">
        <f aca="false">IFERROR('Facility Master'!P5,"")</f>
        <v>1Y MCLR (UBI)</v>
      </c>
      <c r="F4" s="802" t="n">
        <f aca="false">IFERROR('Facility Master'!Q5*10000,0)</f>
        <v>50</v>
      </c>
      <c r="G4" s="747" t="n">
        <f aca="false">IFERROR('Facility Master'!R5,0)</f>
        <v>0.094</v>
      </c>
      <c r="H4" s="803" t="str">
        <f aca="false">IFERROR('Facility Master'!S5,"")</f>
        <v>Floating</v>
      </c>
      <c r="I4" s="749" t="str">
        <f aca="false">IFERROR('Facility Master'!AE5,"")</f>
        <v>UBI SL 20-Sep-2025, Ref LCBD-I:JFL:2025-26:1726</v>
      </c>
    </row>
    <row r="5" customFormat="false" ht="19.5" hidden="false" customHeight="true" outlineLevel="0" collapsed="false">
      <c r="A5" s="623" t="n">
        <f aca="false">IFERROR('Facility Master'!A6,"")</f>
        <v>2</v>
      </c>
      <c r="B5" s="804" t="s">
        <v>167</v>
      </c>
      <c r="C5" s="753" t="str">
        <f aca="false">IFERROR('Facility Master'!C6,"")</f>
        <v>RTL-II (fresh)</v>
      </c>
      <c r="D5" s="623" t="str">
        <f aca="false">IFERROR('Facility Master'!I6,"")</f>
        <v>INR</v>
      </c>
      <c r="E5" s="753" t="str">
        <f aca="false">IFERROR('Facility Master'!P6,"")</f>
        <v>1Y MCLR (UBI) — RTL-II</v>
      </c>
      <c r="F5" s="805" t="n">
        <f aca="false">IFERROR('Facility Master'!Q6*10000,0)</f>
        <v>50</v>
      </c>
      <c r="G5" s="631" t="n">
        <f aca="false">IFERROR('Facility Master'!R6,0)</f>
        <v>0.091</v>
      </c>
      <c r="H5" s="806" t="str">
        <f aca="false">IFERROR('Facility Master'!S6,"")</f>
        <v>Floating</v>
      </c>
      <c r="I5" s="753" t="str">
        <f aca="false">IFERROR('Facility Master'!AE6,"")</f>
        <v>UBI SL 20-Sep-2025, Ref LCBD-I:JFL:2025-26:1726</v>
      </c>
    </row>
    <row r="6" customFormat="false" ht="19.5" hidden="false" customHeight="true" outlineLevel="0" collapsed="false">
      <c r="A6" s="633" t="n">
        <f aca="false">IFERROR('Facility Master'!A7,"")</f>
        <v>3</v>
      </c>
      <c r="B6" s="807" t="s">
        <v>167</v>
      </c>
      <c r="C6" s="751" t="str">
        <f aca="false">IFERROR('Facility Master'!C7,"")</f>
        <v>Letter of Credit (Capex LC/UPAS/SBLC)</v>
      </c>
      <c r="D6" s="633" t="str">
        <f aca="false">IFERROR('Facility Master'!I7,"")</f>
        <v>INR</v>
      </c>
      <c r="E6" s="751" t="str">
        <f aca="false">IFERROR('Facility Master'!P7,"")</f>
        <v>Fixed commission</v>
      </c>
      <c r="F6" s="373" t="n">
        <f aca="false">IFERROR('Facility Master'!Q7*10000,0)</f>
        <v>60</v>
      </c>
      <c r="G6" s="808" t="n">
        <f aca="false">IFERROR('Facility Master'!R7,0)</f>
        <v>0.006</v>
      </c>
      <c r="H6" s="809" t="str">
        <f aca="false">IFERROR('Facility Master'!S7,"")</f>
        <v>Fixed</v>
      </c>
      <c r="I6" s="751" t="str">
        <f aca="false">IFERROR('Facility Master'!AE7,"")</f>
        <v>UBI SL 20-Sep-2025, Ref LCBD-I:JFL:2025-26:1726</v>
      </c>
    </row>
    <row r="7" customFormat="false" ht="19.5" hidden="false" customHeight="true" outlineLevel="0" collapsed="false">
      <c r="A7" s="623" t="n">
        <f aca="false">IFERROR('Facility Master'!A8,"")</f>
        <v>4</v>
      </c>
      <c r="B7" s="804" t="s">
        <v>167</v>
      </c>
      <c r="C7" s="753" t="str">
        <f aca="false">IFERROR('Facility Master'!C8,"")</f>
        <v>Bank Guarantee</v>
      </c>
      <c r="D7" s="623" t="str">
        <f aca="false">IFERROR('Facility Master'!I8,"")</f>
        <v>INR</v>
      </c>
      <c r="E7" s="753" t="str">
        <f aca="false">IFERROR('Facility Master'!P8,"")</f>
        <v>Fixed commission</v>
      </c>
      <c r="F7" s="805" t="n">
        <f aca="false">IFERROR('Facility Master'!Q8*10000,0)</f>
        <v>60</v>
      </c>
      <c r="G7" s="810" t="n">
        <f aca="false">IFERROR('Facility Master'!R8,0)</f>
        <v>0.006</v>
      </c>
      <c r="H7" s="811" t="str">
        <f aca="false">IFERROR('Facility Master'!S8,"")</f>
        <v>Fixed</v>
      </c>
      <c r="I7" s="753" t="str">
        <f aca="false">IFERROR('Facility Master'!AE8,"")</f>
        <v>UBI SL 20-Sep-2025, Ref LCBD-I:JFL:2025-26:1726</v>
      </c>
    </row>
    <row r="8" customFormat="false" ht="19.5" hidden="false" customHeight="true" outlineLevel="0" collapsed="false">
      <c r="A8" s="633" t="n">
        <f aca="false">IFERROR('Facility Master'!A9,"")</f>
        <v>5</v>
      </c>
      <c r="B8" s="807" t="s">
        <v>167</v>
      </c>
      <c r="C8" s="751" t="str">
        <f aca="false">IFERROR('Facility Master'!C9,"")</f>
        <v>Forward Contract (credit equivalent)</v>
      </c>
      <c r="D8" s="633" t="str">
        <f aca="false">IFERROR('Facility Master'!I9,"")</f>
        <v>INR</v>
      </c>
      <c r="E8" s="751" t="str">
        <f aca="false">IFERROR('Facility Master'!P9,"")</f>
        <v>N/A</v>
      </c>
      <c r="F8" s="373" t="n">
        <f aca="false">IFERROR('Facility Master'!Q9*10000,0)</f>
        <v>0</v>
      </c>
      <c r="G8" s="812" t="n">
        <f aca="false">IFERROR('Facility Master'!R9,0)</f>
        <v>0</v>
      </c>
      <c r="H8" s="809" t="str">
        <f aca="false">IFERROR('Facility Master'!S9,"")</f>
        <v>Fixed</v>
      </c>
      <c r="I8" s="751" t="str">
        <f aca="false">IFERROR('Facility Master'!AE9,"")</f>
        <v>UBI SL 20-Sep-2025, Ref LCBD-I:JFL:2025-26:1726</v>
      </c>
    </row>
    <row r="9" customFormat="false" ht="19.5" hidden="false" customHeight="true" outlineLevel="0" collapsed="false">
      <c r="A9" s="754" t="n">
        <f aca="false">IFERROR('Facility Master'!A10,"")</f>
        <v>6</v>
      </c>
      <c r="B9" s="813" t="str">
        <f aca="false">IFERROR('Facility Master'!B10,"")</f>
        <v>Indian Bank</v>
      </c>
      <c r="C9" s="761" t="str">
        <f aca="false">IFERROR('Facility Master'!C10,"")</f>
        <v>Term Loan (per amendment ticket)</v>
      </c>
      <c r="D9" s="754" t="str">
        <f aca="false">IFERROR('Facility Master'!I10,"")</f>
        <v>INR</v>
      </c>
      <c r="E9" s="761" t="str">
        <f aca="false">IFERROR('Facility Master'!P10,"")</f>
        <v>1Y MCLR (Indian Bank)</v>
      </c>
      <c r="F9" s="814" t="n">
        <f aca="false">IFERROR('Facility Master'!Q10*10000,0)</f>
        <v>50</v>
      </c>
      <c r="G9" s="815" t="n">
        <f aca="false">IFERROR('Facility Master'!R10,0)</f>
        <v>0.094</v>
      </c>
      <c r="H9" s="816" t="str">
        <f aca="false">IFERROR('Facility Master'!S10,"")</f>
        <v>Floating</v>
      </c>
      <c r="I9" s="761" t="str">
        <f aca="false">IFERROR('Facility Master'!AE10,"")</f>
        <v>Indian Bank Amendment Ticket 26-Sep-2025, Ref LCB/Del/JFL:2025-26</v>
      </c>
    </row>
    <row r="10" customFormat="false" ht="19.5" hidden="false" customHeight="true" outlineLevel="0" collapsed="false">
      <c r="A10" s="613" t="n">
        <f aca="false">IFERROR('Facility Master'!A11,"")</f>
        <v>7</v>
      </c>
      <c r="B10" s="817" t="str">
        <f aca="false">IFERROR('Facility Master'!B11,"")</f>
        <v>RBL Bank</v>
      </c>
      <c r="C10" s="763" t="str">
        <f aca="false">IFERROR('Facility Master'!C11,"")</f>
        <v>Term Loan (12-month bullet bridge)</v>
      </c>
      <c r="D10" s="613" t="str">
        <f aca="false">IFERROR('Facility Master'!I11,"")</f>
        <v>INR</v>
      </c>
      <c r="E10" s="763" t="str">
        <f aca="false">IFERROR('Facility Master'!P11,"")</f>
        <v>To be decided</v>
      </c>
      <c r="F10" s="818" t="n">
        <f aca="false">IFERROR('Facility Master'!Q11*10000,0)</f>
        <v>0</v>
      </c>
      <c r="G10" s="819" t="n">
        <f aca="false">IFERROR('Facility Master'!R11,0)</f>
        <v>0.095</v>
      </c>
      <c r="H10" s="820" t="str">
        <f aca="false">IFERROR('Facility Master'!S11,"")</f>
        <v>TBD</v>
      </c>
      <c r="I10" s="763" t="str">
        <f aca="false">IFERROR('Facility Master'!AE11,"")</f>
        <v>RBL SL 13-Nov-2025, Ref CAD/DEL/0856/2025-26</v>
      </c>
    </row>
    <row r="11" customFormat="false" ht="19.5" hidden="false" customHeight="true" outlineLevel="0" collapsed="false">
      <c r="A11" s="613" t="n">
        <f aca="false">IFERROR('Facility Master'!A12,"")</f>
        <v>8</v>
      </c>
      <c r="B11" s="821" t="s">
        <v>167</v>
      </c>
      <c r="C11" s="763" t="str">
        <f aca="false">IFERROR('Facility Master'!C12,"")</f>
        <v>Letter of Credit (sub-limit of TL)</v>
      </c>
      <c r="D11" s="613" t="str">
        <f aca="false">IFERROR('Facility Master'!I12,"")</f>
        <v>INR</v>
      </c>
      <c r="E11" s="763" t="str">
        <f aca="false">IFERROR('Facility Master'!P12,"")</f>
        <v>Fixed commission</v>
      </c>
      <c r="F11" s="818" t="n">
        <f aca="false">IFERROR('Facility Master'!Q12*10000,0)</f>
        <v>50</v>
      </c>
      <c r="G11" s="822" t="n">
        <f aca="false">IFERROR('Facility Master'!R12,0)</f>
        <v>0.005</v>
      </c>
      <c r="H11" s="823" t="str">
        <f aca="false">IFERROR('Facility Master'!S12,"")</f>
        <v>Fixed</v>
      </c>
      <c r="I11" s="763" t="str">
        <f aca="false">IFERROR('Facility Master'!AE12,"")</f>
        <v>RBL SL 13-Nov-2025, Ref CAD/DEL/0856/2025-26</v>
      </c>
    </row>
    <row r="12" customFormat="false" ht="19.5" hidden="false" customHeight="true" outlineLevel="0" collapsed="false">
      <c r="A12" s="633" t="n">
        <f aca="false">IFERROR('Facility Master'!A13,"")</f>
        <v>9</v>
      </c>
      <c r="B12" s="807" t="s">
        <v>167</v>
      </c>
      <c r="C12" s="751" t="str">
        <f aca="false">IFERROR('Facility Master'!C13,"")</f>
        <v>FDOD (Overdraft against FD)</v>
      </c>
      <c r="D12" s="633" t="str">
        <f aca="false">IFERROR('Facility Master'!I13,"")</f>
        <v>INR</v>
      </c>
      <c r="E12" s="751" t="str">
        <f aca="false">IFERROR('Facility Master'!P13,"")</f>
        <v>To be decided</v>
      </c>
      <c r="F12" s="373" t="n">
        <f aca="false">IFERROR('Facility Master'!Q13*10000,0)</f>
        <v>0</v>
      </c>
      <c r="G12" s="812" t="n">
        <f aca="false">IFERROR('Facility Master'!R13,0)</f>
        <v>0.095</v>
      </c>
      <c r="H12" s="824" t="str">
        <f aca="false">IFERROR('Facility Master'!S13,"")</f>
        <v>TBD</v>
      </c>
      <c r="I12" s="751" t="str">
        <f aca="false">IFERROR('Facility Master'!AE13,"")</f>
        <v>RBL SL 13-Nov-2025, Ref CAD/DEL/0856/2025-26</v>
      </c>
    </row>
    <row r="13" customFormat="false" ht="19.5" hidden="false" customHeight="true" outlineLevel="0" collapsed="false">
      <c r="A13" s="742" t="n">
        <f aca="false">IFERROR('Facility Master'!A14,"")</f>
        <v>10</v>
      </c>
      <c r="B13" s="801" t="str">
        <f aca="false">IFERROR('Facility Master'!B14,"")</f>
        <v>YES Bank</v>
      </c>
      <c r="C13" s="749" t="str">
        <f aca="false">IFERROR('Facility Master'!C14,"")</f>
        <v>Term Loan (project, new consortium joiner)</v>
      </c>
      <c r="D13" s="742" t="str">
        <f aca="false">IFERROR('Facility Master'!I14,"")</f>
        <v>INR</v>
      </c>
      <c r="E13" s="749" t="str">
        <f aca="false">IFERROR('Facility Master'!P14,"")</f>
        <v>EBLR (YES Bank)</v>
      </c>
      <c r="F13" s="802" t="n">
        <f aca="false">IFERROR('Facility Master'!Q14*10000,0)</f>
        <v>345</v>
      </c>
      <c r="G13" s="747" t="n">
        <f aca="false">IFERROR('Facility Master'!R14,0)</f>
        <v>0.0955</v>
      </c>
      <c r="H13" s="803" t="str">
        <f aca="false">IFERROR('Facility Master'!S14,"")</f>
        <v>Floating</v>
      </c>
      <c r="I13" s="749" t="str">
        <f aca="false">IFERROR('Facility Master'!AE14,"")</f>
        <v>YES Bank Final Facility Letter 29-Dec-2025, Ref YBL/DEL/LC/FL/04920/12/2025</v>
      </c>
    </row>
    <row r="14" customFormat="false" ht="19.5" hidden="false" customHeight="true" outlineLevel="0" collapsed="false">
      <c r="A14" s="633" t="n">
        <f aca="false">IFERROR('Facility Master'!A15,"")</f>
        <v>11</v>
      </c>
      <c r="B14" s="807" t="s">
        <v>167</v>
      </c>
      <c r="C14" s="751" t="str">
        <f aca="false">IFERROR('Facility Master'!C15,"")</f>
        <v>Capex LC (sub-limit of TL)</v>
      </c>
      <c r="D14" s="633" t="str">
        <f aca="false">IFERROR('Facility Master'!I15,"")</f>
        <v>INR</v>
      </c>
      <c r="E14" s="751" t="str">
        <f aca="false">IFERROR('Facility Master'!P15,"")</f>
        <v>Fixed commission</v>
      </c>
      <c r="F14" s="373" t="n">
        <f aca="false">IFERROR('Facility Master'!Q15*10000,0)</f>
        <v>50</v>
      </c>
      <c r="G14" s="808" t="n">
        <f aca="false">IFERROR('Facility Master'!R15,0)</f>
        <v>0.005</v>
      </c>
      <c r="H14" s="809" t="str">
        <f aca="false">IFERROR('Facility Master'!S15,"")</f>
        <v>Fixed</v>
      </c>
      <c r="I14" s="751" t="str">
        <f aca="false">IFERROR('Facility Master'!AE15,"")</f>
        <v>YES Bank Final Facility Letter 29-Dec-2025, Ref YBL/DEL/LC/FL/04920/12/2025</v>
      </c>
    </row>
    <row r="15" customFormat="false" ht="19.5" hidden="false" customHeight="true" outlineLevel="0" collapsed="false">
      <c r="A15" s="754" t="n">
        <f aca="false">IFERROR('Facility Master'!A16,"")</f>
        <v>12</v>
      </c>
      <c r="B15" s="813" t="str">
        <f aca="false">IFERROR('Facility Master'!B16,"")</f>
        <v>IDFC First Bank</v>
      </c>
      <c r="C15" s="761" t="str">
        <f aca="false">IFERROR('Facility Master'!C16,"")</f>
        <v>RTL (project, new consortium joiner)</v>
      </c>
      <c r="D15" s="754" t="str">
        <f aca="false">IFERROR('Facility Master'!I16,"")</f>
        <v>INR</v>
      </c>
      <c r="E15" s="761" t="str">
        <f aca="false">IFERROR('Facility Master'!P16,"")</f>
        <v>EBLR (IDFC First)</v>
      </c>
      <c r="F15" s="814" t="n">
        <f aca="false">IFERROR('Facility Master'!Q16*10000,0)</f>
        <v>105</v>
      </c>
      <c r="G15" s="759" t="n">
        <f aca="false">IFERROR('Facility Master'!R16,0)</f>
        <v>0.088</v>
      </c>
      <c r="H15" s="825" t="str">
        <f aca="false">IFERROR('Facility Master'!S16,"")</f>
        <v>Floating</v>
      </c>
      <c r="I15" s="761" t="str">
        <f aca="false">IFERROR('Facility Master'!AE16,"")</f>
        <v>IDFC First SL 09-Jan-2026, Ref IDFC/CAD/REF/SL/260131</v>
      </c>
    </row>
    <row r="16" customFormat="false" ht="19.5" hidden="false" customHeight="true" outlineLevel="0" collapsed="false">
      <c r="A16" s="633" t="n">
        <f aca="false">IFERROR('Facility Master'!A17,"")</f>
        <v>13</v>
      </c>
      <c r="B16" s="807" t="s">
        <v>167</v>
      </c>
      <c r="C16" s="751" t="str">
        <f aca="false">IFERROR('Facility Master'!C17,"")</f>
        <v>NFB — Capex LC/SBLC (A)</v>
      </c>
      <c r="D16" s="633" t="str">
        <f aca="false">IFERROR('Facility Master'!I17,"")</f>
        <v>INR</v>
      </c>
      <c r="E16" s="751" t="str">
        <f aca="false">IFERROR('Facility Master'!P17,"")</f>
        <v>Fixed commission</v>
      </c>
      <c r="F16" s="373" t="n">
        <f aca="false">IFERROR('Facility Master'!Q17*10000,0)</f>
        <v>35</v>
      </c>
      <c r="G16" s="808" t="n">
        <f aca="false">IFERROR('Facility Master'!R17,0)</f>
        <v>0.0035</v>
      </c>
      <c r="H16" s="809" t="str">
        <f aca="false">IFERROR('Facility Master'!S17,"")</f>
        <v>Fixed</v>
      </c>
      <c r="I16" s="751" t="str">
        <f aca="false">IFERROR('Facility Master'!AE17,"")</f>
        <v>IDFC First SL 09-Jan-2026, Ref IDFC/CAD/REF/SL/260131</v>
      </c>
    </row>
    <row r="17" customFormat="false" ht="19.5" hidden="false" customHeight="true" outlineLevel="0" collapsed="false">
      <c r="A17" s="764" t="n">
        <f aca="false">IFERROR('Facility Master'!A18,"")</f>
        <v>14</v>
      </c>
      <c r="B17" s="826" t="s">
        <v>167</v>
      </c>
      <c r="C17" s="771" t="str">
        <f aca="false">IFERROR('Facility Master'!C18,"")</f>
        <v>NFB — BG / SBLC (B, sub-limit within ₹400 cap)</v>
      </c>
      <c r="D17" s="764" t="str">
        <f aca="false">IFERROR('Facility Master'!I18,"")</f>
        <v>INR</v>
      </c>
      <c r="E17" s="771" t="str">
        <f aca="false">IFERROR('Facility Master'!P18,"")</f>
        <v>Fixed commission</v>
      </c>
      <c r="F17" s="827" t="n">
        <f aca="false">IFERROR('Facility Master'!Q18*10000,0)</f>
        <v>35</v>
      </c>
      <c r="G17" s="828" t="n">
        <f aca="false">IFERROR('Facility Master'!R18,0)</f>
        <v>0.0035</v>
      </c>
      <c r="H17" s="829" t="str">
        <f aca="false">IFERROR('Facility Master'!S18,"")</f>
        <v>Fixed</v>
      </c>
      <c r="I17" s="771" t="str">
        <f aca="false">IFERROR('Facility Master'!AE18,"")</f>
        <v>IDFC First SL 09-Jan-2026, Ref IDFC/CAD/REF/SL/260131</v>
      </c>
    </row>
    <row r="18" customFormat="false" ht="19.5" hidden="false" customHeight="true" outlineLevel="0" collapsed="false">
      <c r="A18" s="742" t="n">
        <f aca="false">IFERROR('Facility Master'!A19,"")</f>
        <v>15</v>
      </c>
      <c r="B18" s="801" t="str">
        <f aca="false">IFERROR('Facility Master'!B19,"")</f>
        <v>ICICI Bank</v>
      </c>
      <c r="C18" s="749" t="str">
        <f aca="false">IFERROR('Facility Master'!C19,"")</f>
        <v>Cash Credit (WC)</v>
      </c>
      <c r="D18" s="742" t="str">
        <f aca="false">IFERROR('Facility Master'!I19,"")</f>
        <v>INR</v>
      </c>
      <c r="E18" s="749" t="str">
        <f aca="false">IFERROR('Facility Master'!P19,"")</f>
        <v>6M I-MCLR (ICICI)</v>
      </c>
      <c r="F18" s="802" t="n">
        <f aca="false">IFERROR('Facility Master'!Q19*10000,0)</f>
        <v>20</v>
      </c>
      <c r="G18" s="747" t="n">
        <f aca="false">IFERROR('Facility Master'!R19,0)</f>
        <v>0.085</v>
      </c>
      <c r="H18" s="803" t="str">
        <f aca="false">IFERROR('Facility Master'!S19,"")</f>
        <v>Floating</v>
      </c>
      <c r="I18" s="749" t="str">
        <f aca="false">IFERROR('Facility Master'!AE19,"")</f>
        <v>ICICI WC CAL 12-Feb-2026, Ref CAL142368928833</v>
      </c>
    </row>
    <row r="19" customFormat="false" ht="19.5" hidden="false" customHeight="true" outlineLevel="0" collapsed="false">
      <c r="A19" s="623" t="n">
        <f aca="false">IFERROR('Facility Master'!A20,"")</f>
        <v>16</v>
      </c>
      <c r="B19" s="804" t="s">
        <v>167</v>
      </c>
      <c r="C19" s="753" t="str">
        <f aca="false">IFERROR('Facility Master'!C20,"")</f>
        <v>WCDL (sub-limit of CC)</v>
      </c>
      <c r="D19" s="623" t="str">
        <f aca="false">IFERROR('Facility Master'!I20,"")</f>
        <v>INR</v>
      </c>
      <c r="E19" s="753" t="str">
        <f aca="false">IFERROR('Facility Master'!P20,"")</f>
        <v>Repo Rate</v>
      </c>
      <c r="F19" s="805" t="n">
        <f aca="false">IFERROR('Facility Master'!Q20*10000,0)</f>
        <v>0</v>
      </c>
      <c r="G19" s="830" t="n">
        <f aca="false">IFERROR('Facility Master'!R20,0)</f>
        <v>0.0525</v>
      </c>
      <c r="H19" s="831" t="str">
        <f aca="false">IFERROR('Facility Master'!S20,"")</f>
        <v>TBD</v>
      </c>
      <c r="I19" s="753" t="str">
        <f aca="false">IFERROR('Facility Master'!AE20,"")</f>
        <v>ICICI WC CAL 12-Feb-2026, Ref CAL142368928833</v>
      </c>
    </row>
    <row r="20" customFormat="false" ht="19.5" hidden="false" customHeight="true" outlineLevel="0" collapsed="false">
      <c r="A20" s="633" t="n">
        <f aca="false">IFERROR('Facility Master'!A21,"")</f>
        <v>17</v>
      </c>
      <c r="B20" s="807" t="s">
        <v>167</v>
      </c>
      <c r="C20" s="751" t="str">
        <f aca="false">IFERROR('Facility Master'!C21,"")</f>
        <v>Letter of Credit (WC)</v>
      </c>
      <c r="D20" s="633" t="str">
        <f aca="false">IFERROR('Facility Master'!I21,"")</f>
        <v>INR</v>
      </c>
      <c r="E20" s="751" t="str">
        <f aca="false">IFERROR('Facility Master'!P21,"")</f>
        <v>Fixed commission</v>
      </c>
      <c r="F20" s="373" t="n">
        <f aca="false">IFERROR('Facility Master'!Q21*10000,0)</f>
        <v>60</v>
      </c>
      <c r="G20" s="808" t="n">
        <f aca="false">IFERROR('Facility Master'!R21,0)</f>
        <v>0.006</v>
      </c>
      <c r="H20" s="809" t="str">
        <f aca="false">IFERROR('Facility Master'!S21,"")</f>
        <v>Fixed</v>
      </c>
      <c r="I20" s="751" t="str">
        <f aca="false">IFERROR('Facility Master'!AE21,"")</f>
        <v>ICICI WC CAL 12-Feb-2026, Ref CAL142368928833</v>
      </c>
    </row>
    <row r="21" customFormat="false" ht="19.5" hidden="false" customHeight="true" outlineLevel="0" collapsed="false">
      <c r="A21" s="623" t="n">
        <f aca="false">IFERROR('Facility Master'!A22,"")</f>
        <v>18</v>
      </c>
      <c r="B21" s="804" t="s">
        <v>167</v>
      </c>
      <c r="C21" s="753" t="str">
        <f aca="false">IFERROR('Facility Master'!C22,"")</f>
        <v>BG (F+P, sub-limit of LC)</v>
      </c>
      <c r="D21" s="623" t="str">
        <f aca="false">IFERROR('Facility Master'!I22,"")</f>
        <v>INR</v>
      </c>
      <c r="E21" s="753" t="str">
        <f aca="false">IFERROR('Facility Master'!P22,"")</f>
        <v>Fixed commission</v>
      </c>
      <c r="F21" s="805" t="n">
        <f aca="false">IFERROR('Facility Master'!Q22*10000,0)</f>
        <v>60</v>
      </c>
      <c r="G21" s="810" t="n">
        <f aca="false">IFERROR('Facility Master'!R22,0)</f>
        <v>0.006</v>
      </c>
      <c r="H21" s="811" t="str">
        <f aca="false">IFERROR('Facility Master'!S22,"")</f>
        <v>Fixed</v>
      </c>
      <c r="I21" s="753" t="str">
        <f aca="false">IFERROR('Facility Master'!AE22,"")</f>
        <v>ICICI WC CAL 12-Feb-2026, Ref CAL142368928833</v>
      </c>
    </row>
    <row r="22" customFormat="false" ht="19.5" hidden="false" customHeight="true" outlineLevel="0" collapsed="false">
      <c r="A22" s="832" t="n">
        <f aca="false">IFERROR('Facility Master'!A23,"")</f>
        <v>19</v>
      </c>
      <c r="B22" s="833" t="str">
        <f aca="false">IFERROR('Facility Master'!B23,"")</f>
        <v>HSBC</v>
      </c>
      <c r="C22" s="834" t="str">
        <f aca="false">IFERROR('Facility Master'!C23,"")</f>
        <v>Combined Limit (Uncommitted)</v>
      </c>
      <c r="D22" s="832" t="str">
        <f aca="false">IFERROR('Facility Master'!I23,"")</f>
        <v>INR</v>
      </c>
      <c r="E22" s="835" t="str">
        <f aca="false">IFERROR('Facility Master'!P23,"")</f>
        <v>Mutually agreed</v>
      </c>
      <c r="F22" s="836" t="n">
        <f aca="false">IFERROR('Facility Master'!Q23*10000,0)</f>
        <v>0</v>
      </c>
      <c r="G22" s="837" t="n">
        <f aca="false">IFERROR('Facility Master'!R23,0)</f>
        <v>0.09</v>
      </c>
      <c r="H22" s="838" t="str">
        <f aca="false">IFERROR('Facility Master'!S23,"")</f>
        <v>TBD</v>
      </c>
      <c r="I22" s="835" t="str">
        <f aca="false">IFERROR('Facility Master'!AE23,"")</f>
        <v>HSBC Facilities Letter 27-Feb-2026, Ref GBM NDH 260475</v>
      </c>
    </row>
    <row r="23" customFormat="false" ht="19.5" hidden="false" customHeight="true" outlineLevel="0" collapsed="false">
      <c r="A23" s="640" t="n">
        <f aca="false">IFERROR('Facility Master'!A24,"")</f>
        <v>20</v>
      </c>
      <c r="B23" s="839" t="s">
        <v>167</v>
      </c>
      <c r="C23" s="840" t="str">
        <f aca="false">IFERROR('Facility Master'!C24,"")</f>
        <v>Working Capital Loan (Uncommitted, sub of #1)</v>
      </c>
      <c r="D23" s="640" t="str">
        <f aca="false">IFERROR('Facility Master'!I24,"")</f>
        <v>INR</v>
      </c>
      <c r="E23" s="773" t="str">
        <f aca="false">IFERROR('Facility Master'!P24,"")</f>
        <v>Mutually agreed</v>
      </c>
      <c r="F23" s="841" t="n">
        <f aca="false">IFERROR('Facility Master'!Q24*10000,0)</f>
        <v>0</v>
      </c>
      <c r="G23" s="842" t="n">
        <f aca="false">IFERROR('Facility Master'!R24,0)</f>
        <v>0.09</v>
      </c>
      <c r="H23" s="843" t="str">
        <f aca="false">IFERROR('Facility Master'!S24,"")</f>
        <v>TBD</v>
      </c>
      <c r="I23" s="773" t="str">
        <f aca="false">IFERROR('Facility Master'!AE24,"")</f>
        <v>HSBC Facilities Letter 27-Feb-2026, Ref GBM NDH 260475</v>
      </c>
    </row>
    <row r="24" customFormat="false" ht="19.5" hidden="false" customHeight="true" outlineLevel="0" collapsed="false">
      <c r="A24" s="832" t="n">
        <f aca="false">IFERROR('Facility Master'!A25,"")</f>
        <v>21</v>
      </c>
      <c r="B24" s="844" t="s">
        <v>167</v>
      </c>
      <c r="C24" s="834" t="str">
        <f aca="false">IFERROR('Facility Master'!C25,"")</f>
        <v>Overdraft (Uncommitted, sub of WCL)</v>
      </c>
      <c r="D24" s="832" t="str">
        <f aca="false">IFERROR('Facility Master'!I25,"")</f>
        <v>INR</v>
      </c>
      <c r="E24" s="835" t="str">
        <f aca="false">IFERROR('Facility Master'!P25,"")</f>
        <v>Mutually agreed</v>
      </c>
      <c r="F24" s="836" t="n">
        <f aca="false">IFERROR('Facility Master'!Q25*10000,0)</f>
        <v>0</v>
      </c>
      <c r="G24" s="837" t="n">
        <f aca="false">IFERROR('Facility Master'!R25,0)</f>
        <v>0.09</v>
      </c>
      <c r="H24" s="838" t="str">
        <f aca="false">IFERROR('Facility Master'!S25,"")</f>
        <v>TBD</v>
      </c>
      <c r="I24" s="835" t="str">
        <f aca="false">IFERROR('Facility Master'!AE25,"")</f>
        <v>HSBC Facilities Letter 27-Feb-2026, Ref GBM NDH 260475</v>
      </c>
    </row>
    <row r="25" customFormat="false" ht="19.5" hidden="false" customHeight="true" outlineLevel="0" collapsed="false">
      <c r="A25" s="640" t="n">
        <f aca="false">IFERROR('Facility Master'!A26,"")</f>
        <v>22</v>
      </c>
      <c r="B25" s="839" t="s">
        <v>167</v>
      </c>
      <c r="C25" s="840" t="str">
        <f aca="false">IFERROR('Facility Master'!C26,"")</f>
        <v>Import Controlling line - 1 (Uncommitted)</v>
      </c>
      <c r="D25" s="640" t="str">
        <f aca="false">IFERROR('Facility Master'!I26,"")</f>
        <v>INR</v>
      </c>
      <c r="E25" s="773" t="str">
        <f aca="false">IFERROR('Facility Master'!P26,"")</f>
        <v>Mutually agreed</v>
      </c>
      <c r="F25" s="841" t="n">
        <f aca="false">IFERROR('Facility Master'!Q26*10000,0)</f>
        <v>0</v>
      </c>
      <c r="G25" s="842" t="n">
        <f aca="false">IFERROR('Facility Master'!R26,0)</f>
        <v>0.09</v>
      </c>
      <c r="H25" s="843" t="str">
        <f aca="false">IFERROR('Facility Master'!S26,"")</f>
        <v>TBD</v>
      </c>
      <c r="I25" s="773" t="str">
        <f aca="false">IFERROR('Facility Master'!AE26,"")</f>
        <v>HSBC Facilities Letter 27-Feb-2026, Ref GBM NDH 260475</v>
      </c>
    </row>
    <row r="26" customFormat="false" ht="19.5" hidden="false" customHeight="true" outlineLevel="0" collapsed="false">
      <c r="A26" s="832" t="n">
        <f aca="false">IFERROR('Facility Master'!A27,"")</f>
        <v>23</v>
      </c>
      <c r="B26" s="844" t="s">
        <v>167</v>
      </c>
      <c r="C26" s="834" t="str">
        <f aca="false">IFERROR('Facility Master'!C27,"")</f>
        <v>TradePay Domestic/Import (Uncommitted)</v>
      </c>
      <c r="D26" s="832" t="str">
        <f aca="false">IFERROR('Facility Master'!I27,"")</f>
        <v>INR</v>
      </c>
      <c r="E26" s="835" t="str">
        <f aca="false">IFERROR('Facility Master'!P27,"")</f>
        <v>Mutually agreed</v>
      </c>
      <c r="F26" s="836" t="n">
        <f aca="false">IFERROR('Facility Master'!Q27*10000,0)</f>
        <v>0</v>
      </c>
      <c r="G26" s="837" t="n">
        <f aca="false">IFERROR('Facility Master'!R27,0)</f>
        <v>0.09</v>
      </c>
      <c r="H26" s="838" t="str">
        <f aca="false">IFERROR('Facility Master'!S27,"")</f>
        <v>TBD</v>
      </c>
      <c r="I26" s="835" t="str">
        <f aca="false">IFERROR('Facility Master'!AE27,"")</f>
        <v>HSBC Facilities Letter 27-Feb-2026, Ref GBM NDH 260475</v>
      </c>
    </row>
    <row r="27" customFormat="false" ht="19.5" hidden="false" customHeight="true" outlineLevel="0" collapsed="false">
      <c r="A27" s="640" t="n">
        <f aca="false">IFERROR('Facility Master'!A28,"")</f>
        <v>24</v>
      </c>
      <c r="B27" s="839" t="s">
        <v>167</v>
      </c>
      <c r="C27" s="840" t="str">
        <f aca="false">IFERROR('Facility Master'!C28,"")</f>
        <v>Pre-shipment Buyer Loan (Uncommitted)</v>
      </c>
      <c r="D27" s="640" t="str">
        <f aca="false">IFERROR('Facility Master'!I28,"")</f>
        <v>INR</v>
      </c>
      <c r="E27" s="773" t="str">
        <f aca="false">IFERROR('Facility Master'!P28,"")</f>
        <v>Mutually agreed</v>
      </c>
      <c r="F27" s="841" t="n">
        <f aca="false">IFERROR('Facility Master'!Q28*10000,0)</f>
        <v>0</v>
      </c>
      <c r="G27" s="842" t="n">
        <f aca="false">IFERROR('Facility Master'!R28,0)</f>
        <v>0.09</v>
      </c>
      <c r="H27" s="843" t="str">
        <f aca="false">IFERROR('Facility Master'!S28,"")</f>
        <v>TBD</v>
      </c>
      <c r="I27" s="773" t="str">
        <f aca="false">IFERROR('Facility Master'!AE28,"")</f>
        <v>HSBC Facilities Letter 27-Feb-2026, Ref GBM NDH 260475</v>
      </c>
    </row>
    <row r="28" customFormat="false" ht="19.5" hidden="false" customHeight="true" outlineLevel="0" collapsed="false">
      <c r="A28" s="832" t="n">
        <f aca="false">IFERROR('Facility Master'!A29,"")</f>
        <v>25</v>
      </c>
      <c r="B28" s="844" t="s">
        <v>167</v>
      </c>
      <c r="C28" s="834" t="str">
        <f aca="false">IFERROR('Facility Master'!C29,"")</f>
        <v>Post-Shipment Buyer Loan / DPF / LAI (Uncommitted)</v>
      </c>
      <c r="D28" s="832" t="str">
        <f aca="false">IFERROR('Facility Master'!I29,"")</f>
        <v>INR</v>
      </c>
      <c r="E28" s="835" t="str">
        <f aca="false">IFERROR('Facility Master'!P29,"")</f>
        <v>Mutually agreed</v>
      </c>
      <c r="F28" s="836" t="n">
        <f aca="false">IFERROR('Facility Master'!Q29*10000,0)</f>
        <v>0</v>
      </c>
      <c r="G28" s="837" t="n">
        <f aca="false">IFERROR('Facility Master'!R29,0)</f>
        <v>0.09</v>
      </c>
      <c r="H28" s="838" t="str">
        <f aca="false">IFERROR('Facility Master'!S29,"")</f>
        <v>TBD</v>
      </c>
      <c r="I28" s="835" t="str">
        <f aca="false">IFERROR('Facility Master'!AE29,"")</f>
        <v>HSBC Facilities Letter 27-Feb-2026, Ref GBM NDH 260475</v>
      </c>
    </row>
    <row r="29" customFormat="false" ht="19.5" hidden="false" customHeight="true" outlineLevel="0" collapsed="false">
      <c r="A29" s="640" t="n">
        <f aca="false">IFERROR('Facility Master'!A30,"")</f>
        <v>26</v>
      </c>
      <c r="B29" s="839" t="s">
        <v>167</v>
      </c>
      <c r="C29" s="840" t="str">
        <f aca="false">IFERROR('Facility Master'!C30,"")</f>
        <v>Export Controlling line (Uncommitted)</v>
      </c>
      <c r="D29" s="640" t="str">
        <f aca="false">IFERROR('Facility Master'!I30,"")</f>
        <v>INR</v>
      </c>
      <c r="E29" s="773" t="str">
        <f aca="false">IFERROR('Facility Master'!P30,"")</f>
        <v>Mutually agreed</v>
      </c>
      <c r="F29" s="841" t="n">
        <f aca="false">IFERROR('Facility Master'!Q30*10000,0)</f>
        <v>0</v>
      </c>
      <c r="G29" s="842" t="n">
        <f aca="false">IFERROR('Facility Master'!R30,0)</f>
        <v>0.09</v>
      </c>
      <c r="H29" s="843" t="str">
        <f aca="false">IFERROR('Facility Master'!S30,"")</f>
        <v>TBD</v>
      </c>
      <c r="I29" s="773" t="str">
        <f aca="false">IFERROR('Facility Master'!AE30,"")</f>
        <v>HSBC Facilities Letter 27-Feb-2026, Ref GBM NDH 260475</v>
      </c>
    </row>
    <row r="30" customFormat="false" ht="19.5" hidden="false" customHeight="true" outlineLevel="0" collapsed="false">
      <c r="A30" s="832" t="n">
        <f aca="false">IFERROR('Facility Master'!A31,"")</f>
        <v>27</v>
      </c>
      <c r="B30" s="844" t="s">
        <v>167</v>
      </c>
      <c r="C30" s="834" t="str">
        <f aca="false">IFERROR('Facility Master'!C31,"")</f>
        <v>Pre-shipment Seller Loan (Uncommitted)</v>
      </c>
      <c r="D30" s="832" t="str">
        <f aca="false">IFERROR('Facility Master'!I31,"")</f>
        <v>INR</v>
      </c>
      <c r="E30" s="835" t="str">
        <f aca="false">IFERROR('Facility Master'!P31,"")</f>
        <v>Mutually agreed</v>
      </c>
      <c r="F30" s="836" t="n">
        <f aca="false">IFERROR('Facility Master'!Q31*10000,0)</f>
        <v>0</v>
      </c>
      <c r="G30" s="837" t="n">
        <f aca="false">IFERROR('Facility Master'!R31,0)</f>
        <v>0.09</v>
      </c>
      <c r="H30" s="838" t="str">
        <f aca="false">IFERROR('Facility Master'!S31,"")</f>
        <v>TBD</v>
      </c>
      <c r="I30" s="835" t="str">
        <f aca="false">IFERROR('Facility Master'!AE31,"")</f>
        <v>HSBC Facilities Letter 27-Feb-2026, Ref GBM NDH 260475</v>
      </c>
    </row>
    <row r="31" customFormat="false" ht="19.5" hidden="false" customHeight="true" outlineLevel="0" collapsed="false">
      <c r="A31" s="640" t="n">
        <f aca="false">IFERROR('Facility Master'!A32,"")</f>
        <v>28</v>
      </c>
      <c r="B31" s="839" t="s">
        <v>167</v>
      </c>
      <c r="C31" s="840" t="str">
        <f aca="false">IFERROR('Facility Master'!C32,"")</f>
        <v>Post-Shipment Seller Loan, Open Account (Uncommitted)</v>
      </c>
      <c r="D31" s="640" t="str">
        <f aca="false">IFERROR('Facility Master'!I32,"")</f>
        <v>INR</v>
      </c>
      <c r="E31" s="773" t="str">
        <f aca="false">IFERROR('Facility Master'!P32,"")</f>
        <v>Mutually agreed</v>
      </c>
      <c r="F31" s="841" t="n">
        <f aca="false">IFERROR('Facility Master'!Q32*10000,0)</f>
        <v>0</v>
      </c>
      <c r="G31" s="842" t="n">
        <f aca="false">IFERROR('Facility Master'!R32,0)</f>
        <v>0.09</v>
      </c>
      <c r="H31" s="843" t="str">
        <f aca="false">IFERROR('Facility Master'!S32,"")</f>
        <v>TBD</v>
      </c>
      <c r="I31" s="773" t="str">
        <f aca="false">IFERROR('Facility Master'!AE32,"")</f>
        <v>HSBC Facilities Letter 27-Feb-2026, Ref GBM NDH 260475</v>
      </c>
    </row>
    <row r="32" customFormat="false" ht="19.5" hidden="false" customHeight="true" outlineLevel="0" collapsed="false">
      <c r="A32" s="832" t="n">
        <f aca="false">IFERROR('Facility Master'!A33,"")</f>
        <v>29</v>
      </c>
      <c r="B32" s="844" t="s">
        <v>167</v>
      </c>
      <c r="C32" s="834" t="str">
        <f aca="false">IFERROR('Facility Master'!C33,"")</f>
        <v>Import Controlling line - 2 (Uncommitted)</v>
      </c>
      <c r="D32" s="832" t="str">
        <f aca="false">IFERROR('Facility Master'!I33,"")</f>
        <v>INR</v>
      </c>
      <c r="E32" s="835" t="str">
        <f aca="false">IFERROR('Facility Master'!P33,"")</f>
        <v>Mutually agreed</v>
      </c>
      <c r="F32" s="836" t="n">
        <f aca="false">IFERROR('Facility Master'!Q33*10000,0)</f>
        <v>0</v>
      </c>
      <c r="G32" s="837" t="n">
        <f aca="false">IFERROR('Facility Master'!R33,0)</f>
        <v>0.09</v>
      </c>
      <c r="H32" s="838" t="str">
        <f aca="false">IFERROR('Facility Master'!S33,"")</f>
        <v>TBD</v>
      </c>
      <c r="I32" s="835" t="str">
        <f aca="false">IFERROR('Facility Master'!AE33,"")</f>
        <v>HSBC Facilities Letter 27-Feb-2026, Ref GBM NDH 260475</v>
      </c>
    </row>
    <row r="33" customFormat="false" ht="19.5" hidden="false" customHeight="true" outlineLevel="0" collapsed="false">
      <c r="A33" s="640" t="n">
        <f aca="false">IFERROR('Facility Master'!A34,"")</f>
        <v>30</v>
      </c>
      <c r="B33" s="839" t="s">
        <v>167</v>
      </c>
      <c r="C33" s="840" t="str">
        <f aca="false">IFERROR('Facility Master'!C34,"")</f>
        <v>Import Documentary Credit - 12 (Uncommitted)</v>
      </c>
      <c r="D33" s="640" t="str">
        <f aca="false">IFERROR('Facility Master'!I34,"")</f>
        <v>INR</v>
      </c>
      <c r="E33" s="773" t="str">
        <f aca="false">IFERROR('Facility Master'!P34,"")</f>
        <v>Fixed commission</v>
      </c>
      <c r="F33" s="841" t="n">
        <f aca="false">IFERROR('Facility Master'!Q34*10000,0)</f>
        <v>0</v>
      </c>
      <c r="G33" s="842" t="n">
        <f aca="false">IFERROR('Facility Master'!R34,0)</f>
        <v>0</v>
      </c>
      <c r="H33" s="843" t="str">
        <f aca="false">IFERROR('Facility Master'!S34,"")</f>
        <v>TBD</v>
      </c>
      <c r="I33" s="773" t="str">
        <f aca="false">IFERROR('Facility Master'!AE34,"")</f>
        <v>HSBC Facilities Letter 27-Feb-2026, Ref GBM NDH 260475</v>
      </c>
    </row>
    <row r="34" customFormat="false" ht="19.5" hidden="false" customHeight="true" outlineLevel="0" collapsed="false">
      <c r="A34" s="832" t="n">
        <f aca="false">IFERROR('Facility Master'!A35,"")</f>
        <v>31</v>
      </c>
      <c r="B34" s="844" t="s">
        <v>167</v>
      </c>
      <c r="C34" s="834" t="str">
        <f aca="false">IFERROR('Facility Master'!C35,"")</f>
        <v>Import Documentary Credit - 13 (Uncommitted)</v>
      </c>
      <c r="D34" s="832" t="str">
        <f aca="false">IFERROR('Facility Master'!I35,"")</f>
        <v>INR</v>
      </c>
      <c r="E34" s="835" t="str">
        <f aca="false">IFERROR('Facility Master'!P35,"")</f>
        <v>Fixed commission</v>
      </c>
      <c r="F34" s="836" t="n">
        <f aca="false">IFERROR('Facility Master'!Q35*10000,0)</f>
        <v>0</v>
      </c>
      <c r="G34" s="837" t="n">
        <f aca="false">IFERROR('Facility Master'!R35,0)</f>
        <v>0</v>
      </c>
      <c r="H34" s="838" t="str">
        <f aca="false">IFERROR('Facility Master'!S35,"")</f>
        <v>TBD</v>
      </c>
      <c r="I34" s="835" t="str">
        <f aca="false">IFERROR('Facility Master'!AE35,"")</f>
        <v>HSBC Facilities Letter 27-Feb-2026, Ref GBM NDH 260475</v>
      </c>
    </row>
    <row r="35" customFormat="false" ht="19.5" hidden="false" customHeight="true" outlineLevel="0" collapsed="false">
      <c r="A35" s="640" t="n">
        <f aca="false">IFERROR('Facility Master'!A36,"")</f>
        <v>32</v>
      </c>
      <c r="B35" s="839" t="s">
        <v>167</v>
      </c>
      <c r="C35" s="840" t="str">
        <f aca="false">IFERROR('Facility Master'!C36,"")</f>
        <v>Guarantees/Bonds Non-Financial (Uncommitted)</v>
      </c>
      <c r="D35" s="640" t="str">
        <f aca="false">IFERROR('Facility Master'!I36,"")</f>
        <v>INR</v>
      </c>
      <c r="E35" s="773" t="str">
        <f aca="false">IFERROR('Facility Master'!P36,"")</f>
        <v>Mutually agreed</v>
      </c>
      <c r="F35" s="841" t="n">
        <f aca="false">IFERROR('Facility Master'!Q36*10000,0)</f>
        <v>0</v>
      </c>
      <c r="G35" s="842" t="n">
        <f aca="false">IFERROR('Facility Master'!R36,0)</f>
        <v>0.09</v>
      </c>
      <c r="H35" s="843" t="str">
        <f aca="false">IFERROR('Facility Master'!S36,"")</f>
        <v>TBD</v>
      </c>
      <c r="I35" s="773" t="str">
        <f aca="false">IFERROR('Facility Master'!AE36,"")</f>
        <v>HSBC Facilities Letter 27-Feb-2026, Ref GBM NDH 260475</v>
      </c>
    </row>
    <row r="36" customFormat="false" ht="19.5" hidden="false" customHeight="true" outlineLevel="0" collapsed="false">
      <c r="A36" s="754" t="n">
        <f aca="false">IFERROR('Facility Master'!A37,"")</f>
        <v>33</v>
      </c>
      <c r="B36" s="813" t="str">
        <f aca="false">IFERROR('Facility Master'!B37,"")</f>
        <v>HSBC</v>
      </c>
      <c r="C36" s="761" t="str">
        <f aca="false">IFERROR('Facility Master'!C37,"")</f>
        <v>Guarantees/Bonds Financial (Uncommitted)</v>
      </c>
      <c r="D36" s="754" t="str">
        <f aca="false">IFERROR('Facility Master'!I37,"")</f>
        <v>INR</v>
      </c>
      <c r="E36" s="761" t="str">
        <f aca="false">IFERROR('Facility Master'!P37,"")</f>
        <v>Mutually agreed</v>
      </c>
      <c r="F36" s="814" t="n">
        <f aca="false">IFERROR('Facility Master'!Q37*10000,0)</f>
        <v>0</v>
      </c>
      <c r="G36" s="815" t="n">
        <f aca="false">IFERROR('Facility Master'!R37,0)</f>
        <v>0.09</v>
      </c>
      <c r="H36" s="816" t="str">
        <f aca="false">IFERROR('Facility Master'!S37,"")</f>
        <v>TBD</v>
      </c>
      <c r="I36" s="761" t="str">
        <f aca="false">IFERROR('Facility Master'!AE37,"")</f>
        <v>HSBC Facilities Letter 27-Feb-2026, Ref GBM NDH 260475</v>
      </c>
    </row>
    <row r="37" customFormat="false" ht="19.5" hidden="false" customHeight="true" outlineLevel="0" collapsed="false">
      <c r="A37" s="764" t="n">
        <f aca="false">IFERROR('Facility Master'!A38,"")</f>
        <v>34</v>
      </c>
      <c r="B37" s="826" t="s">
        <v>167</v>
      </c>
      <c r="C37" s="771" t="str">
        <f aca="false">IFERROR('Facility Master'!C38,"")</f>
        <v>Letter of Credit (WC parent)</v>
      </c>
      <c r="D37" s="764" t="str">
        <f aca="false">IFERROR('Facility Master'!I38,"")</f>
        <v>INR</v>
      </c>
      <c r="E37" s="771" t="str">
        <f aca="false">IFERROR('Facility Master'!P38,"")</f>
        <v>Fixed commission</v>
      </c>
      <c r="F37" s="827" t="n">
        <f aca="false">IFERROR('Facility Master'!Q38*10000,0)</f>
        <v>50</v>
      </c>
      <c r="G37" s="828" t="n">
        <f aca="false">IFERROR('Facility Master'!R38,0)</f>
        <v>0.005</v>
      </c>
      <c r="H37" s="829" t="str">
        <f aca="false">IFERROR('Facility Master'!S38,"")</f>
        <v>Fixed</v>
      </c>
      <c r="I37" s="771" t="str">
        <f aca="false">IFERROR('Facility Master'!AE38,"")</f>
        <v>HDFC Bank Offer Letter 26-Mar-2026, Ref CAM012101260020</v>
      </c>
    </row>
    <row r="38" customFormat="false" ht="19.5" hidden="false" customHeight="true" outlineLevel="0" collapsed="false">
      <c r="A38" s="633" t="n">
        <f aca="false">IFERROR('Facility Master'!A39,"")</f>
        <v>35</v>
      </c>
      <c r="B38" s="807" t="s">
        <v>167</v>
      </c>
      <c r="C38" s="751" t="str">
        <f aca="false">IFERROR('Facility Master'!C39,"")</f>
        <v>Post Shipment Finance (sub of LC)</v>
      </c>
      <c r="D38" s="633" t="str">
        <f aca="false">IFERROR('Facility Master'!I39,"")</f>
        <v>INR</v>
      </c>
      <c r="E38" s="751" t="str">
        <f aca="false">IFERROR('Facility Master'!P39,"")</f>
        <v>To be decided</v>
      </c>
      <c r="F38" s="373" t="n">
        <f aca="false">IFERROR('Facility Master'!Q39*10000,0)</f>
        <v>0</v>
      </c>
      <c r="G38" s="812" t="n">
        <f aca="false">IFERROR('Facility Master'!R39,0)</f>
        <v>0.095</v>
      </c>
      <c r="H38" s="824" t="str">
        <f aca="false">IFERROR('Facility Master'!S39,"")</f>
        <v>TBD</v>
      </c>
      <c r="I38" s="751" t="str">
        <f aca="false">IFERROR('Facility Master'!AE39,"")</f>
        <v>HDFC Bank Offer Letter 26-Mar-2026, Ref CAM012101260020</v>
      </c>
    </row>
    <row r="39" customFormat="false" ht="19.5" hidden="false" customHeight="true" outlineLevel="0" collapsed="false">
      <c r="A39" s="764" t="n">
        <f aca="false">IFERROR('Facility Master'!A40,"")</f>
        <v>36</v>
      </c>
      <c r="B39" s="826" t="s">
        <v>167</v>
      </c>
      <c r="C39" s="771" t="str">
        <f aca="false">IFERROR('Facility Master'!C40,"")</f>
        <v>Pre-shipment Finance (sub of LC)</v>
      </c>
      <c r="D39" s="764" t="str">
        <f aca="false">IFERROR('Facility Master'!I40,"")</f>
        <v>INR</v>
      </c>
      <c r="E39" s="771" t="str">
        <f aca="false">IFERROR('Facility Master'!P40,"")</f>
        <v>To be decided</v>
      </c>
      <c r="F39" s="827" t="n">
        <f aca="false">IFERROR('Facility Master'!Q40*10000,0)</f>
        <v>0</v>
      </c>
      <c r="G39" s="845" t="n">
        <f aca="false">IFERROR('Facility Master'!R40,0)</f>
        <v>0.095</v>
      </c>
      <c r="H39" s="846" t="str">
        <f aca="false">IFERROR('Facility Master'!S40,"")</f>
        <v>TBD</v>
      </c>
      <c r="I39" s="771" t="str">
        <f aca="false">IFERROR('Facility Master'!AE40,"")</f>
        <v>HDFC Bank Offer Letter 26-Mar-2026, Ref CAM012101260020</v>
      </c>
    </row>
    <row r="40" customFormat="false" ht="19.5" hidden="false" customHeight="true" outlineLevel="0" collapsed="false">
      <c r="A40" s="633" t="n">
        <f aca="false">IFERROR('Facility Master'!A41,"")</f>
        <v>37</v>
      </c>
      <c r="B40" s="807" t="s">
        <v>167</v>
      </c>
      <c r="C40" s="751" t="str">
        <f aca="false">IFERROR('Facility Master'!C41,"")</f>
        <v>SBLC (sub of LC)</v>
      </c>
      <c r="D40" s="633" t="str">
        <f aca="false">IFERROR('Facility Master'!I41,"")</f>
        <v>INR</v>
      </c>
      <c r="E40" s="751" t="str">
        <f aca="false">IFERROR('Facility Master'!P41,"")</f>
        <v>To be decided</v>
      </c>
      <c r="F40" s="373" t="n">
        <f aca="false">IFERROR('Facility Master'!Q41*10000,0)</f>
        <v>0</v>
      </c>
      <c r="G40" s="812" t="n">
        <f aca="false">IFERROR('Facility Master'!R41,0)</f>
        <v>0.095</v>
      </c>
      <c r="H40" s="824" t="str">
        <f aca="false">IFERROR('Facility Master'!S41,"")</f>
        <v>TBD</v>
      </c>
      <c r="I40" s="751" t="str">
        <f aca="false">IFERROR('Facility Master'!AE41,"")</f>
        <v>HDFC Bank Offer Letter 26-Mar-2026, Ref CAM012101260020</v>
      </c>
    </row>
    <row r="41" customFormat="false" ht="19.5" hidden="false" customHeight="true" outlineLevel="0" collapsed="false">
      <c r="A41" s="764" t="n">
        <f aca="false">IFERROR('Facility Master'!A42,"")</f>
        <v>38</v>
      </c>
      <c r="B41" s="826" t="s">
        <v>167</v>
      </c>
      <c r="C41" s="771" t="str">
        <f aca="false">IFERROR('Facility Master'!C42,"")</f>
        <v>Cash Credit (sub of LC)</v>
      </c>
      <c r="D41" s="764" t="str">
        <f aca="false">IFERROR('Facility Master'!I42,"")</f>
        <v>INR</v>
      </c>
      <c r="E41" s="771" t="str">
        <f aca="false">IFERROR('Facility Master'!P42,"")</f>
        <v>14-day Repo (HDFC)</v>
      </c>
      <c r="F41" s="827" t="n">
        <f aca="false">IFERROR('Facility Master'!Q42*10000,0)</f>
        <v>0</v>
      </c>
      <c r="G41" s="769" t="n">
        <f aca="false">IFERROR('Facility Master'!R42,0)</f>
        <v>0.0815</v>
      </c>
      <c r="H41" s="847" t="str">
        <f aca="false">IFERROR('Facility Master'!S42,"")</f>
        <v>Floating</v>
      </c>
      <c r="I41" s="771" t="str">
        <f aca="false">IFERROR('Facility Master'!AE42,"")</f>
        <v>HDFC Bank Offer Letter 26-Mar-2026, Ref CAM012101260020</v>
      </c>
    </row>
    <row r="42" customFormat="false" ht="19.5" hidden="false" customHeight="true" outlineLevel="0" collapsed="false">
      <c r="A42" s="633" t="n">
        <f aca="false">IFERROR('Facility Master'!A43,"")</f>
        <v>39</v>
      </c>
      <c r="B42" s="807" t="s">
        <v>167</v>
      </c>
      <c r="C42" s="751" t="str">
        <f aca="false">IFERROR('Facility Master'!C43,"")</f>
        <v>WCDL (sub of LC)</v>
      </c>
      <c r="D42" s="633" t="str">
        <f aca="false">IFERROR('Facility Master'!I43,"")</f>
        <v>INR</v>
      </c>
      <c r="E42" s="751" t="str">
        <f aca="false">IFERROR('Facility Master'!P43,"")</f>
        <v>To be decided</v>
      </c>
      <c r="F42" s="373" t="n">
        <f aca="false">IFERROR('Facility Master'!Q43*10000,0)</f>
        <v>0</v>
      </c>
      <c r="G42" s="812" t="n">
        <f aca="false">IFERROR('Facility Master'!R43,0)</f>
        <v>0.095</v>
      </c>
      <c r="H42" s="824" t="str">
        <f aca="false">IFERROR('Facility Master'!S43,"")</f>
        <v>TBD</v>
      </c>
      <c r="I42" s="751" t="str">
        <f aca="false">IFERROR('Facility Master'!AE43,"")</f>
        <v>HDFC Bank Offer Letter 26-Mar-2026, Ref CAM012101260020</v>
      </c>
    </row>
    <row r="43" customFormat="false" ht="19.5" hidden="false" customHeight="true" outlineLevel="0" collapsed="false">
      <c r="A43" s="764" t="n">
        <f aca="false">IFERROR('Facility Master'!A44,"")</f>
        <v>40</v>
      </c>
      <c r="B43" s="826" t="s">
        <v>167</v>
      </c>
      <c r="C43" s="771" t="str">
        <f aca="false">IFERROR('Facility Master'!C44,"")</f>
        <v>FD-OD (FD-Backed)</v>
      </c>
      <c r="D43" s="764" t="str">
        <f aca="false">IFERROR('Facility Master'!I44,"")</f>
        <v>INR</v>
      </c>
      <c r="E43" s="771" t="str">
        <f aca="false">IFERROR('Facility Master'!P44,"")</f>
        <v>FD Rate (HDFC)</v>
      </c>
      <c r="F43" s="827" t="n">
        <f aca="false">IFERROR('Facility Master'!Q44*10000,0)</f>
        <v>100</v>
      </c>
      <c r="G43" s="769" t="n">
        <f aca="false">IFERROR('Facility Master'!R44,0)</f>
        <v>0.08</v>
      </c>
      <c r="H43" s="847" t="str">
        <f aca="false">IFERROR('Facility Master'!S44,"")</f>
        <v>Floating</v>
      </c>
      <c r="I43" s="771" t="str">
        <f aca="false">IFERROR('Facility Master'!AE44,"")</f>
        <v>HDFC Bank Offer Letter 26-Mar-2026, Ref CAM012101260020</v>
      </c>
    </row>
    <row r="44" customFormat="false" ht="19.5" hidden="false" customHeight="true" outlineLevel="0" collapsed="false">
      <c r="A44" s="613" t="n">
        <f aca="false">IFERROR('Facility Master'!A45,"")</f>
        <v>41</v>
      </c>
      <c r="B44" s="817" t="str">
        <f aca="false">IFERROR('Facility Master'!B45,"")</f>
        <v>HDFC Bank</v>
      </c>
      <c r="C44" s="848" t="str">
        <f aca="false">IFERROR('Facility Master'!C45,"")</f>
        <v>BG (sub of FD-OD)</v>
      </c>
      <c r="D44" s="613" t="str">
        <f aca="false">IFERROR('Facility Master'!I45,"")</f>
        <v>INR</v>
      </c>
      <c r="E44" s="763" t="str">
        <f aca="false">IFERROR('Facility Master'!P45,"")</f>
        <v>Fixed commission</v>
      </c>
      <c r="F44" s="818" t="n">
        <f aca="false">IFERROR('Facility Master'!Q45*10000,0)</f>
        <v>0</v>
      </c>
      <c r="G44" s="819" t="n">
        <f aca="false">IFERROR('Facility Master'!R45,0)</f>
        <v>0</v>
      </c>
      <c r="H44" s="820" t="str">
        <f aca="false">IFERROR('Facility Master'!S45,"")</f>
        <v>TBD</v>
      </c>
      <c r="I44" s="763" t="str">
        <f aca="false">IFERROR('Facility Master'!AE45,"")</f>
        <v>HDFC Bank Offer Letter 26-Mar-2026, Ref CAM012101260020</v>
      </c>
    </row>
    <row r="45" customFormat="false" ht="19.5" hidden="false" customHeight="true" outlineLevel="0" collapsed="false">
      <c r="A45" s="613" t="n">
        <f aca="false">IFERROR('Facility Master'!A46,"")</f>
        <v>42</v>
      </c>
      <c r="B45" s="821" t="s">
        <v>167</v>
      </c>
      <c r="C45" s="848" t="str">
        <f aca="false">IFERROR('Facility Master'!C46,"")</f>
        <v>Term Loan — TAKEOVER of disbursed consortium</v>
      </c>
      <c r="D45" s="613" t="str">
        <f aca="false">IFERROR('Facility Master'!I46,"")</f>
        <v>INR</v>
      </c>
      <c r="E45" s="763" t="str">
        <f aca="false">IFERROR('Facility Master'!P46,"")</f>
        <v>3M I-MCLR (ICICI)</v>
      </c>
      <c r="F45" s="818" t="n">
        <f aca="false">IFERROR('Facility Master'!Q46*10000,0)</f>
        <v>60</v>
      </c>
      <c r="G45" s="621" t="n">
        <f aca="false">IFERROR('Facility Master'!R46,0)</f>
        <v>0.087</v>
      </c>
      <c r="H45" s="849" t="str">
        <f aca="false">IFERROR('Facility Master'!S46,"")</f>
        <v>Floating</v>
      </c>
      <c r="I45" s="763" t="str">
        <f aca="false">IFERROR('Facility Master'!AE46,"")</f>
        <v>ICICI TL CAL 27-Mar-2026, Ref CAL504005729787</v>
      </c>
    </row>
    <row r="46" customFormat="false" ht="19.5" hidden="false" customHeight="true" outlineLevel="0" collapsed="false">
      <c r="A46" s="613" t="n">
        <f aca="false">IFERROR('Facility Master'!A47,"")</f>
        <v>43</v>
      </c>
      <c r="B46" s="821" t="s">
        <v>167</v>
      </c>
      <c r="C46" s="848" t="str">
        <f aca="false">IFERROR('Facility Master'!C47,"")</f>
        <v>BG Financial (sub of RTL)</v>
      </c>
      <c r="D46" s="613" t="str">
        <f aca="false">IFERROR('Facility Master'!I47,"")</f>
        <v>INR</v>
      </c>
      <c r="E46" s="763" t="str">
        <f aca="false">IFERROR('Facility Master'!P47,"")</f>
        <v>Fixed commission</v>
      </c>
      <c r="F46" s="818" t="n">
        <f aca="false">IFERROR('Facility Master'!Q47*10000,0)</f>
        <v>75</v>
      </c>
      <c r="G46" s="822" t="n">
        <f aca="false">IFERROR('Facility Master'!R47,0)</f>
        <v>0.0075</v>
      </c>
      <c r="H46" s="823" t="str">
        <f aca="false">IFERROR('Facility Master'!S47,"")</f>
        <v>Fixed</v>
      </c>
      <c r="I46" s="763" t="str">
        <f aca="false">IFERROR('Facility Master'!AE47,"")</f>
        <v>ICICI TL CAL 27-Mar-2026, Ref CAL504005729787</v>
      </c>
    </row>
    <row r="47" customFormat="false" ht="19.5" hidden="false" customHeight="true" outlineLevel="0" collapsed="false">
      <c r="A47" s="613" t="n">
        <f aca="false">IFERROR('Facility Master'!A48,"")</f>
        <v>44</v>
      </c>
      <c r="B47" s="821" t="s">
        <v>167</v>
      </c>
      <c r="C47" s="848" t="str">
        <f aca="false">IFERROR('Facility Master'!C48,"")</f>
        <v>SBLC Buyers Credit (sub of RTL)</v>
      </c>
      <c r="D47" s="613" t="str">
        <f aca="false">IFERROR('Facility Master'!I48,"")</f>
        <v>INR</v>
      </c>
      <c r="E47" s="763" t="str">
        <f aca="false">IFERROR('Facility Master'!P48,"")</f>
        <v>Fixed commission</v>
      </c>
      <c r="F47" s="818" t="n">
        <f aca="false">IFERROR('Facility Master'!Q48*10000,0)</f>
        <v>75</v>
      </c>
      <c r="G47" s="822" t="n">
        <f aca="false">IFERROR('Facility Master'!R48,0)</f>
        <v>0.0075</v>
      </c>
      <c r="H47" s="823" t="str">
        <f aca="false">IFERROR('Facility Master'!S48,"")</f>
        <v>Fixed</v>
      </c>
      <c r="I47" s="763" t="str">
        <f aca="false">IFERROR('Facility Master'!AE48,"")</f>
        <v>ICICI TL CAL 27-Mar-2026, Ref CAL504005729787</v>
      </c>
    </row>
    <row r="48" customFormat="false" ht="7.5" hidden="false" customHeight="true" outlineLevel="0" collapsed="false">
      <c r="A48" s="437"/>
      <c r="B48" s="437"/>
      <c r="C48" s="437"/>
      <c r="D48" s="437"/>
      <c r="E48" s="437"/>
      <c r="F48" s="437"/>
      <c r="G48" s="437"/>
      <c r="H48" s="437"/>
      <c r="I48" s="437"/>
    </row>
    <row r="49" customFormat="false" ht="25.5" hidden="false" customHeight="true" outlineLevel="0" collapsed="false">
      <c r="A49" s="412" t="s">
        <v>766</v>
      </c>
      <c r="B49" s="412"/>
      <c r="C49" s="412"/>
      <c r="D49" s="412"/>
      <c r="E49" s="412"/>
      <c r="F49" s="412"/>
      <c r="G49" s="412"/>
      <c r="H49" s="412"/>
      <c r="I49" s="412"/>
    </row>
    <row r="50" customFormat="false" ht="21.75" hidden="false" customHeight="true" outlineLevel="0" collapsed="false">
      <c r="A50" s="413" t="s">
        <v>153</v>
      </c>
      <c r="B50" s="457" t="s">
        <v>82</v>
      </c>
      <c r="C50" s="457" t="s">
        <v>371</v>
      </c>
      <c r="D50" s="413" t="s">
        <v>633</v>
      </c>
      <c r="E50" s="413" t="s">
        <v>767</v>
      </c>
      <c r="F50" s="413" t="s">
        <v>768</v>
      </c>
      <c r="G50" s="413" t="s">
        <v>385</v>
      </c>
      <c r="H50" s="413"/>
      <c r="I50" s="413"/>
    </row>
    <row r="51" customFormat="false" ht="21.75" hidden="false" customHeight="true" outlineLevel="0" collapsed="false">
      <c r="A51" s="850" t="s">
        <v>769</v>
      </c>
      <c r="B51" s="851" t="s">
        <v>770</v>
      </c>
      <c r="C51" s="851"/>
      <c r="D51" s="852" t="n">
        <f aca="false">'Interest Schedule'!C52</f>
        <v>4116</v>
      </c>
      <c r="E51" s="851"/>
      <c r="F51" s="851"/>
      <c r="G51" s="851"/>
      <c r="H51" s="851"/>
      <c r="I51" s="851"/>
    </row>
    <row r="52" customFormat="false" ht="21.75" hidden="false" customHeight="true" outlineLevel="0" collapsed="false">
      <c r="A52" s="850" t="s">
        <v>769</v>
      </c>
      <c r="B52" s="851" t="s">
        <v>771</v>
      </c>
      <c r="C52" s="851"/>
      <c r="D52" s="853" t="n">
        <f aca="false">'Interest Schedule'!D52</f>
        <v>376.611</v>
      </c>
      <c r="E52" s="851"/>
      <c r="F52" s="851"/>
      <c r="G52" s="851"/>
      <c r="H52" s="851"/>
      <c r="I52" s="851"/>
    </row>
    <row r="53" customFormat="false" ht="25.5" hidden="false" customHeight="true" outlineLevel="0" collapsed="false">
      <c r="A53" s="854" t="s">
        <v>751</v>
      </c>
      <c r="B53" s="412" t="s">
        <v>772</v>
      </c>
      <c r="C53" s="412"/>
      <c r="D53" s="412"/>
      <c r="E53" s="855" t="n">
        <f aca="false">'Interest Schedule'!C59</f>
        <v>0.0914992711370262</v>
      </c>
      <c r="F53" s="412"/>
      <c r="G53" s="412"/>
      <c r="H53" s="412"/>
      <c r="I53" s="412"/>
    </row>
    <row r="55" customFormat="false" ht="21.75" hidden="false" customHeight="true" outlineLevel="0" collapsed="false">
      <c r="A55" s="796" t="s">
        <v>773</v>
      </c>
      <c r="B55" s="796"/>
      <c r="C55" s="796"/>
      <c r="D55" s="796"/>
      <c r="E55" s="796"/>
      <c r="F55" s="796"/>
      <c r="G55" s="796"/>
      <c r="H55" s="796"/>
      <c r="I55" s="796"/>
    </row>
    <row r="56" customFormat="false" ht="18" hidden="false" customHeight="true" outlineLevel="0" collapsed="false">
      <c r="B56" s="856" t="s">
        <v>406</v>
      </c>
      <c r="C56" s="857" t="s">
        <v>774</v>
      </c>
      <c r="D56" s="607"/>
      <c r="E56" s="607"/>
      <c r="F56" s="607"/>
      <c r="G56" s="607"/>
      <c r="H56" s="607"/>
      <c r="I56" s="607"/>
    </row>
    <row r="57" customFormat="false" ht="18" hidden="false" customHeight="true" outlineLevel="0" collapsed="false">
      <c r="B57" s="858" t="s">
        <v>421</v>
      </c>
      <c r="C57" s="857" t="s">
        <v>775</v>
      </c>
      <c r="D57" s="607"/>
      <c r="E57" s="607"/>
      <c r="F57" s="607"/>
      <c r="G57" s="607"/>
      <c r="H57" s="607"/>
      <c r="I57" s="607"/>
    </row>
    <row r="58" customFormat="false" ht="18" hidden="false" customHeight="true" outlineLevel="0" collapsed="false">
      <c r="B58" s="859" t="s">
        <v>446</v>
      </c>
      <c r="C58" s="857" t="s">
        <v>776</v>
      </c>
      <c r="D58" s="607"/>
      <c r="E58" s="607"/>
      <c r="F58" s="607"/>
      <c r="G58" s="607"/>
      <c r="H58" s="607"/>
      <c r="I58" s="607"/>
    </row>
    <row r="59" customFormat="false" ht="14.25" hidden="true" customHeight="true" outlineLevel="0" collapsed="false"/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4" activeCellId="0" sqref="D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0.33"/>
    <col collapsed="false" customWidth="true" hidden="false" outlineLevel="0" max="2" min="2" style="1" width="88.89"/>
    <col collapsed="false" customWidth="true" hidden="false" outlineLevel="0" max="3" min="3" style="1" width="14.79"/>
    <col collapsed="false" customWidth="true" hidden="false" outlineLevel="0" max="4" min="4" style="1" width="29.66"/>
    <col collapsed="false" customWidth="true" hidden="false" outlineLevel="0" max="5" min="5" style="1" width="33.33"/>
    <col collapsed="false" customWidth="true" hidden="false" outlineLevel="0" max="6" min="6" style="1" width="59.22"/>
    <col collapsed="false" customWidth="true" hidden="true" outlineLevel="0" max="12" min="7" style="1" width="11.53"/>
  </cols>
  <sheetData>
    <row r="1" customFormat="false" ht="27.75" hidden="false" customHeight="true" outlineLevel="0" collapsed="false">
      <c r="A1" s="340" t="s">
        <v>777</v>
      </c>
      <c r="B1" s="340"/>
      <c r="C1" s="340"/>
      <c r="D1" s="340"/>
      <c r="E1" s="340"/>
      <c r="F1" s="340"/>
    </row>
    <row r="2" customFormat="false" ht="15.75" hidden="false" customHeight="true" outlineLevel="0" collapsed="false">
      <c r="A2" s="434" t="s">
        <v>778</v>
      </c>
      <c r="B2" s="434"/>
      <c r="C2" s="434"/>
      <c r="D2" s="434"/>
      <c r="E2" s="434"/>
      <c r="F2" s="434"/>
    </row>
    <row r="3" customFormat="false" ht="24" hidden="false" customHeight="true" outlineLevel="0" collapsed="false">
      <c r="A3" s="860" t="s">
        <v>82</v>
      </c>
      <c r="B3" s="861" t="s">
        <v>779</v>
      </c>
      <c r="C3" s="861" t="s">
        <v>83</v>
      </c>
      <c r="D3" s="860" t="s">
        <v>780</v>
      </c>
      <c r="E3" s="860" t="s">
        <v>781</v>
      </c>
      <c r="F3" s="860" t="s">
        <v>782</v>
      </c>
    </row>
    <row r="4" customFormat="false" ht="78" hidden="false" customHeight="true" outlineLevel="0" collapsed="false">
      <c r="A4" s="862" t="s">
        <v>87</v>
      </c>
      <c r="B4" s="863" t="n">
        <f aca="false">COUNTIFS('Facility Master'!B:B,"UBI",'Facility Master'!H:H,"&lt;&gt;0")</f>
        <v>3</v>
      </c>
      <c r="C4" s="864" t="n">
        <f aca="false">SUMIFS('Facility Master'!K:K,'Facility Master'!B:B,"UBI")-SUMIFS('Facility Master'!K:K,'Facility Master'!B:B,"UBI",'Facility Master'!D:D,"Hedge")</f>
        <v>2123.5</v>
      </c>
      <c r="D4" s="865" t="s">
        <v>783</v>
      </c>
      <c r="E4" s="866" t="s">
        <v>784</v>
      </c>
      <c r="F4" s="867" t="s">
        <v>785</v>
      </c>
    </row>
    <row r="5" customFormat="false" ht="78" hidden="false" customHeight="true" outlineLevel="0" collapsed="false">
      <c r="A5" s="868" t="s">
        <v>88</v>
      </c>
      <c r="B5" s="869" t="n">
        <f aca="false">COUNTIFS('Facility Master'!B:B,"Indian Bank",'Facility Master'!H:H,"&lt;&gt;0")</f>
        <v>1</v>
      </c>
      <c r="C5" s="870" t="n">
        <f aca="false">SUMIFS('Facility Master'!K:K,'Facility Master'!B:B,"Indian Bank")-SUMIFS('Facility Master'!K:K,'Facility Master'!B:B,"Indian Bank",'Facility Master'!D:D,"Hedge")</f>
        <v>235</v>
      </c>
      <c r="D5" s="871" t="s">
        <v>786</v>
      </c>
      <c r="E5" s="872" t="s">
        <v>787</v>
      </c>
      <c r="F5" s="873" t="s">
        <v>788</v>
      </c>
    </row>
    <row r="6" customFormat="false" ht="78" hidden="false" customHeight="true" outlineLevel="0" collapsed="false">
      <c r="A6" s="874" t="s">
        <v>89</v>
      </c>
      <c r="B6" s="875" t="n">
        <f aca="false">COUNTIFS('Facility Master'!B:B,"RBL Bank",'Facility Master'!H:H,"&lt;&gt;0")</f>
        <v>2</v>
      </c>
      <c r="C6" s="876" t="n">
        <f aca="false">SUMIFS('Facility Master'!K:K,'Facility Master'!B:B,"RBL Bank")-SUMIFS('Facility Master'!K:K,'Facility Master'!B:B,"RBL Bank",'Facility Master'!D:D,"Hedge")</f>
        <v>500</v>
      </c>
      <c r="D6" s="573" t="s">
        <v>789</v>
      </c>
      <c r="E6" s="877" t="s">
        <v>790</v>
      </c>
      <c r="F6" s="878" t="s">
        <v>791</v>
      </c>
    </row>
    <row r="7" customFormat="false" ht="78" hidden="false" customHeight="true" outlineLevel="0" collapsed="false">
      <c r="A7" s="862" t="s">
        <v>90</v>
      </c>
      <c r="B7" s="863" t="n">
        <f aca="false">COUNTIFS('Facility Master'!B:B,"YES Bank",'Facility Master'!H:H,"&lt;&gt;0")</f>
        <v>1</v>
      </c>
      <c r="C7" s="864" t="n">
        <f aca="false">SUMIFS('Facility Master'!K:K,'Facility Master'!B:B,"YES Bank")-SUMIFS('Facility Master'!K:K,'Facility Master'!B:B,"YES Bank",'Facility Master'!D:D,"Hedge")</f>
        <v>750</v>
      </c>
      <c r="D7" s="865" t="s">
        <v>792</v>
      </c>
      <c r="E7" s="866" t="s">
        <v>793</v>
      </c>
      <c r="F7" s="867" t="s">
        <v>794</v>
      </c>
    </row>
    <row r="8" customFormat="false" ht="78" hidden="false" customHeight="true" outlineLevel="0" collapsed="false">
      <c r="A8" s="868" t="s">
        <v>91</v>
      </c>
      <c r="B8" s="869" t="n">
        <f aca="false">COUNTIFS('Facility Master'!B:B,"IDFC First Bank",'Facility Master'!H:H,"&lt;&gt;0")</f>
        <v>1</v>
      </c>
      <c r="C8" s="870" t="n">
        <f aca="false">SUMIFS('Facility Master'!K:K,'Facility Master'!B:B,"IDFC First Bank")-SUMIFS('Facility Master'!K:K,'Facility Master'!B:B,"IDFC First Bank",'Facility Master'!D:D,"Hedge")</f>
        <v>1130</v>
      </c>
      <c r="D8" s="871" t="s">
        <v>795</v>
      </c>
      <c r="E8" s="872" t="s">
        <v>796</v>
      </c>
      <c r="F8" s="873" t="s">
        <v>797</v>
      </c>
    </row>
    <row r="9" customFormat="false" ht="78" hidden="false" customHeight="true" outlineLevel="0" collapsed="false">
      <c r="A9" s="862" t="s">
        <v>282</v>
      </c>
      <c r="B9" s="863" t="n">
        <f aca="false">COUNTIFS('Facility Master'!B:B,"ICICI Bank",'Facility Master'!H:H,"&lt;&gt;0")</f>
        <v>2</v>
      </c>
      <c r="C9" s="864" t="n">
        <f aca="false">SUMIFS('Facility Master'!K:K,'Facility Master'!B:B,"ICICI Bank")-SUMIFS('Facility Master'!K:K,'Facility Master'!B:B,"ICICI Bank",'Facility Master'!D:D,"Hedge")</f>
        <v>800</v>
      </c>
      <c r="D9" s="865" t="s">
        <v>792</v>
      </c>
      <c r="E9" s="866" t="s">
        <v>798</v>
      </c>
      <c r="F9" s="867" t="s">
        <v>799</v>
      </c>
    </row>
    <row r="10" customFormat="false" ht="78" hidden="false" customHeight="true" outlineLevel="0" collapsed="false">
      <c r="A10" s="879" t="s">
        <v>210</v>
      </c>
      <c r="B10" s="880" t="n">
        <f aca="false">COUNTIFS('Facility Master'!B:B,"HSBC",'Facility Master'!H:H,"&lt;&gt;0")</f>
        <v>1</v>
      </c>
      <c r="C10" s="881" t="n">
        <f aca="false">SUMIFS('Facility Master'!K:K,'Facility Master'!B:B,"HSBC")-SUMIFS('Facility Master'!K:K,'Facility Master'!B:B,"HSBC",'Facility Master'!D:D,"Hedge")</f>
        <v>757.572</v>
      </c>
      <c r="D10" s="554" t="s">
        <v>800</v>
      </c>
      <c r="E10" s="882" t="s">
        <v>801</v>
      </c>
      <c r="F10" s="883" t="s">
        <v>802</v>
      </c>
    </row>
    <row r="11" customFormat="false" ht="78" hidden="false" customHeight="true" outlineLevel="0" collapsed="false">
      <c r="A11" s="884" t="s">
        <v>94</v>
      </c>
      <c r="B11" s="869" t="n">
        <f aca="false">COUNTIFS('Facility Master'!B:B,"HDFC Bank",'Facility Master'!H:H,"&lt;&gt;0")</f>
        <v>2</v>
      </c>
      <c r="C11" s="870" t="n">
        <f aca="false">SUMIFS('Facility Master'!K:K,'Facility Master'!B:B,"HDFC Bank")-SUMIFS('Facility Master'!K:K,'Facility Master'!B:B,"HDFC Bank",'Facility Master'!D:D,"Hedge")</f>
        <v>1000</v>
      </c>
      <c r="D11" s="871" t="s">
        <v>803</v>
      </c>
      <c r="E11" s="885" t="s">
        <v>804</v>
      </c>
      <c r="F11" s="873" t="s">
        <v>805</v>
      </c>
    </row>
    <row r="12" customFormat="false" ht="78" hidden="false" customHeight="true" outlineLevel="0" collapsed="false">
      <c r="A12" s="886" t="s">
        <v>95</v>
      </c>
      <c r="B12" s="875" t="n">
        <f aca="false">COUNTIFS('Facility Master'!B:B,"ICICI Bank (TL)",'Facility Master'!H:H,"&lt;&gt;0")</f>
        <v>1</v>
      </c>
      <c r="C12" s="876" t="n">
        <f aca="false">SUMIFS('Facility Master'!K:K,'Facility Master'!B:B,"ICICI Bank (TL)")-SUMIFS('Facility Master'!K:K,'Facility Master'!B:B,"ICICI Bank (TL)",'Facility Master'!D:D,"Hedge")</f>
        <v>880</v>
      </c>
      <c r="D12" s="573" t="s">
        <v>803</v>
      </c>
      <c r="E12" s="887" t="s">
        <v>796</v>
      </c>
      <c r="F12" s="878" t="s">
        <v>806</v>
      </c>
    </row>
    <row r="13" customFormat="false" ht="9.75" hidden="false" customHeight="true" outlineLevel="0" collapsed="false">
      <c r="A13" s="437"/>
      <c r="B13" s="437"/>
      <c r="C13" s="437"/>
      <c r="D13" s="437"/>
      <c r="E13" s="437"/>
      <c r="F13" s="437"/>
    </row>
    <row r="14" customFormat="false" ht="24" hidden="false" customHeight="true" outlineLevel="0" collapsed="false">
      <c r="A14" s="412" t="s">
        <v>807</v>
      </c>
      <c r="B14" s="412"/>
      <c r="C14" s="412"/>
      <c r="D14" s="412"/>
      <c r="E14" s="412"/>
      <c r="F14" s="412"/>
    </row>
    <row r="15" customFormat="false" ht="30" hidden="false" customHeight="true" outlineLevel="0" collapsed="false">
      <c r="A15" s="888" t="s">
        <v>808</v>
      </c>
      <c r="B15" s="889" t="s">
        <v>809</v>
      </c>
      <c r="C15" s="890"/>
      <c r="D15" s="890"/>
      <c r="E15" s="890"/>
      <c r="F15" s="890"/>
    </row>
    <row r="16" customFormat="false" ht="30" hidden="false" customHeight="true" outlineLevel="0" collapsed="false">
      <c r="A16" s="891" t="s">
        <v>810</v>
      </c>
      <c r="B16" s="892" t="s">
        <v>811</v>
      </c>
      <c r="C16" s="893"/>
      <c r="D16" s="893"/>
      <c r="E16" s="893"/>
      <c r="F16" s="893"/>
    </row>
    <row r="17" customFormat="false" ht="30" hidden="false" customHeight="true" outlineLevel="0" collapsed="false">
      <c r="A17" s="891" t="s">
        <v>812</v>
      </c>
      <c r="B17" s="892" t="s">
        <v>813</v>
      </c>
      <c r="C17" s="893"/>
      <c r="D17" s="893"/>
      <c r="E17" s="893"/>
      <c r="F17" s="893"/>
    </row>
    <row r="18" customFormat="false" ht="30" hidden="false" customHeight="true" outlineLevel="0" collapsed="false">
      <c r="A18" s="894" t="s">
        <v>814</v>
      </c>
      <c r="B18" s="895" t="s">
        <v>815</v>
      </c>
      <c r="C18" s="896"/>
      <c r="D18" s="896"/>
      <c r="E18" s="896"/>
      <c r="F18" s="896"/>
    </row>
    <row r="19" customFormat="false" ht="30" hidden="false" customHeight="true" outlineLevel="0" collapsed="false">
      <c r="A19" s="897" t="s">
        <v>816</v>
      </c>
      <c r="B19" s="898" t="s">
        <v>817</v>
      </c>
      <c r="C19" s="611"/>
      <c r="D19" s="611"/>
      <c r="E19" s="611"/>
      <c r="F19" s="611"/>
    </row>
    <row r="20" customFormat="false" ht="14.25" hidden="true" customHeight="true" outlineLevel="0" collapsed="false"/>
    <row r="21" customFormat="false" ht="14.25" hidden="true" customHeight="true" outlineLevel="0" collapsed="false"/>
    <row r="22" customFormat="false" ht="14.25" hidden="true" customHeight="true" outlineLevel="0" collapsed="false"/>
    <row r="23" customFormat="false" ht="14.25" hidden="true" customHeight="true" outlineLevel="0" collapsed="false"/>
    <row r="24" customFormat="false" ht="14.25" hidden="true" customHeight="true" outlineLevel="0" collapsed="false"/>
    <row r="25" customFormat="false" ht="14.25" hidden="true" customHeight="true" outlineLevel="0" collapsed="false"/>
    <row r="26" customFormat="false" ht="14.25" hidden="true" customHeight="true" outlineLevel="0" collapsed="false"/>
    <row r="27" customFormat="false" ht="14.25" hidden="true" customHeight="true" outlineLevel="0" collapsed="false"/>
    <row r="28" customFormat="false" ht="14.25" hidden="true" customHeight="true" outlineLevel="0" collapsed="false"/>
    <row r="29" customFormat="false" ht="14.25" hidden="true" customHeight="true" outlineLevel="0" collapsed="false"/>
    <row r="30" customFormat="false" ht="14.25" hidden="true" customHeight="true" outlineLevel="0" collapsed="false"/>
    <row r="31" customFormat="false" ht="14.25" hidden="true" customHeight="true" outlineLevel="0" collapsed="false"/>
    <row r="32" customFormat="false" ht="14.25" hidden="true" customHeight="true" outlineLevel="0" collapsed="false"/>
    <row r="33" customFormat="false" ht="14.25" hidden="true" customHeight="true" outlineLevel="0" collapsed="false"/>
    <row r="34" customFormat="false" ht="14.25" hidden="true" customHeight="true" outlineLevel="0" collapsed="false"/>
    <row r="35" customFormat="false" ht="14.25" hidden="true" customHeight="true" outlineLevel="0" collapsed="false"/>
    <row r="36" customFormat="false" ht="14.25" hidden="true" customHeight="true" outlineLevel="0" collapsed="false"/>
    <row r="37" customFormat="false" ht="14.25" hidden="true" customHeight="true" outlineLevel="0" collapsed="false"/>
    <row r="38" customFormat="false" ht="14.25" hidden="true" customHeight="true" outlineLevel="0" collapsed="false"/>
    <row r="39" customFormat="false" ht="14.25" hidden="true" customHeight="true" outlineLevel="0" collapsed="false"/>
    <row r="40" customFormat="false" ht="14.25" hidden="true" customHeight="true" outlineLevel="0" collapsed="false"/>
    <row r="41" customFormat="false" ht="14.25" hidden="true" customHeight="true" outlineLevel="0" collapsed="false"/>
    <row r="42" customFormat="false" ht="14.25" hidden="true" customHeight="true" outlineLevel="0" collapsed="false"/>
    <row r="43" customFormat="false" ht="14.25" hidden="true" customHeight="true" outlineLevel="0" collapsed="false"/>
    <row r="44" customFormat="false" ht="14.25" hidden="true" customHeight="true" outlineLevel="0" collapsed="false"/>
    <row r="45" customFormat="false" ht="14.25" hidden="true" customHeight="true" outlineLevel="0" collapsed="false"/>
    <row r="46" customFormat="false" ht="14.25" hidden="true" customHeight="true" outlineLevel="0" collapsed="false"/>
    <row r="47" customFormat="false" ht="14.25" hidden="true" customHeight="true" outlineLevel="0" collapsed="false"/>
    <row r="48" customFormat="false" ht="14.25" hidden="true" customHeight="true" outlineLevel="0" collapsed="false"/>
    <row r="49" customFormat="false" ht="14.25" hidden="true" customHeight="true" outlineLevel="0" collapsed="false"/>
    <row r="50" customFormat="false" ht="14.25" hidden="true" customHeight="true" outlineLevel="0" collapsed="false"/>
    <row r="51" customFormat="false" ht="14.25" hidden="true" customHeight="true" outlineLevel="0" collapsed="false"/>
    <row r="52" customFormat="false" ht="14.25" hidden="true" customHeight="true" outlineLevel="0" collapsed="false"/>
    <row r="53" customFormat="false" ht="14.25" hidden="true" customHeight="true" outlineLevel="0" collapsed="false"/>
    <row r="54" customFormat="false" ht="14.25" hidden="true" customHeight="true" outlineLevel="0" collapsed="false"/>
    <row r="55" customFormat="false" ht="14.25" hidden="true" customHeight="true" outlineLevel="0" collapsed="false"/>
    <row r="56" customFormat="false" ht="14.25" hidden="true" customHeight="true" outlineLevel="0" collapsed="false"/>
    <row r="57" customFormat="false" ht="14.25" hidden="true" customHeight="true" outlineLevel="0" collapsed="false"/>
    <row r="58" customFormat="false" ht="14.25" hidden="true" customHeight="true" outlineLevel="0" collapsed="false"/>
    <row r="59" customFormat="false" ht="14.25" hidden="true" customHeight="true" outlineLevel="0" collapsed="false"/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J23" activeCellId="0" sqref="J2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18.56"/>
    <col collapsed="false" customWidth="true" hidden="false" outlineLevel="0" max="3" min="3" style="1" width="42.56"/>
    <col collapsed="false" customWidth="true" hidden="false" outlineLevel="0" max="5" min="4" style="1" width="14.79"/>
    <col collapsed="false" customWidth="true" hidden="false" outlineLevel="0" max="6" min="6" style="1" width="10.2"/>
    <col collapsed="false" customWidth="true" hidden="false" outlineLevel="0" max="7" min="7" style="1" width="18.56"/>
    <col collapsed="false" customWidth="true" hidden="false" outlineLevel="0" max="8" min="8" style="1" width="13.88"/>
    <col collapsed="false" customWidth="true" hidden="false" outlineLevel="0" max="9" min="9" style="1" width="18.56"/>
    <col collapsed="false" customWidth="true" hidden="true" outlineLevel="0" max="14" min="10" style="1" width="11.53"/>
  </cols>
  <sheetData>
    <row r="1" customFormat="false" ht="27.75" hidden="false" customHeight="true" outlineLevel="0" collapsed="false">
      <c r="A1" s="340" t="s">
        <v>818</v>
      </c>
      <c r="B1" s="340"/>
      <c r="C1" s="340"/>
      <c r="D1" s="340"/>
      <c r="E1" s="340"/>
      <c r="F1" s="340"/>
      <c r="G1" s="340"/>
      <c r="H1" s="340"/>
      <c r="I1" s="340"/>
    </row>
    <row r="2" customFormat="false" ht="15.75" hidden="false" customHeight="true" outlineLevel="0" collapsed="false">
      <c r="A2" s="434" t="s">
        <v>819</v>
      </c>
      <c r="B2" s="434"/>
      <c r="C2" s="434"/>
      <c r="D2" s="434"/>
      <c r="E2" s="434"/>
      <c r="F2" s="434"/>
      <c r="G2" s="434"/>
      <c r="H2" s="434"/>
      <c r="I2" s="434"/>
    </row>
    <row r="3" customFormat="false" ht="24" hidden="false" customHeight="true" outlineLevel="0" collapsed="false">
      <c r="A3" s="861" t="s">
        <v>153</v>
      </c>
      <c r="B3" s="860" t="s">
        <v>82</v>
      </c>
      <c r="C3" s="860" t="s">
        <v>371</v>
      </c>
      <c r="D3" s="861" t="s">
        <v>633</v>
      </c>
      <c r="E3" s="861" t="s">
        <v>737</v>
      </c>
      <c r="F3" s="861" t="s">
        <v>381</v>
      </c>
      <c r="G3" s="861" t="s">
        <v>158</v>
      </c>
      <c r="H3" s="861" t="s">
        <v>820</v>
      </c>
      <c r="I3" s="861" t="s">
        <v>821</v>
      </c>
    </row>
    <row r="4" customFormat="false" ht="19.5" hidden="false" customHeight="true" outlineLevel="0" collapsed="false">
      <c r="A4" s="742" t="n">
        <f aca="false">IFERROR('Facility Master'!A5,"")</f>
        <v>1</v>
      </c>
      <c r="B4" s="743" t="str">
        <f aca="false">IFERROR('Facility Master'!B5,"")</f>
        <v>UBI</v>
      </c>
      <c r="C4" s="744" t="str">
        <f aca="false">IFERROR('Facility Master'!C5,"")</f>
        <v>RTL-I (renewal)</v>
      </c>
      <c r="D4" s="746" t="n">
        <f aca="false">IFERROR('Facility Master'!K5,0)</f>
        <v>1125</v>
      </c>
      <c r="E4" s="746" t="n">
        <f aca="false">IFERROR('Facility Master'!M5,0)</f>
        <v>1125</v>
      </c>
      <c r="F4" s="899" t="n">
        <f aca="false">IFERROR('Facility Master'!N5,0)</f>
        <v>1</v>
      </c>
      <c r="G4" s="900" t="str">
        <f aca="false">IFERROR(IF(F4&gt;0.9,"High (&gt;90%)",IF(F4&gt;0.75,"Elevated (75-90%)",IF(F4&gt;0,"Normal","Unutilised"))),"")</f>
        <v>High (&gt;90%)</v>
      </c>
      <c r="H4" s="901" t="n">
        <f aca="false">IFERROR(IF('Facility Master'!D5="FB-Term",IF('Facility Master'!Z5="","-",'Facility Master'!Z5-AsOfDate),IF('Facility Master'!AB5="","-",'Facility Master'!AB5-AsOfDate)),"-")</f>
        <v>4706</v>
      </c>
      <c r="I4" s="902" t="str">
        <f aca="false">IFERROR(IF('Facility Master'!D5="FB-Term",IF('Facility Master'!Z5="","No Maturity",IF(H4&lt;=180,"Maturing (&lt;=180d)",IF(H4&lt;=365,"Maturing (&lt;=1yr)","TL — On Schedule"))),IF('Facility Master'!AB5="","No Validity",IF(H4&lt;=30,"Expiring (&lt;=30d)",IF(H4&lt;=60,"Due for Review (&lt;=60d)","OK")))),"")</f>
        <v>TL — On Schedule</v>
      </c>
    </row>
    <row r="5" customFormat="false" ht="19.5" hidden="false" customHeight="true" outlineLevel="0" collapsed="false">
      <c r="A5" s="623" t="n">
        <f aca="false">IFERROR('Facility Master'!A6,"")</f>
        <v>2</v>
      </c>
      <c r="B5" s="669" t="s">
        <v>167</v>
      </c>
      <c r="C5" s="625" t="str">
        <f aca="false">IFERROR('Facility Master'!C6,"")</f>
        <v>RTL-II (fresh)</v>
      </c>
      <c r="D5" s="627" t="n">
        <f aca="false">IFERROR('Facility Master'!K6,0)</f>
        <v>236</v>
      </c>
      <c r="E5" s="627" t="n">
        <f aca="false">IFERROR('Facility Master'!M6,0)</f>
        <v>236</v>
      </c>
      <c r="F5" s="628" t="n">
        <f aca="false">IFERROR('Facility Master'!N6,0)</f>
        <v>1</v>
      </c>
      <c r="G5" s="900" t="str">
        <f aca="false">IFERROR(IF(F5&gt;0.9,"High (&gt;90%)",IF(F5&gt;0.75,"Elevated (75-90%)",IF(F5&gt;0,"Normal","Unutilised"))),"")</f>
        <v>High (&gt;90%)</v>
      </c>
      <c r="H5" s="903" t="n">
        <f aca="false">IFERROR(IF('Facility Master'!D6="FB-Term",IF('Facility Master'!Z6="","-",'Facility Master'!Z6-AsOfDate),IF('Facility Master'!AB6="","-",'Facility Master'!AB6-AsOfDate)),"-")</f>
        <v>4706</v>
      </c>
      <c r="I5" s="902" t="str">
        <f aca="false">IFERROR(IF('Facility Master'!D6="FB-Term",IF('Facility Master'!Z6="","No Maturity",IF(H5&lt;=180,"Maturing (&lt;=180d)",IF(H5&lt;=365,"Maturing (&lt;=1yr)","TL — On Schedule"))),IF('Facility Master'!AB6="","No Validity",IF(H5&lt;=30,"Expiring (&lt;=30d)",IF(H5&lt;=60,"Due for Review (&lt;=60d)","OK")))),"")</f>
        <v>TL — On Schedule</v>
      </c>
    </row>
    <row r="6" customFormat="false" ht="19.5" hidden="false" customHeight="true" outlineLevel="0" collapsed="false">
      <c r="A6" s="633" t="n">
        <f aca="false">IFERROR('Facility Master'!A7,"")</f>
        <v>3</v>
      </c>
      <c r="B6" s="356" t="s">
        <v>167</v>
      </c>
      <c r="C6" s="357" t="str">
        <f aca="false">IFERROR('Facility Master'!C7,"")</f>
        <v>Letter of Credit (Capex LC/UPAS/SBLC)</v>
      </c>
      <c r="D6" s="635" t="n">
        <f aca="false">IFERROR('Facility Master'!K7,0)</f>
        <v>750</v>
      </c>
      <c r="E6" s="635" t="n">
        <f aca="false">IFERROR('Facility Master'!M7,0)</f>
        <v>750</v>
      </c>
      <c r="F6" s="636" t="n">
        <f aca="false">IFERROR('Facility Master'!N7,0)</f>
        <v>1</v>
      </c>
      <c r="G6" s="900" t="str">
        <f aca="false">IFERROR(IF(F6&gt;0.9,"High (&gt;90%)",IF(F6&gt;0.75,"Elevated (75-90%)",IF(F6&gt;0,"Normal","Unutilised"))),"")</f>
        <v>High (&gt;90%)</v>
      </c>
      <c r="H6" s="373" t="n">
        <f aca="false">IFERROR(IF('Facility Master'!D7="FB-Term",IF('Facility Master'!Z7="","-",'Facility Master'!Z7-AsOfDate),IF('Facility Master'!AB7="","-",'Facility Master'!AB7-AsOfDate)),"-")</f>
        <v>130</v>
      </c>
      <c r="I6" s="361" t="str">
        <f aca="false">IFERROR(IF('Facility Master'!D7="FB-Term",IF('Facility Master'!Z7="","No Maturity",IF(H6&lt;=180,"Maturing (&lt;=180d)",IF(H6&lt;=365,"Maturing (&lt;=1yr)","TL — On Schedule"))),IF('Facility Master'!AB7="","No Validity",IF(H6&lt;=30,"Expiring (&lt;=30d)",IF(H6&lt;=60,"Due for Review (&lt;=60d)","OK")))),"")</f>
        <v>OK</v>
      </c>
    </row>
    <row r="7" customFormat="false" ht="19.5" hidden="false" customHeight="true" outlineLevel="0" collapsed="false">
      <c r="A7" s="623" t="n">
        <f aca="false">IFERROR('Facility Master'!A8,"")</f>
        <v>4</v>
      </c>
      <c r="B7" s="669" t="s">
        <v>167</v>
      </c>
      <c r="C7" s="625" t="str">
        <f aca="false">IFERROR('Facility Master'!C8,"")</f>
        <v>Bank Guarantee</v>
      </c>
      <c r="D7" s="627" t="n">
        <f aca="false">IFERROR('Facility Master'!K8,0)</f>
        <v>12.5</v>
      </c>
      <c r="E7" s="627" t="n">
        <f aca="false">IFERROR('Facility Master'!M8,0)</f>
        <v>12.5</v>
      </c>
      <c r="F7" s="628" t="n">
        <f aca="false">IFERROR('Facility Master'!N8,0)</f>
        <v>1</v>
      </c>
      <c r="G7" s="900" t="str">
        <f aca="false">IFERROR(IF(F7&gt;0.9,"High (&gt;90%)",IF(F7&gt;0.75,"Elevated (75-90%)",IF(F7&gt;0,"Normal","Unutilised"))),"")</f>
        <v>High (&gt;90%)</v>
      </c>
      <c r="H7" s="805" t="n">
        <f aca="false">IFERROR(IF('Facility Master'!D8="FB-Term",IF('Facility Master'!Z8="","-",'Facility Master'!Z8-AsOfDate),IF('Facility Master'!AB8="","-",'Facility Master'!AB8-AsOfDate)),"-")</f>
        <v>130</v>
      </c>
      <c r="I7" s="361" t="str">
        <f aca="false">IFERROR(IF('Facility Master'!D8="FB-Term",IF('Facility Master'!Z8="","No Maturity",IF(H7&lt;=180,"Maturing (&lt;=180d)",IF(H7&lt;=365,"Maturing (&lt;=1yr)","TL — On Schedule"))),IF('Facility Master'!AB8="","No Validity",IF(H7&lt;=30,"Expiring (&lt;=30d)",IF(H7&lt;=60,"Due for Review (&lt;=60d)","OK")))),"")</f>
        <v>OK</v>
      </c>
    </row>
    <row r="8" customFormat="false" ht="19.5" hidden="false" customHeight="true" outlineLevel="0" collapsed="false">
      <c r="A8" s="633" t="n">
        <f aca="false">IFERROR('Facility Master'!A9,"")</f>
        <v>5</v>
      </c>
      <c r="B8" s="356" t="s">
        <v>167</v>
      </c>
      <c r="C8" s="357" t="str">
        <f aca="false">IFERROR('Facility Master'!C9,"")</f>
        <v>Forward Contract (credit equivalent)</v>
      </c>
      <c r="D8" s="635" t="n">
        <f aca="false">IFERROR('Facility Master'!K9,0)</f>
        <v>75</v>
      </c>
      <c r="E8" s="635" t="n">
        <f aca="false">IFERROR('Facility Master'!M9,0)</f>
        <v>75</v>
      </c>
      <c r="F8" s="636" t="n">
        <f aca="false">IFERROR('Facility Master'!N9,0)</f>
        <v>1</v>
      </c>
      <c r="G8" s="900" t="str">
        <f aca="false">IFERROR(IF(F8&gt;0.9,"High (&gt;90%)",IF(F8&gt;0.75,"Elevated (75-90%)",IF(F8&gt;0,"Normal","Unutilised"))),"")</f>
        <v>High (&gt;90%)</v>
      </c>
      <c r="H8" s="373" t="n">
        <f aca="false">IFERROR(IF('Facility Master'!D9="FB-Term",IF('Facility Master'!Z9="","-",'Facility Master'!Z9-AsOfDate),IF('Facility Master'!AB9="","-",'Facility Master'!AB9-AsOfDate)),"-")</f>
        <v>130</v>
      </c>
      <c r="I8" s="361" t="str">
        <f aca="false">IFERROR(IF('Facility Master'!D9="FB-Term",IF('Facility Master'!Z9="","No Maturity",IF(H8&lt;=180,"Maturing (&lt;=180d)",IF(H8&lt;=365,"Maturing (&lt;=1yr)","TL — On Schedule"))),IF('Facility Master'!AB9="","No Validity",IF(H8&lt;=30,"Expiring (&lt;=30d)",IF(H8&lt;=60,"Due for Review (&lt;=60d)","OK")))),"")</f>
        <v>OK</v>
      </c>
    </row>
    <row r="9" customFormat="false" ht="19.5" hidden="false" customHeight="true" outlineLevel="0" collapsed="false">
      <c r="A9" s="754" t="n">
        <f aca="false">IFERROR('Facility Master'!A10,"")</f>
        <v>6</v>
      </c>
      <c r="B9" s="755" t="str">
        <f aca="false">IFERROR('Facility Master'!B10,"")</f>
        <v>Indian Bank</v>
      </c>
      <c r="C9" s="756" t="str">
        <f aca="false">IFERROR('Facility Master'!C10,"")</f>
        <v>Term Loan (per amendment ticket)</v>
      </c>
      <c r="D9" s="758" t="n">
        <f aca="false">IFERROR('Facility Master'!K10,0)</f>
        <v>235</v>
      </c>
      <c r="E9" s="758" t="n">
        <f aca="false">IFERROR('Facility Master'!M10,0)</f>
        <v>235</v>
      </c>
      <c r="F9" s="904" t="n">
        <f aca="false">IFERROR('Facility Master'!N10,0)</f>
        <v>1</v>
      </c>
      <c r="G9" s="900" t="str">
        <f aca="false">IFERROR(IF(F9&gt;0.9,"High (&gt;90%)",IF(F9&gt;0.75,"Elevated (75-90%)",IF(F9&gt;0,"Normal","Unutilised"))),"")</f>
        <v>High (&gt;90%)</v>
      </c>
      <c r="H9" s="905" t="n">
        <f aca="false">IFERROR(IF('Facility Master'!D10="FB-Term",IF('Facility Master'!Z10="","-",'Facility Master'!Z10-AsOfDate),IF('Facility Master'!AB10="","-",'Facility Master'!AB10-AsOfDate)),"-")</f>
        <v>4616</v>
      </c>
      <c r="I9" s="902" t="str">
        <f aca="false">IFERROR(IF('Facility Master'!D10="FB-Term",IF('Facility Master'!Z10="","No Maturity",IF(H9&lt;=180,"Maturing (&lt;=180d)",IF(H9&lt;=365,"Maturing (&lt;=1yr)","TL — On Schedule"))),IF('Facility Master'!AB10="","No Validity",IF(H9&lt;=30,"Expiring (&lt;=30d)",IF(H9&lt;=60,"Due for Review (&lt;=60d)","OK")))),"")</f>
        <v>TL — On Schedule</v>
      </c>
    </row>
    <row r="10" customFormat="false" ht="19.5" hidden="false" customHeight="true" outlineLevel="0" collapsed="false">
      <c r="A10" s="613" t="n">
        <f aca="false">IFERROR('Facility Master'!A11,"")</f>
        <v>7</v>
      </c>
      <c r="B10" s="614" t="str">
        <f aca="false">IFERROR('Facility Master'!B11,"")</f>
        <v>RBL Bank</v>
      </c>
      <c r="C10" s="615" t="str">
        <f aca="false">IFERROR('Facility Master'!C11,"")</f>
        <v>Term Loan (12-month bullet bridge)</v>
      </c>
      <c r="D10" s="617" t="n">
        <f aca="false">IFERROR('Facility Master'!K11,0)</f>
        <v>200</v>
      </c>
      <c r="E10" s="617" t="n">
        <f aca="false">IFERROR('Facility Master'!M11,0)</f>
        <v>200</v>
      </c>
      <c r="F10" s="618" t="n">
        <f aca="false">IFERROR('Facility Master'!N11,0)</f>
        <v>1</v>
      </c>
      <c r="G10" s="900" t="str">
        <f aca="false">IFERROR(IF(F10&gt;0.9,"High (&gt;90%)",IF(F10&gt;0.75,"Elevated (75-90%)",IF(F10&gt;0,"Normal","Unutilised"))),"")</f>
        <v>High (&gt;90%)</v>
      </c>
      <c r="H10" s="818" t="n">
        <f aca="false">IFERROR(IF('Facility Master'!D11="FB-Term",IF('Facility Master'!Z11="","-",'Facility Master'!Z11-AsOfDate),IF('Facility Master'!AB11="","-",'Facility Master'!AB11-AsOfDate)),"-")</f>
        <v>185</v>
      </c>
      <c r="I10" s="906" t="str">
        <f aca="false">IFERROR(IF('Facility Master'!D11="FB-Term",IF('Facility Master'!Z11="","No Maturity",IF(H10&lt;=180,"Maturing (&lt;=180d)",IF(H10&lt;=365,"Maturing (&lt;=1yr)","TL — On Schedule"))),IF('Facility Master'!AB11="","No Validity",IF(H10&lt;=30,"Expiring (&lt;=30d)",IF(H10&lt;=60,"Due for Review (&lt;=60d)","OK")))),"")</f>
        <v>Maturing (&lt;=1yr)</v>
      </c>
    </row>
    <row r="11" customFormat="false" ht="19.5" hidden="false" customHeight="true" outlineLevel="0" collapsed="false">
      <c r="A11" s="613" t="n">
        <f aca="false">IFERROR('Facility Master'!A12,"")</f>
        <v>8</v>
      </c>
      <c r="B11" s="672" t="s">
        <v>167</v>
      </c>
      <c r="C11" s="615" t="str">
        <f aca="false">IFERROR('Facility Master'!C12,"")</f>
        <v>Letter of Credit (sub-limit of TL)</v>
      </c>
      <c r="D11" s="617" t="n">
        <f aca="false">IFERROR('Facility Master'!K12,0)</f>
        <v>200</v>
      </c>
      <c r="E11" s="617" t="n">
        <f aca="false">IFERROR('Facility Master'!M12,0)</f>
        <v>200</v>
      </c>
      <c r="F11" s="618" t="n">
        <f aca="false">IFERROR('Facility Master'!N12,0)</f>
        <v>1</v>
      </c>
      <c r="G11" s="900" t="str">
        <f aca="false">IFERROR(IF(F11&gt;0.9,"High (&gt;90%)",IF(F11&gt;0.75,"Elevated (75-90%)",IF(F11&gt;0,"Normal","Unutilised"))),"")</f>
        <v>High (&gt;90%)</v>
      </c>
      <c r="H11" s="818" t="n">
        <f aca="false">IFERROR(IF('Facility Master'!D12="FB-Term",IF('Facility Master'!Z12="","-",'Facility Master'!Z12-AsOfDate),IF('Facility Master'!AB12="","-",'Facility Master'!AB12-AsOfDate)),"-")</f>
        <v>111</v>
      </c>
      <c r="I11" s="361" t="str">
        <f aca="false">IFERROR(IF('Facility Master'!D12="FB-Term",IF('Facility Master'!Z12="","No Maturity",IF(H11&lt;=180,"Maturing (&lt;=180d)",IF(H11&lt;=365,"Maturing (&lt;=1yr)","TL — On Schedule"))),IF('Facility Master'!AB12="","No Validity",IF(H11&lt;=30,"Expiring (&lt;=30d)",IF(H11&lt;=60,"Due for Review (&lt;=60d)","OK")))),"")</f>
        <v>OK</v>
      </c>
    </row>
    <row r="12" customFormat="false" ht="19.5" hidden="false" customHeight="true" outlineLevel="0" collapsed="false">
      <c r="A12" s="633" t="n">
        <f aca="false">IFERROR('Facility Master'!A13,"")</f>
        <v>9</v>
      </c>
      <c r="B12" s="356" t="s">
        <v>167</v>
      </c>
      <c r="C12" s="357" t="str">
        <f aca="false">IFERROR('Facility Master'!C13,"")</f>
        <v>FDOD (Overdraft against FD)</v>
      </c>
      <c r="D12" s="635" t="n">
        <f aca="false">IFERROR('Facility Master'!K13,0)</f>
        <v>100</v>
      </c>
      <c r="E12" s="635" t="n">
        <f aca="false">IFERROR('Facility Master'!M13,0)</f>
        <v>100</v>
      </c>
      <c r="F12" s="636" t="n">
        <f aca="false">IFERROR('Facility Master'!N13,0)</f>
        <v>1</v>
      </c>
      <c r="G12" s="900" t="str">
        <f aca="false">IFERROR(IF(F12&gt;0.9,"High (&gt;90%)",IF(F12&gt;0.75,"Elevated (75-90%)",IF(F12&gt;0,"Normal","Unutilised"))),"")</f>
        <v>High (&gt;90%)</v>
      </c>
      <c r="H12" s="373" t="n">
        <f aca="false">IFERROR(IF('Facility Master'!D13="FB-Term",IF('Facility Master'!Z13="","-",'Facility Master'!Z13-AsOfDate),IF('Facility Master'!AB13="","-",'Facility Master'!AB13-AsOfDate)),"-")</f>
        <v>111</v>
      </c>
      <c r="I12" s="361" t="str">
        <f aca="false">IFERROR(IF('Facility Master'!D13="FB-Term",IF('Facility Master'!Z13="","No Maturity",IF(H12&lt;=180,"Maturing (&lt;=180d)",IF(H12&lt;=365,"Maturing (&lt;=1yr)","TL — On Schedule"))),IF('Facility Master'!AB13="","No Validity",IF(H12&lt;=30,"Expiring (&lt;=30d)",IF(H12&lt;=60,"Due for Review (&lt;=60d)","OK")))),"")</f>
        <v>OK</v>
      </c>
    </row>
    <row r="13" customFormat="false" ht="19.5" hidden="false" customHeight="true" outlineLevel="0" collapsed="false">
      <c r="A13" s="742" t="n">
        <f aca="false">IFERROR('Facility Master'!A14,"")</f>
        <v>10</v>
      </c>
      <c r="B13" s="743" t="str">
        <f aca="false">IFERROR('Facility Master'!B14,"")</f>
        <v>YES Bank</v>
      </c>
      <c r="C13" s="744" t="str">
        <f aca="false">IFERROR('Facility Master'!C14,"")</f>
        <v>Term Loan (project, new consortium joiner)</v>
      </c>
      <c r="D13" s="746" t="n">
        <f aca="false">IFERROR('Facility Master'!K14,0)</f>
        <v>650</v>
      </c>
      <c r="E13" s="746" t="n">
        <f aca="false">IFERROR('Facility Master'!M14,0)</f>
        <v>650</v>
      </c>
      <c r="F13" s="899" t="n">
        <f aca="false">IFERROR('Facility Master'!N14,0)</f>
        <v>1</v>
      </c>
      <c r="G13" s="900" t="str">
        <f aca="false">IFERROR(IF(F13&gt;0.9,"High (&gt;90%)",IF(F13&gt;0.75,"Elevated (75-90%)",IF(F13&gt;0,"Normal","Unutilised"))),"")</f>
        <v>High (&gt;90%)</v>
      </c>
      <c r="H13" s="901" t="n">
        <f aca="false">IFERROR(IF('Facility Master'!D14="FB-Term",IF('Facility Master'!Z14="","-",'Facility Master'!Z14-AsOfDate),IF('Facility Master'!AB14="","-",'Facility Master'!AB14-AsOfDate)),"-")</f>
        <v>4706</v>
      </c>
      <c r="I13" s="902" t="str">
        <f aca="false">IFERROR(IF('Facility Master'!D14="FB-Term",IF('Facility Master'!Z14="","No Maturity",IF(H13&lt;=180,"Maturing (&lt;=180d)",IF(H13&lt;=365,"Maturing (&lt;=1yr)","TL — On Schedule"))),IF('Facility Master'!AB14="","No Validity",IF(H13&lt;=30,"Expiring (&lt;=30d)",IF(H13&lt;=60,"Due for Review (&lt;=60d)","OK")))),"")</f>
        <v>TL — On Schedule</v>
      </c>
    </row>
    <row r="14" customFormat="false" ht="19.5" hidden="false" customHeight="true" outlineLevel="0" collapsed="false">
      <c r="A14" s="633" t="n">
        <f aca="false">IFERROR('Facility Master'!A15,"")</f>
        <v>11</v>
      </c>
      <c r="B14" s="356" t="s">
        <v>167</v>
      </c>
      <c r="C14" s="357" t="str">
        <f aca="false">IFERROR('Facility Master'!C15,"")</f>
        <v>Capex LC (sub-limit of TL)</v>
      </c>
      <c r="D14" s="635" t="n">
        <f aca="false">IFERROR('Facility Master'!K15,0)</f>
        <v>100</v>
      </c>
      <c r="E14" s="635" t="n">
        <f aca="false">IFERROR('Facility Master'!M15,0)</f>
        <v>100</v>
      </c>
      <c r="F14" s="636" t="n">
        <f aca="false">IFERROR('Facility Master'!N15,0)</f>
        <v>1</v>
      </c>
      <c r="G14" s="900" t="str">
        <f aca="false">IFERROR(IF(F14&gt;0.9,"High (&gt;90%)",IF(F14&gt;0.75,"Elevated (75-90%)",IF(F14&gt;0,"Normal","Unutilised"))),"")</f>
        <v>High (&gt;90%)</v>
      </c>
      <c r="H14" s="907" t="n">
        <f aca="false">IFERROR(IF('Facility Master'!D15="FB-Term",IF('Facility Master'!Z15="","-",'Facility Master'!Z15-AsOfDate),IF('Facility Master'!AB15="","-",'Facility Master'!AB15-AsOfDate)),"-")</f>
        <v>962</v>
      </c>
      <c r="I14" s="908" t="str">
        <f aca="false">IFERROR(IF('Facility Master'!D15="FB-Term",IF('Facility Master'!Z15="","No Maturity",IF(H14&lt;=180,"Maturing (&lt;=180d)",IF(H14&lt;=365,"Maturing (&lt;=1yr)","TL — On Schedule"))),IF('Facility Master'!AB15="","No Validity",IF(H14&lt;=30,"Expiring (&lt;=30d)",IF(H14&lt;=60,"Due for Review (&lt;=60d)","OK")))),"")</f>
        <v>OK</v>
      </c>
    </row>
    <row r="15" customFormat="false" ht="19.5" hidden="false" customHeight="true" outlineLevel="0" collapsed="false">
      <c r="A15" s="754" t="n">
        <f aca="false">IFERROR('Facility Master'!A16,"")</f>
        <v>12</v>
      </c>
      <c r="B15" s="755" t="str">
        <f aca="false">IFERROR('Facility Master'!B16,"")</f>
        <v>IDFC First Bank</v>
      </c>
      <c r="C15" s="756" t="str">
        <f aca="false">IFERROR('Facility Master'!C16,"")</f>
        <v>RTL (project, new consortium joiner)</v>
      </c>
      <c r="D15" s="758" t="n">
        <f aca="false">IFERROR('Facility Master'!K16,0)</f>
        <v>530</v>
      </c>
      <c r="E15" s="758" t="n">
        <f aca="false">IFERROR('Facility Master'!M16,0)</f>
        <v>530</v>
      </c>
      <c r="F15" s="904" t="n">
        <f aca="false">IFERROR('Facility Master'!N16,0)</f>
        <v>1</v>
      </c>
      <c r="G15" s="900" t="str">
        <f aca="false">IFERROR(IF(F15&gt;0.9,"High (&gt;90%)",IF(F15&gt;0.75,"Elevated (75-90%)",IF(F15&gt;0,"Normal","Unutilised"))),"")</f>
        <v>High (&gt;90%)</v>
      </c>
      <c r="H15" s="905" t="n">
        <f aca="false">IFERROR(IF('Facility Master'!D16="FB-Term",IF('Facility Master'!Z16="","-",'Facility Master'!Z16-AsOfDate),IF('Facility Master'!AB16="","-",'Facility Master'!AB16-AsOfDate)),"-")</f>
        <v>4706</v>
      </c>
      <c r="I15" s="902" t="str">
        <f aca="false">IFERROR(IF('Facility Master'!D16="FB-Term",IF('Facility Master'!Z16="","No Maturity",IF(H15&lt;=180,"Maturing (&lt;=180d)",IF(H15&lt;=365,"Maturing (&lt;=1yr)","TL — On Schedule"))),IF('Facility Master'!AB16="","No Validity",IF(H15&lt;=30,"Expiring (&lt;=30d)",IF(H15&lt;=60,"Due for Review (&lt;=60d)","OK")))),"")</f>
        <v>TL — On Schedule</v>
      </c>
    </row>
    <row r="16" customFormat="false" ht="19.5" hidden="false" customHeight="true" outlineLevel="0" collapsed="false">
      <c r="A16" s="633" t="n">
        <f aca="false">IFERROR('Facility Master'!A17,"")</f>
        <v>13</v>
      </c>
      <c r="B16" s="356" t="s">
        <v>167</v>
      </c>
      <c r="C16" s="357" t="str">
        <f aca="false">IFERROR('Facility Master'!C17,"")</f>
        <v>NFB — Capex LC/SBLC (A)</v>
      </c>
      <c r="D16" s="635" t="n">
        <f aca="false">IFERROR('Facility Master'!K17,0)</f>
        <v>400</v>
      </c>
      <c r="E16" s="635" t="n">
        <f aca="false">IFERROR('Facility Master'!M17,0)</f>
        <v>400</v>
      </c>
      <c r="F16" s="636" t="n">
        <f aca="false">IFERROR('Facility Master'!N17,0)</f>
        <v>1</v>
      </c>
      <c r="G16" s="900" t="str">
        <f aca="false">IFERROR(IF(F16&gt;0.9,"High (&gt;90%)",IF(F16&gt;0.75,"Elevated (75-90%)",IF(F16&gt;0,"Normal","Unutilised"))),"")</f>
        <v>High (&gt;90%)</v>
      </c>
      <c r="H16" s="373" t="n">
        <f aca="false">IFERROR(IF('Facility Master'!D17="FB-Term",IF('Facility Master'!Z17="","-",'Facility Master'!Z17-AsOfDate),IF('Facility Master'!AB17="","-",'Facility Master'!AB17-AsOfDate)),"-")</f>
        <v>141</v>
      </c>
      <c r="I16" s="361" t="str">
        <f aca="false">IFERROR(IF('Facility Master'!D17="FB-Term",IF('Facility Master'!Z17="","No Maturity",IF(H16&lt;=180,"Maturing (&lt;=180d)",IF(H16&lt;=365,"Maturing (&lt;=1yr)","TL — On Schedule"))),IF('Facility Master'!AB17="","No Validity",IF(H16&lt;=30,"Expiring (&lt;=30d)",IF(H16&lt;=60,"Due for Review (&lt;=60d)","OK")))),"")</f>
        <v>OK</v>
      </c>
    </row>
    <row r="17" customFormat="false" ht="19.5" hidden="false" customHeight="true" outlineLevel="0" collapsed="false">
      <c r="A17" s="764" t="n">
        <f aca="false">IFERROR('Facility Master'!A18,"")</f>
        <v>14</v>
      </c>
      <c r="B17" s="765" t="s">
        <v>167</v>
      </c>
      <c r="C17" s="766" t="str">
        <f aca="false">IFERROR('Facility Master'!C18,"")</f>
        <v>NFB — BG / SBLC (B, sub-limit within ₹400 cap)</v>
      </c>
      <c r="D17" s="768" t="n">
        <f aca="false">IFERROR('Facility Master'!K18,0)</f>
        <v>200</v>
      </c>
      <c r="E17" s="768" t="n">
        <f aca="false">IFERROR('Facility Master'!M18,0)</f>
        <v>200</v>
      </c>
      <c r="F17" s="909" t="n">
        <f aca="false">IFERROR('Facility Master'!N18,0)</f>
        <v>1</v>
      </c>
      <c r="G17" s="900" t="str">
        <f aca="false">IFERROR(IF(F17&gt;0.9,"High (&gt;90%)",IF(F17&gt;0.75,"Elevated (75-90%)",IF(F17&gt;0,"Normal","Unutilised"))),"")</f>
        <v>High (&gt;90%)</v>
      </c>
      <c r="H17" s="827" t="n">
        <f aca="false">IFERROR(IF('Facility Master'!D18="FB-Term",IF('Facility Master'!Z18="","-",'Facility Master'!Z18-AsOfDate),IF('Facility Master'!AB18="","-",'Facility Master'!AB18-AsOfDate)),"-")</f>
        <v>141</v>
      </c>
      <c r="I17" s="361" t="str">
        <f aca="false">IFERROR(IF('Facility Master'!D18="FB-Term",IF('Facility Master'!Z18="","No Maturity",IF(H17&lt;=180,"Maturing (&lt;=180d)",IF(H17&lt;=365,"Maturing (&lt;=1yr)","TL — On Schedule"))),IF('Facility Master'!AB18="","No Validity",IF(H17&lt;=30,"Expiring (&lt;=30d)",IF(H17&lt;=60,"Due for Review (&lt;=60d)","OK")))),"")</f>
        <v>OK</v>
      </c>
    </row>
    <row r="18" customFormat="false" ht="19.5" hidden="false" customHeight="true" outlineLevel="0" collapsed="false">
      <c r="A18" s="742" t="n">
        <f aca="false">IFERROR('Facility Master'!A19,"")</f>
        <v>15</v>
      </c>
      <c r="B18" s="743" t="str">
        <f aca="false">IFERROR('Facility Master'!B19,"")</f>
        <v>ICICI Bank</v>
      </c>
      <c r="C18" s="744" t="str">
        <f aca="false">IFERROR('Facility Master'!C19,"")</f>
        <v>Cash Credit (WC)</v>
      </c>
      <c r="D18" s="746" t="n">
        <f aca="false">IFERROR('Facility Master'!K19,0)</f>
        <v>100</v>
      </c>
      <c r="E18" s="746" t="n">
        <f aca="false">IFERROR('Facility Master'!M19,0)</f>
        <v>100</v>
      </c>
      <c r="F18" s="899" t="n">
        <f aca="false">IFERROR('Facility Master'!N19,0)</f>
        <v>1</v>
      </c>
      <c r="G18" s="900" t="str">
        <f aca="false">IFERROR(IF(F18&gt;0.9,"High (&gt;90%)",IF(F18&gt;0.75,"Elevated (75-90%)",IF(F18&gt;0,"Normal","Unutilised"))),"")</f>
        <v>High (&gt;90%)</v>
      </c>
      <c r="H18" s="802" t="n">
        <f aca="false">IFERROR(IF('Facility Master'!D19="FB-Term",IF('Facility Master'!Z19="","-",'Facility Master'!Z19-AsOfDate),IF('Facility Master'!AB19="","-",'Facility Master'!AB19-AsOfDate)),"-")</f>
        <v>267</v>
      </c>
      <c r="I18" s="361" t="str">
        <f aca="false">IFERROR(IF('Facility Master'!D19="FB-Term",IF('Facility Master'!Z19="","No Maturity",IF(H18&lt;=180,"Maturing (&lt;=180d)",IF(H18&lt;=365,"Maturing (&lt;=1yr)","TL — On Schedule"))),IF('Facility Master'!AB19="","No Validity",IF(H18&lt;=30,"Expiring (&lt;=30d)",IF(H18&lt;=60,"Due for Review (&lt;=60d)","OK")))),"")</f>
        <v>OK</v>
      </c>
    </row>
    <row r="19" customFormat="false" ht="19.5" hidden="false" customHeight="true" outlineLevel="0" collapsed="false">
      <c r="A19" s="623" t="n">
        <f aca="false">IFERROR('Facility Master'!A20,"")</f>
        <v>16</v>
      </c>
      <c r="B19" s="669" t="s">
        <v>167</v>
      </c>
      <c r="C19" s="625" t="str">
        <f aca="false">IFERROR('Facility Master'!C20,"")</f>
        <v>WCDL (sub-limit of CC)</v>
      </c>
      <c r="D19" s="627" t="n">
        <f aca="false">IFERROR('Facility Master'!K20,0)</f>
        <v>100</v>
      </c>
      <c r="E19" s="627" t="n">
        <f aca="false">IFERROR('Facility Master'!M20,0)</f>
        <v>100</v>
      </c>
      <c r="F19" s="628" t="n">
        <f aca="false">IFERROR('Facility Master'!N20,0)</f>
        <v>1</v>
      </c>
      <c r="G19" s="900" t="str">
        <f aca="false">IFERROR(IF(F19&gt;0.9,"High (&gt;90%)",IF(F19&gt;0.75,"Elevated (75-90%)",IF(F19&gt;0,"Normal","Unutilised"))),"")</f>
        <v>High (&gt;90%)</v>
      </c>
      <c r="H19" s="805" t="n">
        <f aca="false">IFERROR(IF('Facility Master'!D20="FB-Term",IF('Facility Master'!Z20="","-",'Facility Master'!Z20-AsOfDate),IF('Facility Master'!AB20="","-",'Facility Master'!AB20-AsOfDate)),"-")</f>
        <v>267</v>
      </c>
      <c r="I19" s="361" t="str">
        <f aca="false">IFERROR(IF('Facility Master'!D20="FB-Term",IF('Facility Master'!Z20="","No Maturity",IF(H19&lt;=180,"Maturing (&lt;=180d)",IF(H19&lt;=365,"Maturing (&lt;=1yr)","TL — On Schedule"))),IF('Facility Master'!AB20="","No Validity",IF(H19&lt;=30,"Expiring (&lt;=30d)",IF(H19&lt;=60,"Due for Review (&lt;=60d)","OK")))),"")</f>
        <v>OK</v>
      </c>
    </row>
    <row r="20" customFormat="false" ht="19.5" hidden="false" customHeight="true" outlineLevel="0" collapsed="false">
      <c r="A20" s="633" t="n">
        <f aca="false">IFERROR('Facility Master'!A21,"")</f>
        <v>17</v>
      </c>
      <c r="B20" s="356" t="s">
        <v>167</v>
      </c>
      <c r="C20" s="357" t="str">
        <f aca="false">IFERROR('Facility Master'!C21,"")</f>
        <v>Letter of Credit (WC)</v>
      </c>
      <c r="D20" s="635" t="n">
        <f aca="false">IFERROR('Facility Master'!K21,0)</f>
        <v>300</v>
      </c>
      <c r="E20" s="635" t="n">
        <f aca="false">IFERROR('Facility Master'!M21,0)</f>
        <v>300</v>
      </c>
      <c r="F20" s="636" t="n">
        <f aca="false">IFERROR('Facility Master'!N21,0)</f>
        <v>1</v>
      </c>
      <c r="G20" s="900" t="str">
        <f aca="false">IFERROR(IF(F20&gt;0.9,"High (&gt;90%)",IF(F20&gt;0.75,"Elevated (75-90%)",IF(F20&gt;0,"Normal","Unutilised"))),"")</f>
        <v>High (&gt;90%)</v>
      </c>
      <c r="H20" s="373" t="n">
        <f aca="false">IFERROR(IF('Facility Master'!D21="FB-Term",IF('Facility Master'!Z21="","-",'Facility Master'!Z21-AsOfDate),IF('Facility Master'!AB21="","-",'Facility Master'!AB21-AsOfDate)),"-")</f>
        <v>267</v>
      </c>
      <c r="I20" s="361" t="str">
        <f aca="false">IFERROR(IF('Facility Master'!D21="FB-Term",IF('Facility Master'!Z21="","No Maturity",IF(H20&lt;=180,"Maturing (&lt;=180d)",IF(H20&lt;=365,"Maturing (&lt;=1yr)","TL — On Schedule"))),IF('Facility Master'!AB21="","No Validity",IF(H20&lt;=30,"Expiring (&lt;=30d)",IF(H20&lt;=60,"Due for Review (&lt;=60d)","OK")))),"")</f>
        <v>OK</v>
      </c>
    </row>
    <row r="21" customFormat="false" ht="19.5" hidden="false" customHeight="true" outlineLevel="0" collapsed="false">
      <c r="A21" s="623" t="n">
        <f aca="false">IFERROR('Facility Master'!A22,"")</f>
        <v>18</v>
      </c>
      <c r="B21" s="669" t="s">
        <v>167</v>
      </c>
      <c r="C21" s="625" t="str">
        <f aca="false">IFERROR('Facility Master'!C22,"")</f>
        <v>BG (F+P, sub-limit of LC)</v>
      </c>
      <c r="D21" s="627" t="n">
        <f aca="false">IFERROR('Facility Master'!K22,0)</f>
        <v>300</v>
      </c>
      <c r="E21" s="627" t="n">
        <f aca="false">IFERROR('Facility Master'!M22,0)</f>
        <v>300</v>
      </c>
      <c r="F21" s="628" t="n">
        <f aca="false">IFERROR('Facility Master'!N22,0)</f>
        <v>1</v>
      </c>
      <c r="G21" s="900" t="str">
        <f aca="false">IFERROR(IF(F21&gt;0.9,"High (&gt;90%)",IF(F21&gt;0.75,"Elevated (75-90%)",IF(F21&gt;0,"Normal","Unutilised"))),"")</f>
        <v>High (&gt;90%)</v>
      </c>
      <c r="H21" s="805" t="n">
        <f aca="false">IFERROR(IF('Facility Master'!D22="FB-Term",IF('Facility Master'!Z22="","-",'Facility Master'!Z22-AsOfDate),IF('Facility Master'!AB22="","-",'Facility Master'!AB22-AsOfDate)),"-")</f>
        <v>267</v>
      </c>
      <c r="I21" s="361" t="str">
        <f aca="false">IFERROR(IF('Facility Master'!D22="FB-Term",IF('Facility Master'!Z22="","No Maturity",IF(H21&lt;=180,"Maturing (&lt;=180d)",IF(H21&lt;=365,"Maturing (&lt;=1yr)","TL — On Schedule"))),IF('Facility Master'!AB22="","No Validity",IF(H21&lt;=30,"Expiring (&lt;=30d)",IF(H21&lt;=60,"Due for Review (&lt;=60d)","OK")))),"")</f>
        <v>OK</v>
      </c>
    </row>
    <row r="22" customFormat="false" ht="19.5" hidden="false" customHeight="true" outlineLevel="0" collapsed="false">
      <c r="A22" s="832" t="n">
        <f aca="false">IFERROR('Facility Master'!A23,"")</f>
        <v>19</v>
      </c>
      <c r="B22" s="910" t="str">
        <f aca="false">IFERROR('Facility Master'!B23,"")</f>
        <v>HSBC</v>
      </c>
      <c r="C22" s="911" t="str">
        <f aca="false">IFERROR('Facility Master'!C23,"")</f>
        <v>Combined Limit (Uncommitted)</v>
      </c>
      <c r="D22" s="912" t="n">
        <f aca="false">IFERROR('Facility Master'!K23,0)</f>
        <v>200</v>
      </c>
      <c r="E22" s="912" t="n">
        <f aca="false">IFERROR('Facility Master'!M23,0)</f>
        <v>200</v>
      </c>
      <c r="F22" s="913" t="n">
        <f aca="false">IFERROR('Facility Master'!N23,0)</f>
        <v>1</v>
      </c>
      <c r="G22" s="900" t="str">
        <f aca="false">IFERROR(IF(F22&gt;0.9,"High (&gt;90%)",IF(F22&gt;0.75,"Elevated (75-90%)",IF(F22&gt;0,"Normal","Unutilised"))),"")</f>
        <v>High (&gt;90%)</v>
      </c>
      <c r="H22" s="836" t="n">
        <f aca="false">IFERROR(IF('Facility Master'!D23="FB-Term",IF('Facility Master'!Z23="","-",'Facility Master'!Z23-AsOfDate),IF('Facility Master'!AB23="","-",'Facility Master'!AB23-AsOfDate)),"-")</f>
        <v>111</v>
      </c>
      <c r="I22" s="361" t="str">
        <f aca="false">IFERROR(IF('Facility Master'!D23="FB-Term",IF('Facility Master'!Z23="","No Maturity",IF(H22&lt;=180,"Maturing (&lt;=180d)",IF(H22&lt;=365,"Maturing (&lt;=1yr)","TL — On Schedule"))),IF('Facility Master'!AB23="","No Validity",IF(H22&lt;=30,"Expiring (&lt;=30d)",IF(H22&lt;=60,"Due for Review (&lt;=60d)","OK")))),"")</f>
        <v>OK</v>
      </c>
    </row>
    <row r="23" customFormat="false" ht="19.5" hidden="false" customHeight="true" outlineLevel="0" collapsed="false">
      <c r="A23" s="640" t="n">
        <f aca="false">IFERROR('Facility Master'!A24,"")</f>
        <v>20</v>
      </c>
      <c r="B23" s="668" t="s">
        <v>167</v>
      </c>
      <c r="C23" s="663" t="str">
        <f aca="false">IFERROR('Facility Master'!C24,"")</f>
        <v>Working Capital Loan (Uncommitted, sub of #1)</v>
      </c>
      <c r="D23" s="644" t="n">
        <f aca="false">IFERROR('Facility Master'!K24,0)</f>
        <v>26.08</v>
      </c>
      <c r="E23" s="644" t="n">
        <f aca="false">IFERROR('Facility Master'!M24,0)</f>
        <v>26.08</v>
      </c>
      <c r="F23" s="645" t="n">
        <f aca="false">IFERROR('Facility Master'!N24,0)</f>
        <v>1</v>
      </c>
      <c r="G23" s="900" t="str">
        <f aca="false">IFERROR(IF(F23&gt;0.9,"High (&gt;90%)",IF(F23&gt;0.75,"Elevated (75-90%)",IF(F23&gt;0,"Normal","Unutilised"))),"")</f>
        <v>High (&gt;90%)</v>
      </c>
      <c r="H23" s="841" t="n">
        <f aca="false">IFERROR(IF('Facility Master'!D24="FB-Term",IF('Facility Master'!Z24="","-",'Facility Master'!Z24-AsOfDate),IF('Facility Master'!AB24="","-",'Facility Master'!AB24-AsOfDate)),"-")</f>
        <v>111</v>
      </c>
      <c r="I23" s="361" t="str">
        <f aca="false">IFERROR(IF('Facility Master'!D24="FB-Term",IF('Facility Master'!Z24="","No Maturity",IF(H23&lt;=180,"Maturing (&lt;=180d)",IF(H23&lt;=365,"Maturing (&lt;=1yr)","TL — On Schedule"))),IF('Facility Master'!AB24="","No Validity",IF(H23&lt;=30,"Expiring (&lt;=30d)",IF(H23&lt;=60,"Due for Review (&lt;=60d)","OK")))),"")</f>
        <v>OK</v>
      </c>
    </row>
    <row r="24" customFormat="false" ht="19.5" hidden="false" customHeight="true" outlineLevel="0" collapsed="false">
      <c r="A24" s="832" t="n">
        <f aca="false">IFERROR('Facility Master'!A25,"")</f>
        <v>21</v>
      </c>
      <c r="B24" s="914" t="s">
        <v>167</v>
      </c>
      <c r="C24" s="911" t="str">
        <f aca="false">IFERROR('Facility Master'!C25,"")</f>
        <v>Overdraft (Uncommitted, sub of WCL)</v>
      </c>
      <c r="D24" s="912" t="n">
        <f aca="false">IFERROR('Facility Master'!K25,0)</f>
        <v>10.432</v>
      </c>
      <c r="E24" s="912" t="n">
        <f aca="false">IFERROR('Facility Master'!M25,0)</f>
        <v>10.432</v>
      </c>
      <c r="F24" s="913" t="n">
        <f aca="false">IFERROR('Facility Master'!N25,0)</f>
        <v>1</v>
      </c>
      <c r="G24" s="900" t="str">
        <f aca="false">IFERROR(IF(F24&gt;0.9,"High (&gt;90%)",IF(F24&gt;0.75,"Elevated (75-90%)",IF(F24&gt;0,"Normal","Unutilised"))),"")</f>
        <v>High (&gt;90%)</v>
      </c>
      <c r="H24" s="836" t="n">
        <f aca="false">IFERROR(IF('Facility Master'!D25="FB-Term",IF('Facility Master'!Z25="","-",'Facility Master'!Z25-AsOfDate),IF('Facility Master'!AB25="","-",'Facility Master'!AB25-AsOfDate)),"-")</f>
        <v>111</v>
      </c>
      <c r="I24" s="361" t="str">
        <f aca="false">IFERROR(IF('Facility Master'!D25="FB-Term",IF('Facility Master'!Z25="","No Maturity",IF(H24&lt;=180,"Maturing (&lt;=180d)",IF(H24&lt;=365,"Maturing (&lt;=1yr)","TL — On Schedule"))),IF('Facility Master'!AB25="","No Validity",IF(H24&lt;=30,"Expiring (&lt;=30d)",IF(H24&lt;=60,"Due for Review (&lt;=60d)","OK")))),"")</f>
        <v>OK</v>
      </c>
    </row>
    <row r="25" customFormat="false" ht="19.5" hidden="false" customHeight="true" outlineLevel="0" collapsed="false">
      <c r="A25" s="640" t="n">
        <f aca="false">IFERROR('Facility Master'!A26,"")</f>
        <v>22</v>
      </c>
      <c r="B25" s="668" t="s">
        <v>167</v>
      </c>
      <c r="C25" s="663" t="str">
        <f aca="false">IFERROR('Facility Master'!C26,"")</f>
        <v>Import Controlling line - 1 (Uncommitted)</v>
      </c>
      <c r="D25" s="644" t="n">
        <f aca="false">IFERROR('Facility Master'!K26,0)</f>
        <v>26.08</v>
      </c>
      <c r="E25" s="644" t="n">
        <f aca="false">IFERROR('Facility Master'!M26,0)</f>
        <v>26.08</v>
      </c>
      <c r="F25" s="645" t="n">
        <f aca="false">IFERROR('Facility Master'!N26,0)</f>
        <v>1</v>
      </c>
      <c r="G25" s="900" t="str">
        <f aca="false">IFERROR(IF(F25&gt;0.9,"High (&gt;90%)",IF(F25&gt;0.75,"Elevated (75-90%)",IF(F25&gt;0,"Normal","Unutilised"))),"")</f>
        <v>High (&gt;90%)</v>
      </c>
      <c r="H25" s="841" t="n">
        <f aca="false">IFERROR(IF('Facility Master'!D26="FB-Term",IF('Facility Master'!Z26="","-",'Facility Master'!Z26-AsOfDate),IF('Facility Master'!AB26="","-",'Facility Master'!AB26-AsOfDate)),"-")</f>
        <v>111</v>
      </c>
      <c r="I25" s="361" t="str">
        <f aca="false">IFERROR(IF('Facility Master'!D26="FB-Term",IF('Facility Master'!Z26="","No Maturity",IF(H25&lt;=180,"Maturing (&lt;=180d)",IF(H25&lt;=365,"Maturing (&lt;=1yr)","TL — On Schedule"))),IF('Facility Master'!AB26="","No Validity",IF(H25&lt;=30,"Expiring (&lt;=30d)",IF(H25&lt;=60,"Due for Review (&lt;=60d)","OK")))),"")</f>
        <v>OK</v>
      </c>
    </row>
    <row r="26" customFormat="false" ht="19.5" hidden="false" customHeight="true" outlineLevel="0" collapsed="false">
      <c r="A26" s="832" t="n">
        <f aca="false">IFERROR('Facility Master'!A27,"")</f>
        <v>23</v>
      </c>
      <c r="B26" s="914" t="s">
        <v>167</v>
      </c>
      <c r="C26" s="911" t="str">
        <f aca="false">IFERROR('Facility Master'!C27,"")</f>
        <v>TradePay Domestic/Import (Uncommitted)</v>
      </c>
      <c r="D26" s="912" t="n">
        <f aca="false">IFERROR('Facility Master'!K27,0)</f>
        <v>26.08</v>
      </c>
      <c r="E26" s="912" t="n">
        <f aca="false">IFERROR('Facility Master'!M27,0)</f>
        <v>26.08</v>
      </c>
      <c r="F26" s="913" t="n">
        <f aca="false">IFERROR('Facility Master'!N27,0)</f>
        <v>1</v>
      </c>
      <c r="G26" s="900" t="str">
        <f aca="false">IFERROR(IF(F26&gt;0.9,"High (&gt;90%)",IF(F26&gt;0.75,"Elevated (75-90%)",IF(F26&gt;0,"Normal","Unutilised"))),"")</f>
        <v>High (&gt;90%)</v>
      </c>
      <c r="H26" s="836" t="n">
        <f aca="false">IFERROR(IF('Facility Master'!D27="FB-Term",IF('Facility Master'!Z27="","-",'Facility Master'!Z27-AsOfDate),IF('Facility Master'!AB27="","-",'Facility Master'!AB27-AsOfDate)),"-")</f>
        <v>111</v>
      </c>
      <c r="I26" s="361" t="str">
        <f aca="false">IFERROR(IF('Facility Master'!D27="FB-Term",IF('Facility Master'!Z27="","No Maturity",IF(H26&lt;=180,"Maturing (&lt;=180d)",IF(H26&lt;=365,"Maturing (&lt;=1yr)","TL — On Schedule"))),IF('Facility Master'!AB27="","No Validity",IF(H26&lt;=30,"Expiring (&lt;=30d)",IF(H26&lt;=60,"Due for Review (&lt;=60d)","OK")))),"")</f>
        <v>OK</v>
      </c>
    </row>
    <row r="27" customFormat="false" ht="19.5" hidden="false" customHeight="true" outlineLevel="0" collapsed="false">
      <c r="A27" s="640" t="n">
        <f aca="false">IFERROR('Facility Master'!A28,"")</f>
        <v>24</v>
      </c>
      <c r="B27" s="668" t="s">
        <v>167</v>
      </c>
      <c r="C27" s="663" t="str">
        <f aca="false">IFERROR('Facility Master'!C28,"")</f>
        <v>Pre-shipment Buyer Loan (Uncommitted)</v>
      </c>
      <c r="D27" s="644" t="n">
        <f aca="false">IFERROR('Facility Master'!K28,0)</f>
        <v>26.08</v>
      </c>
      <c r="E27" s="644" t="n">
        <f aca="false">IFERROR('Facility Master'!M28,0)</f>
        <v>26.08</v>
      </c>
      <c r="F27" s="645" t="n">
        <f aca="false">IFERROR('Facility Master'!N28,0)</f>
        <v>1</v>
      </c>
      <c r="G27" s="900" t="str">
        <f aca="false">IFERROR(IF(F27&gt;0.9,"High (&gt;90%)",IF(F27&gt;0.75,"Elevated (75-90%)",IF(F27&gt;0,"Normal","Unutilised"))),"")</f>
        <v>High (&gt;90%)</v>
      </c>
      <c r="H27" s="841" t="n">
        <f aca="false">IFERROR(IF('Facility Master'!D28="FB-Term",IF('Facility Master'!Z28="","-",'Facility Master'!Z28-AsOfDate),IF('Facility Master'!AB28="","-",'Facility Master'!AB28-AsOfDate)),"-")</f>
        <v>111</v>
      </c>
      <c r="I27" s="361" t="str">
        <f aca="false">IFERROR(IF('Facility Master'!D28="FB-Term",IF('Facility Master'!Z28="","No Maturity",IF(H27&lt;=180,"Maturing (&lt;=180d)",IF(H27&lt;=365,"Maturing (&lt;=1yr)","TL — On Schedule"))),IF('Facility Master'!AB28="","No Validity",IF(H27&lt;=30,"Expiring (&lt;=30d)",IF(H27&lt;=60,"Due for Review (&lt;=60d)","OK")))),"")</f>
        <v>OK</v>
      </c>
    </row>
    <row r="28" customFormat="false" ht="19.5" hidden="false" customHeight="true" outlineLevel="0" collapsed="false">
      <c r="A28" s="832" t="n">
        <f aca="false">IFERROR('Facility Master'!A29,"")</f>
        <v>25</v>
      </c>
      <c r="B28" s="914" t="s">
        <v>167</v>
      </c>
      <c r="C28" s="911" t="str">
        <f aca="false">IFERROR('Facility Master'!C29,"")</f>
        <v>Post-Shipment Buyer Loan / DPF / LAI (Uncommitted)</v>
      </c>
      <c r="D28" s="912" t="n">
        <f aca="false">IFERROR('Facility Master'!K29,0)</f>
        <v>26.08</v>
      </c>
      <c r="E28" s="912" t="n">
        <f aca="false">IFERROR('Facility Master'!M29,0)</f>
        <v>26.08</v>
      </c>
      <c r="F28" s="913" t="n">
        <f aca="false">IFERROR('Facility Master'!N29,0)</f>
        <v>1</v>
      </c>
      <c r="G28" s="900" t="str">
        <f aca="false">IFERROR(IF(F28&gt;0.9,"High (&gt;90%)",IF(F28&gt;0.75,"Elevated (75-90%)",IF(F28&gt;0,"Normal","Unutilised"))),"")</f>
        <v>High (&gt;90%)</v>
      </c>
      <c r="H28" s="836" t="n">
        <f aca="false">IFERROR(IF('Facility Master'!D29="FB-Term",IF('Facility Master'!Z29="","-",'Facility Master'!Z29-AsOfDate),IF('Facility Master'!AB29="","-",'Facility Master'!AB29-AsOfDate)),"-")</f>
        <v>111</v>
      </c>
      <c r="I28" s="361" t="str">
        <f aca="false">IFERROR(IF('Facility Master'!D29="FB-Term",IF('Facility Master'!Z29="","No Maturity",IF(H28&lt;=180,"Maturing (&lt;=180d)",IF(H28&lt;=365,"Maturing (&lt;=1yr)","TL — On Schedule"))),IF('Facility Master'!AB29="","No Validity",IF(H28&lt;=30,"Expiring (&lt;=30d)",IF(H28&lt;=60,"Due for Review (&lt;=60d)","OK")))),"")</f>
        <v>OK</v>
      </c>
    </row>
    <row r="29" customFormat="false" ht="19.5" hidden="false" customHeight="true" outlineLevel="0" collapsed="false">
      <c r="A29" s="640" t="n">
        <f aca="false">IFERROR('Facility Master'!A30,"")</f>
        <v>26</v>
      </c>
      <c r="B29" s="668" t="s">
        <v>167</v>
      </c>
      <c r="C29" s="663" t="str">
        <f aca="false">IFERROR('Facility Master'!C30,"")</f>
        <v>Export Controlling line (Uncommitted)</v>
      </c>
      <c r="D29" s="644" t="n">
        <f aca="false">IFERROR('Facility Master'!K30,0)</f>
        <v>26.08</v>
      </c>
      <c r="E29" s="644" t="n">
        <f aca="false">IFERROR('Facility Master'!M30,0)</f>
        <v>26.08</v>
      </c>
      <c r="F29" s="645" t="n">
        <f aca="false">IFERROR('Facility Master'!N30,0)</f>
        <v>1</v>
      </c>
      <c r="G29" s="900" t="str">
        <f aca="false">IFERROR(IF(F29&gt;0.9,"High (&gt;90%)",IF(F29&gt;0.75,"Elevated (75-90%)",IF(F29&gt;0,"Normal","Unutilised"))),"")</f>
        <v>High (&gt;90%)</v>
      </c>
      <c r="H29" s="841" t="n">
        <f aca="false">IFERROR(IF('Facility Master'!D30="FB-Term",IF('Facility Master'!Z30="","-",'Facility Master'!Z30-AsOfDate),IF('Facility Master'!AB30="","-",'Facility Master'!AB30-AsOfDate)),"-")</f>
        <v>111</v>
      </c>
      <c r="I29" s="361" t="str">
        <f aca="false">IFERROR(IF('Facility Master'!D30="FB-Term",IF('Facility Master'!Z30="","No Maturity",IF(H29&lt;=180,"Maturing (&lt;=180d)",IF(H29&lt;=365,"Maturing (&lt;=1yr)","TL — On Schedule"))),IF('Facility Master'!AB30="","No Validity",IF(H29&lt;=30,"Expiring (&lt;=30d)",IF(H29&lt;=60,"Due for Review (&lt;=60d)","OK")))),"")</f>
        <v>OK</v>
      </c>
    </row>
    <row r="30" customFormat="false" ht="19.5" hidden="false" customHeight="true" outlineLevel="0" collapsed="false">
      <c r="A30" s="832" t="n">
        <f aca="false">IFERROR('Facility Master'!A31,"")</f>
        <v>27</v>
      </c>
      <c r="B30" s="914" t="s">
        <v>167</v>
      </c>
      <c r="C30" s="911" t="str">
        <f aca="false">IFERROR('Facility Master'!C31,"")</f>
        <v>Pre-shipment Seller Loan (Uncommitted)</v>
      </c>
      <c r="D30" s="912" t="n">
        <f aca="false">IFERROR('Facility Master'!K31,0)</f>
        <v>26.08</v>
      </c>
      <c r="E30" s="912" t="n">
        <f aca="false">IFERROR('Facility Master'!M31,0)</f>
        <v>26.08</v>
      </c>
      <c r="F30" s="913" t="n">
        <f aca="false">IFERROR('Facility Master'!N31,0)</f>
        <v>1</v>
      </c>
      <c r="G30" s="900" t="str">
        <f aca="false">IFERROR(IF(F30&gt;0.9,"High (&gt;90%)",IF(F30&gt;0.75,"Elevated (75-90%)",IF(F30&gt;0,"Normal","Unutilised"))),"")</f>
        <v>High (&gt;90%)</v>
      </c>
      <c r="H30" s="836" t="n">
        <f aca="false">IFERROR(IF('Facility Master'!D31="FB-Term",IF('Facility Master'!Z31="","-",'Facility Master'!Z31-AsOfDate),IF('Facility Master'!AB31="","-",'Facility Master'!AB31-AsOfDate)),"-")</f>
        <v>111</v>
      </c>
      <c r="I30" s="361" t="str">
        <f aca="false">IFERROR(IF('Facility Master'!D31="FB-Term",IF('Facility Master'!Z31="","No Maturity",IF(H30&lt;=180,"Maturing (&lt;=180d)",IF(H30&lt;=365,"Maturing (&lt;=1yr)","TL — On Schedule"))),IF('Facility Master'!AB31="","No Validity",IF(H30&lt;=30,"Expiring (&lt;=30d)",IF(H30&lt;=60,"Due for Review (&lt;=60d)","OK")))),"")</f>
        <v>OK</v>
      </c>
    </row>
    <row r="31" customFormat="false" ht="19.5" hidden="false" customHeight="true" outlineLevel="0" collapsed="false">
      <c r="A31" s="640" t="n">
        <f aca="false">IFERROR('Facility Master'!A32,"")</f>
        <v>28</v>
      </c>
      <c r="B31" s="668" t="s">
        <v>167</v>
      </c>
      <c r="C31" s="663" t="str">
        <f aca="false">IFERROR('Facility Master'!C32,"")</f>
        <v>Post-Shipment Seller Loan, Open Account (Uncommitted)</v>
      </c>
      <c r="D31" s="644" t="n">
        <f aca="false">IFERROR('Facility Master'!K32,0)</f>
        <v>26.08</v>
      </c>
      <c r="E31" s="644" t="n">
        <f aca="false">IFERROR('Facility Master'!M32,0)</f>
        <v>26.08</v>
      </c>
      <c r="F31" s="645" t="n">
        <f aca="false">IFERROR('Facility Master'!N32,0)</f>
        <v>1</v>
      </c>
      <c r="G31" s="900" t="str">
        <f aca="false">IFERROR(IF(F31&gt;0.9,"High (&gt;90%)",IF(F31&gt;0.75,"Elevated (75-90%)",IF(F31&gt;0,"Normal","Unutilised"))),"")</f>
        <v>High (&gt;90%)</v>
      </c>
      <c r="H31" s="841" t="n">
        <f aca="false">IFERROR(IF('Facility Master'!D32="FB-Term",IF('Facility Master'!Z32="","-",'Facility Master'!Z32-AsOfDate),IF('Facility Master'!AB32="","-",'Facility Master'!AB32-AsOfDate)),"-")</f>
        <v>111</v>
      </c>
      <c r="I31" s="361" t="str">
        <f aca="false">IFERROR(IF('Facility Master'!D32="FB-Term",IF('Facility Master'!Z32="","No Maturity",IF(H31&lt;=180,"Maturing (&lt;=180d)",IF(H31&lt;=365,"Maturing (&lt;=1yr)","TL — On Schedule"))),IF('Facility Master'!AB32="","No Validity",IF(H31&lt;=30,"Expiring (&lt;=30d)",IF(H31&lt;=60,"Due for Review (&lt;=60d)","OK")))),"")</f>
        <v>OK</v>
      </c>
    </row>
    <row r="32" customFormat="false" ht="19.5" hidden="false" customHeight="true" outlineLevel="0" collapsed="false">
      <c r="A32" s="832" t="n">
        <f aca="false">IFERROR('Facility Master'!A33,"")</f>
        <v>29</v>
      </c>
      <c r="B32" s="914" t="s">
        <v>167</v>
      </c>
      <c r="C32" s="911" t="str">
        <f aca="false">IFERROR('Facility Master'!C33,"")</f>
        <v>Import Controlling line - 2 (Uncommitted)</v>
      </c>
      <c r="D32" s="912" t="n">
        <f aca="false">IFERROR('Facility Master'!K33,0)</f>
        <v>154.58</v>
      </c>
      <c r="E32" s="912" t="n">
        <f aca="false">IFERROR('Facility Master'!M33,0)</f>
        <v>154.58</v>
      </c>
      <c r="F32" s="913" t="n">
        <f aca="false">IFERROR('Facility Master'!N33,0)</f>
        <v>1</v>
      </c>
      <c r="G32" s="900" t="str">
        <f aca="false">IFERROR(IF(F32&gt;0.9,"High (&gt;90%)",IF(F32&gt;0.75,"Elevated (75-90%)",IF(F32&gt;0,"Normal","Unutilised"))),"")</f>
        <v>High (&gt;90%)</v>
      </c>
      <c r="H32" s="836" t="n">
        <f aca="false">IFERROR(IF('Facility Master'!D33="FB-Term",IF('Facility Master'!Z33="","-",'Facility Master'!Z33-AsOfDate),IF('Facility Master'!AB33="","-",'Facility Master'!AB33-AsOfDate)),"-")</f>
        <v>111</v>
      </c>
      <c r="I32" s="361" t="str">
        <f aca="false">IFERROR(IF('Facility Master'!D33="FB-Term",IF('Facility Master'!Z33="","No Maturity",IF(H32&lt;=180,"Maturing (&lt;=180d)",IF(H32&lt;=365,"Maturing (&lt;=1yr)","TL — On Schedule"))),IF('Facility Master'!AB33="","No Validity",IF(H32&lt;=30,"Expiring (&lt;=30d)",IF(H32&lt;=60,"Due for Review (&lt;=60d)","OK")))),"")</f>
        <v>OK</v>
      </c>
    </row>
    <row r="33" customFormat="false" ht="19.5" hidden="false" customHeight="true" outlineLevel="0" collapsed="false">
      <c r="A33" s="640" t="n">
        <f aca="false">IFERROR('Facility Master'!A34,"")</f>
        <v>30</v>
      </c>
      <c r="B33" s="668" t="s">
        <v>167</v>
      </c>
      <c r="C33" s="663" t="str">
        <f aca="false">IFERROR('Facility Master'!C34,"")</f>
        <v>Import Documentary Credit - 12 (Uncommitted)</v>
      </c>
      <c r="D33" s="644" t="n">
        <f aca="false">IFERROR('Facility Master'!K34,0)</f>
        <v>154.58</v>
      </c>
      <c r="E33" s="644" t="n">
        <f aca="false">IFERROR('Facility Master'!M34,0)</f>
        <v>154.58</v>
      </c>
      <c r="F33" s="645" t="n">
        <f aca="false">IFERROR('Facility Master'!N34,0)</f>
        <v>1</v>
      </c>
      <c r="G33" s="900" t="str">
        <f aca="false">IFERROR(IF(F33&gt;0.9,"High (&gt;90%)",IF(F33&gt;0.75,"Elevated (75-90%)",IF(F33&gt;0,"Normal","Unutilised"))),"")</f>
        <v>High (&gt;90%)</v>
      </c>
      <c r="H33" s="841" t="n">
        <f aca="false">IFERROR(IF('Facility Master'!D34="FB-Term",IF('Facility Master'!Z34="","-",'Facility Master'!Z34-AsOfDate),IF('Facility Master'!AB34="","-",'Facility Master'!AB34-AsOfDate)),"-")</f>
        <v>111</v>
      </c>
      <c r="I33" s="361" t="str">
        <f aca="false">IFERROR(IF('Facility Master'!D34="FB-Term",IF('Facility Master'!Z34="","No Maturity",IF(H33&lt;=180,"Maturing (&lt;=180d)",IF(H33&lt;=365,"Maturing (&lt;=1yr)","TL — On Schedule"))),IF('Facility Master'!AB34="","No Validity",IF(H33&lt;=30,"Expiring (&lt;=30d)",IF(H33&lt;=60,"Due for Review (&lt;=60d)","OK")))),"")</f>
        <v>OK</v>
      </c>
    </row>
    <row r="34" customFormat="false" ht="19.5" hidden="false" customHeight="true" outlineLevel="0" collapsed="false">
      <c r="A34" s="832" t="n">
        <f aca="false">IFERROR('Facility Master'!A35,"")</f>
        <v>31</v>
      </c>
      <c r="B34" s="914" t="s">
        <v>167</v>
      </c>
      <c r="C34" s="911" t="str">
        <f aca="false">IFERROR('Facility Master'!C35,"")</f>
        <v>Import Documentary Credit - 13 (Uncommitted)</v>
      </c>
      <c r="D34" s="912" t="n">
        <f aca="false">IFERROR('Facility Master'!K35,0)</f>
        <v>10</v>
      </c>
      <c r="E34" s="912" t="n">
        <f aca="false">IFERROR('Facility Master'!M35,0)</f>
        <v>10</v>
      </c>
      <c r="F34" s="913" t="n">
        <f aca="false">IFERROR('Facility Master'!N35,0)</f>
        <v>1</v>
      </c>
      <c r="G34" s="900" t="str">
        <f aca="false">IFERROR(IF(F34&gt;0.9,"High (&gt;90%)",IF(F34&gt;0.75,"Elevated (75-90%)",IF(F34&gt;0,"Normal","Unutilised"))),"")</f>
        <v>High (&gt;90%)</v>
      </c>
      <c r="H34" s="836" t="n">
        <f aca="false">IFERROR(IF('Facility Master'!D35="FB-Term",IF('Facility Master'!Z35="","-",'Facility Master'!Z35-AsOfDate),IF('Facility Master'!AB35="","-",'Facility Master'!AB35-AsOfDate)),"-")</f>
        <v>111</v>
      </c>
      <c r="I34" s="361" t="str">
        <f aca="false">IFERROR(IF('Facility Master'!D35="FB-Term",IF('Facility Master'!Z35="","No Maturity",IF(H34&lt;=180,"Maturing (&lt;=180d)",IF(H34&lt;=365,"Maturing (&lt;=1yr)","TL — On Schedule"))),IF('Facility Master'!AB35="","No Validity",IF(H34&lt;=30,"Expiring (&lt;=30d)",IF(H34&lt;=60,"Due for Review (&lt;=60d)","OK")))),"")</f>
        <v>OK</v>
      </c>
    </row>
    <row r="35" customFormat="false" ht="19.5" hidden="false" customHeight="true" outlineLevel="0" collapsed="false">
      <c r="A35" s="640" t="n">
        <f aca="false">IFERROR('Facility Master'!A36,"")</f>
        <v>32</v>
      </c>
      <c r="B35" s="668" t="s">
        <v>167</v>
      </c>
      <c r="C35" s="663" t="str">
        <f aca="false">IFERROR('Facility Master'!C36,"")</f>
        <v>Guarantees/Bonds Non-Financial (Uncommitted)</v>
      </c>
      <c r="D35" s="644" t="n">
        <f aca="false">IFERROR('Facility Master'!K36,0)</f>
        <v>17.4</v>
      </c>
      <c r="E35" s="644" t="n">
        <f aca="false">IFERROR('Facility Master'!M36,0)</f>
        <v>17.4</v>
      </c>
      <c r="F35" s="645" t="n">
        <f aca="false">IFERROR('Facility Master'!N36,0)</f>
        <v>1</v>
      </c>
      <c r="G35" s="900" t="str">
        <f aca="false">IFERROR(IF(F35&gt;0.9,"High (&gt;90%)",IF(F35&gt;0.75,"Elevated (75-90%)",IF(F35&gt;0,"Normal","Unutilised"))),"")</f>
        <v>High (&gt;90%)</v>
      </c>
      <c r="H35" s="841" t="n">
        <f aca="false">IFERROR(IF('Facility Master'!D36="FB-Term",IF('Facility Master'!Z36="","-",'Facility Master'!Z36-AsOfDate),IF('Facility Master'!AB36="","-",'Facility Master'!AB36-AsOfDate)),"-")</f>
        <v>111</v>
      </c>
      <c r="I35" s="361" t="str">
        <f aca="false">IFERROR(IF('Facility Master'!D36="FB-Term",IF('Facility Master'!Z36="","No Maturity",IF(H35&lt;=180,"Maturing (&lt;=180d)",IF(H35&lt;=365,"Maturing (&lt;=1yr)","TL — On Schedule"))),IF('Facility Master'!AB36="","No Validity",IF(H35&lt;=30,"Expiring (&lt;=30d)",IF(H35&lt;=60,"Due for Review (&lt;=60d)","OK")))),"")</f>
        <v>OK</v>
      </c>
    </row>
    <row r="36" customFormat="false" ht="19.5" hidden="false" customHeight="true" outlineLevel="0" collapsed="false">
      <c r="A36" s="832" t="n">
        <f aca="false">IFERROR('Facility Master'!A37,"")</f>
        <v>33</v>
      </c>
      <c r="B36" s="914" t="s">
        <v>167</v>
      </c>
      <c r="C36" s="911" t="str">
        <f aca="false">IFERROR('Facility Master'!C37,"")</f>
        <v>Guarantees/Bonds Financial (Uncommitted)</v>
      </c>
      <c r="D36" s="912" t="n">
        <f aca="false">IFERROR('Facility Master'!K37,0)</f>
        <v>1.94</v>
      </c>
      <c r="E36" s="912" t="n">
        <f aca="false">IFERROR('Facility Master'!M37,0)</f>
        <v>1.94</v>
      </c>
      <c r="F36" s="913" t="n">
        <f aca="false">IFERROR('Facility Master'!N37,0)</f>
        <v>1</v>
      </c>
      <c r="G36" s="900" t="str">
        <f aca="false">IFERROR(IF(F36&gt;0.9,"High (&gt;90%)",IF(F36&gt;0.75,"Elevated (75-90%)",IF(F36&gt;0,"Normal","Unutilised"))),"")</f>
        <v>High (&gt;90%)</v>
      </c>
      <c r="H36" s="836" t="n">
        <f aca="false">IFERROR(IF('Facility Master'!D37="FB-Term",IF('Facility Master'!Z37="","-",'Facility Master'!Z37-AsOfDate),IF('Facility Master'!AB37="","-",'Facility Master'!AB37-AsOfDate)),"-")</f>
        <v>111</v>
      </c>
      <c r="I36" s="361" t="str">
        <f aca="false">IFERROR(IF('Facility Master'!D37="FB-Term",IF('Facility Master'!Z37="","No Maturity",IF(H36&lt;=180,"Maturing (&lt;=180d)",IF(H36&lt;=365,"Maturing (&lt;=1yr)","TL — On Schedule"))),IF('Facility Master'!AB37="","No Validity",IF(H36&lt;=30,"Expiring (&lt;=30d)",IF(H36&lt;=60,"Due for Review (&lt;=60d)","OK")))),"")</f>
        <v>OK</v>
      </c>
    </row>
    <row r="37" customFormat="false" ht="19.5" hidden="false" customHeight="true" outlineLevel="0" collapsed="false">
      <c r="A37" s="754" t="n">
        <f aca="false">IFERROR('Facility Master'!A38,"")</f>
        <v>34</v>
      </c>
      <c r="B37" s="755" t="str">
        <f aca="false">IFERROR('Facility Master'!B38,"")</f>
        <v>HDFC Bank</v>
      </c>
      <c r="C37" s="756" t="str">
        <f aca="false">IFERROR('Facility Master'!C38,"")</f>
        <v>Letter of Credit (WC parent)</v>
      </c>
      <c r="D37" s="758" t="n">
        <f aca="false">IFERROR('Facility Master'!K38,0)</f>
        <v>250</v>
      </c>
      <c r="E37" s="758" t="n">
        <f aca="false">IFERROR('Facility Master'!M38,0)</f>
        <v>250</v>
      </c>
      <c r="F37" s="904" t="n">
        <f aca="false">IFERROR('Facility Master'!N38,0)</f>
        <v>1</v>
      </c>
      <c r="G37" s="900" t="str">
        <f aca="false">IFERROR(IF(F37&gt;0.9,"High (&gt;90%)",IF(F37&gt;0.75,"Elevated (75-90%)",IF(F37&gt;0,"Normal","Unutilised"))),"")</f>
        <v>High (&gt;90%)</v>
      </c>
      <c r="H37" s="814" t="n">
        <f aca="false">IFERROR(IF('Facility Master'!D38="FB-Term",IF('Facility Master'!Z38="","-",'Facility Master'!Z38-AsOfDate),IF('Facility Master'!AB38="","-",'Facility Master'!AB38-AsOfDate)),"-")</f>
        <v>111</v>
      </c>
      <c r="I37" s="361" t="str">
        <f aca="false">IFERROR(IF('Facility Master'!D38="FB-Term",IF('Facility Master'!Z38="","No Maturity",IF(H37&lt;=180,"Maturing (&lt;=180d)",IF(H37&lt;=365,"Maturing (&lt;=1yr)","TL — On Schedule"))),IF('Facility Master'!AB38="","No Validity",IF(H37&lt;=30,"Expiring (&lt;=30d)",IF(H37&lt;=60,"Due for Review (&lt;=60d)","OK")))),"")</f>
        <v>OK</v>
      </c>
    </row>
    <row r="38" customFormat="false" ht="19.5" hidden="false" customHeight="true" outlineLevel="0" collapsed="false">
      <c r="A38" s="633" t="n">
        <f aca="false">IFERROR('Facility Master'!A39,"")</f>
        <v>35</v>
      </c>
      <c r="B38" s="356" t="s">
        <v>167</v>
      </c>
      <c r="C38" s="357" t="str">
        <f aca="false">IFERROR('Facility Master'!C39,"")</f>
        <v>Post Shipment Finance (sub of LC)</v>
      </c>
      <c r="D38" s="635" t="n">
        <f aca="false">IFERROR('Facility Master'!K39,0)</f>
        <v>100</v>
      </c>
      <c r="E38" s="635" t="n">
        <f aca="false">IFERROR('Facility Master'!M39,0)</f>
        <v>100</v>
      </c>
      <c r="F38" s="636" t="n">
        <f aca="false">IFERROR('Facility Master'!N39,0)</f>
        <v>1</v>
      </c>
      <c r="G38" s="900" t="str">
        <f aca="false">IFERROR(IF(F38&gt;0.9,"High (&gt;90%)",IF(F38&gt;0.75,"Elevated (75-90%)",IF(F38&gt;0,"Normal","Unutilised"))),"")</f>
        <v>High (&gt;90%)</v>
      </c>
      <c r="H38" s="373" t="n">
        <f aca="false">IFERROR(IF('Facility Master'!D39="FB-Term",IF('Facility Master'!Z39="","-",'Facility Master'!Z39-AsOfDate),IF('Facility Master'!AB39="","-",'Facility Master'!AB39-AsOfDate)),"-")</f>
        <v>111</v>
      </c>
      <c r="I38" s="361" t="str">
        <f aca="false">IFERROR(IF('Facility Master'!D39="FB-Term",IF('Facility Master'!Z39="","No Maturity",IF(H38&lt;=180,"Maturing (&lt;=180d)",IF(H38&lt;=365,"Maturing (&lt;=1yr)","TL — On Schedule"))),IF('Facility Master'!AB39="","No Validity",IF(H38&lt;=30,"Expiring (&lt;=30d)",IF(H38&lt;=60,"Due for Review (&lt;=60d)","OK")))),"")</f>
        <v>OK</v>
      </c>
    </row>
    <row r="39" customFormat="false" ht="19.5" hidden="false" customHeight="true" outlineLevel="0" collapsed="false">
      <c r="A39" s="764" t="n">
        <f aca="false">IFERROR('Facility Master'!A40,"")</f>
        <v>36</v>
      </c>
      <c r="B39" s="765" t="s">
        <v>167</v>
      </c>
      <c r="C39" s="766" t="str">
        <f aca="false">IFERROR('Facility Master'!C40,"")</f>
        <v>Pre-shipment Finance (sub of LC)</v>
      </c>
      <c r="D39" s="768" t="n">
        <f aca="false">IFERROR('Facility Master'!K40,0)</f>
        <v>200</v>
      </c>
      <c r="E39" s="768" t="n">
        <f aca="false">IFERROR('Facility Master'!M40,0)</f>
        <v>200</v>
      </c>
      <c r="F39" s="909" t="n">
        <f aca="false">IFERROR('Facility Master'!N40,0)</f>
        <v>1</v>
      </c>
      <c r="G39" s="900" t="str">
        <f aca="false">IFERROR(IF(F39&gt;0.9,"High (&gt;90%)",IF(F39&gt;0.75,"Elevated (75-90%)",IF(F39&gt;0,"Normal","Unutilised"))),"")</f>
        <v>High (&gt;90%)</v>
      </c>
      <c r="H39" s="827" t="n">
        <f aca="false">IFERROR(IF('Facility Master'!D40="FB-Term",IF('Facility Master'!Z40="","-",'Facility Master'!Z40-AsOfDate),IF('Facility Master'!AB40="","-",'Facility Master'!AB40-AsOfDate)),"-")</f>
        <v>111</v>
      </c>
      <c r="I39" s="361" t="str">
        <f aca="false">IFERROR(IF('Facility Master'!D40="FB-Term",IF('Facility Master'!Z40="","No Maturity",IF(H39&lt;=180,"Maturing (&lt;=180d)",IF(H39&lt;=365,"Maturing (&lt;=1yr)","TL — On Schedule"))),IF('Facility Master'!AB40="","No Validity",IF(H39&lt;=30,"Expiring (&lt;=30d)",IF(H39&lt;=60,"Due for Review (&lt;=60d)","OK")))),"")</f>
        <v>OK</v>
      </c>
    </row>
    <row r="40" customFormat="false" ht="19.5" hidden="false" customHeight="true" outlineLevel="0" collapsed="false">
      <c r="A40" s="633" t="n">
        <f aca="false">IFERROR('Facility Master'!A41,"")</f>
        <v>37</v>
      </c>
      <c r="B40" s="356" t="s">
        <v>167</v>
      </c>
      <c r="C40" s="357" t="str">
        <f aca="false">IFERROR('Facility Master'!C41,"")</f>
        <v>SBLC (sub of LC)</v>
      </c>
      <c r="D40" s="635" t="n">
        <f aca="false">IFERROR('Facility Master'!K41,0)</f>
        <v>250</v>
      </c>
      <c r="E40" s="635" t="n">
        <f aca="false">IFERROR('Facility Master'!M41,0)</f>
        <v>250</v>
      </c>
      <c r="F40" s="636" t="n">
        <f aca="false">IFERROR('Facility Master'!N41,0)</f>
        <v>1</v>
      </c>
      <c r="G40" s="900" t="str">
        <f aca="false">IFERROR(IF(F40&gt;0.9,"High (&gt;90%)",IF(F40&gt;0.75,"Elevated (75-90%)",IF(F40&gt;0,"Normal","Unutilised"))),"")</f>
        <v>High (&gt;90%)</v>
      </c>
      <c r="H40" s="373" t="n">
        <f aca="false">IFERROR(IF('Facility Master'!D41="FB-Term",IF('Facility Master'!Z41="","-",'Facility Master'!Z41-AsOfDate),IF('Facility Master'!AB41="","-",'Facility Master'!AB41-AsOfDate)),"-")</f>
        <v>111</v>
      </c>
      <c r="I40" s="361" t="str">
        <f aca="false">IFERROR(IF('Facility Master'!D41="FB-Term",IF('Facility Master'!Z41="","No Maturity",IF(H40&lt;=180,"Maturing (&lt;=180d)",IF(H40&lt;=365,"Maturing (&lt;=1yr)","TL — On Schedule"))),IF('Facility Master'!AB41="","No Validity",IF(H40&lt;=30,"Expiring (&lt;=30d)",IF(H40&lt;=60,"Due for Review (&lt;=60d)","OK")))),"")</f>
        <v>OK</v>
      </c>
    </row>
    <row r="41" customFormat="false" ht="19.5" hidden="false" customHeight="true" outlineLevel="0" collapsed="false">
      <c r="A41" s="764" t="n">
        <f aca="false">IFERROR('Facility Master'!A42,"")</f>
        <v>38</v>
      </c>
      <c r="B41" s="765" t="s">
        <v>167</v>
      </c>
      <c r="C41" s="766" t="str">
        <f aca="false">IFERROR('Facility Master'!C42,"")</f>
        <v>Cash Credit (sub of LC)</v>
      </c>
      <c r="D41" s="768" t="n">
        <f aca="false">IFERROR('Facility Master'!K42,0)</f>
        <v>50</v>
      </c>
      <c r="E41" s="768" t="n">
        <f aca="false">IFERROR('Facility Master'!M42,0)</f>
        <v>50</v>
      </c>
      <c r="F41" s="909" t="n">
        <f aca="false">IFERROR('Facility Master'!N42,0)</f>
        <v>1</v>
      </c>
      <c r="G41" s="900" t="str">
        <f aca="false">IFERROR(IF(F41&gt;0.9,"High (&gt;90%)",IF(F41&gt;0.75,"Elevated (75-90%)",IF(F41&gt;0,"Normal","Unutilised"))),"")</f>
        <v>High (&gt;90%)</v>
      </c>
      <c r="H41" s="827" t="n">
        <f aca="false">IFERROR(IF('Facility Master'!D42="FB-Term",IF('Facility Master'!Z42="","-",'Facility Master'!Z42-AsOfDate),IF('Facility Master'!AB42="","-",'Facility Master'!AB42-AsOfDate)),"-")</f>
        <v>111</v>
      </c>
      <c r="I41" s="361" t="str">
        <f aca="false">IFERROR(IF('Facility Master'!D42="FB-Term",IF('Facility Master'!Z42="","No Maturity",IF(H41&lt;=180,"Maturing (&lt;=180d)",IF(H41&lt;=365,"Maturing (&lt;=1yr)","TL — On Schedule"))),IF('Facility Master'!AB42="","No Validity",IF(H41&lt;=30,"Expiring (&lt;=30d)",IF(H41&lt;=60,"Due for Review (&lt;=60d)","OK")))),"")</f>
        <v>OK</v>
      </c>
    </row>
    <row r="42" customFormat="false" ht="19.5" hidden="false" customHeight="true" outlineLevel="0" collapsed="false">
      <c r="A42" s="633" t="n">
        <f aca="false">IFERROR('Facility Master'!A43,"")</f>
        <v>39</v>
      </c>
      <c r="B42" s="356" t="s">
        <v>167</v>
      </c>
      <c r="C42" s="357" t="str">
        <f aca="false">IFERROR('Facility Master'!C43,"")</f>
        <v>WCDL (sub of LC)</v>
      </c>
      <c r="D42" s="635" t="n">
        <f aca="false">IFERROR('Facility Master'!K43,0)</f>
        <v>50</v>
      </c>
      <c r="E42" s="635" t="n">
        <f aca="false">IFERROR('Facility Master'!M43,0)</f>
        <v>50</v>
      </c>
      <c r="F42" s="636" t="n">
        <f aca="false">IFERROR('Facility Master'!N43,0)</f>
        <v>1</v>
      </c>
      <c r="G42" s="900" t="str">
        <f aca="false">IFERROR(IF(F42&gt;0.9,"High (&gt;90%)",IF(F42&gt;0.75,"Elevated (75-90%)",IF(F42&gt;0,"Normal","Unutilised"))),"")</f>
        <v>High (&gt;90%)</v>
      </c>
      <c r="H42" s="373" t="n">
        <f aca="false">IFERROR(IF('Facility Master'!D43="FB-Term",IF('Facility Master'!Z43="","-",'Facility Master'!Z43-AsOfDate),IF('Facility Master'!AB43="","-",'Facility Master'!AB43-AsOfDate)),"-")</f>
        <v>111</v>
      </c>
      <c r="I42" s="361" t="str">
        <f aca="false">IFERROR(IF('Facility Master'!D43="FB-Term",IF('Facility Master'!Z43="","No Maturity",IF(H42&lt;=180,"Maturing (&lt;=180d)",IF(H42&lt;=365,"Maturing (&lt;=1yr)","TL — On Schedule"))),IF('Facility Master'!AB43="","No Validity",IF(H42&lt;=30,"Expiring (&lt;=30d)",IF(H42&lt;=60,"Due for Review (&lt;=60d)","OK")))),"")</f>
        <v>OK</v>
      </c>
    </row>
    <row r="43" customFormat="false" ht="19.5" hidden="false" customHeight="true" outlineLevel="0" collapsed="false">
      <c r="A43" s="764" t="n">
        <f aca="false">IFERROR('Facility Master'!A44,"")</f>
        <v>40</v>
      </c>
      <c r="B43" s="765" t="s">
        <v>167</v>
      </c>
      <c r="C43" s="766" t="str">
        <f aca="false">IFERROR('Facility Master'!C44,"")</f>
        <v>FD-OD (FD-Backed)</v>
      </c>
      <c r="D43" s="768" t="n">
        <f aca="false">IFERROR('Facility Master'!K44,0)</f>
        <v>50</v>
      </c>
      <c r="E43" s="768" t="n">
        <f aca="false">IFERROR('Facility Master'!M44,0)</f>
        <v>50</v>
      </c>
      <c r="F43" s="909" t="n">
        <f aca="false">IFERROR('Facility Master'!N44,0)</f>
        <v>1</v>
      </c>
      <c r="G43" s="900" t="str">
        <f aca="false">IFERROR(IF(F43&gt;0.9,"High (&gt;90%)",IF(F43&gt;0.75,"Elevated (75-90%)",IF(F43&gt;0,"Normal","Unutilised"))),"")</f>
        <v>High (&gt;90%)</v>
      </c>
      <c r="H43" s="827" t="n">
        <f aca="false">IFERROR(IF('Facility Master'!D44="FB-Term",IF('Facility Master'!Z44="","-",'Facility Master'!Z44-AsOfDate),IF('Facility Master'!AB44="","-",'Facility Master'!AB44-AsOfDate)),"-")</f>
        <v>111</v>
      </c>
      <c r="I43" s="361" t="str">
        <f aca="false">IFERROR(IF('Facility Master'!D44="FB-Term",IF('Facility Master'!Z44="","No Maturity",IF(H43&lt;=180,"Maturing (&lt;=180d)",IF(H43&lt;=365,"Maturing (&lt;=1yr)","TL — On Schedule"))),IF('Facility Master'!AB44="","No Validity",IF(H43&lt;=30,"Expiring (&lt;=30d)",IF(H43&lt;=60,"Due for Review (&lt;=60d)","OK")))),"")</f>
        <v>OK</v>
      </c>
    </row>
    <row r="44" customFormat="false" ht="19.5" hidden="false" customHeight="true" outlineLevel="0" collapsed="false">
      <c r="A44" s="633" t="n">
        <f aca="false">IFERROR('Facility Master'!A45,"")</f>
        <v>41</v>
      </c>
      <c r="B44" s="356" t="s">
        <v>167</v>
      </c>
      <c r="C44" s="357" t="str">
        <f aca="false">IFERROR('Facility Master'!C45,"")</f>
        <v>BG (sub of FD-OD)</v>
      </c>
      <c r="D44" s="635" t="n">
        <f aca="false">IFERROR('Facility Master'!K45,0)</f>
        <v>50</v>
      </c>
      <c r="E44" s="635" t="n">
        <f aca="false">IFERROR('Facility Master'!M45,0)</f>
        <v>50</v>
      </c>
      <c r="F44" s="636" t="n">
        <f aca="false">IFERROR('Facility Master'!N45,0)</f>
        <v>1</v>
      </c>
      <c r="G44" s="900" t="str">
        <f aca="false">IFERROR(IF(F44&gt;0.9,"High (&gt;90%)",IF(F44&gt;0.75,"Elevated (75-90%)",IF(F44&gt;0,"Normal","Unutilised"))),"")</f>
        <v>High (&gt;90%)</v>
      </c>
      <c r="H44" s="373" t="n">
        <f aca="false">IFERROR(IF('Facility Master'!D45="FB-Term",IF('Facility Master'!Z45="","-",'Facility Master'!Z45-AsOfDate),IF('Facility Master'!AB45="","-",'Facility Master'!AB45-AsOfDate)),"-")</f>
        <v>111</v>
      </c>
      <c r="I44" s="361" t="str">
        <f aca="false">IFERROR(IF('Facility Master'!D45="FB-Term",IF('Facility Master'!Z45="","No Maturity",IF(H44&lt;=180,"Maturing (&lt;=180d)",IF(H44&lt;=365,"Maturing (&lt;=1yr)","TL — On Schedule"))),IF('Facility Master'!AB45="","No Validity",IF(H44&lt;=30,"Expiring (&lt;=30d)",IF(H44&lt;=60,"Due for Review (&lt;=60d)","OK")))),"")</f>
        <v>OK</v>
      </c>
    </row>
    <row r="45" customFormat="false" ht="19.5" hidden="false" customHeight="true" outlineLevel="0" collapsed="false">
      <c r="A45" s="613" t="n">
        <f aca="false">IFERROR('Facility Master'!A46,"")</f>
        <v>42</v>
      </c>
      <c r="B45" s="614" t="str">
        <f aca="false">IFERROR('Facility Master'!B46,"")</f>
        <v>ICICI Bank (TL)</v>
      </c>
      <c r="C45" s="615" t="str">
        <f aca="false">IFERROR('Facility Master'!C46,"")</f>
        <v>Term Loan — TAKEOVER of disbursed consortium</v>
      </c>
      <c r="D45" s="617" t="n">
        <f aca="false">IFERROR('Facility Master'!K46,0)</f>
        <v>840</v>
      </c>
      <c r="E45" s="617" t="n">
        <f aca="false">IFERROR('Facility Master'!M46,0)</f>
        <v>840</v>
      </c>
      <c r="F45" s="618" t="n">
        <f aca="false">IFERROR('Facility Master'!N46,0)</f>
        <v>1</v>
      </c>
      <c r="G45" s="900" t="str">
        <f aca="false">IFERROR(IF(F45&gt;0.9,"High (&gt;90%)",IF(F45&gt;0.75,"Elevated (75-90%)",IF(F45&gt;0,"Normal","Unutilised"))),"")</f>
        <v>High (&gt;90%)</v>
      </c>
      <c r="H45" s="915" t="n">
        <f aca="false">IFERROR(IF('Facility Master'!D46="FB-Term",IF('Facility Master'!Z46="","-",'Facility Master'!Z46-AsOfDate),IF('Facility Master'!AB46="","-",'Facility Master'!AB46-AsOfDate)),"-")</f>
        <v>4706</v>
      </c>
      <c r="I45" s="902" t="str">
        <f aca="false">IFERROR(IF('Facility Master'!D46="FB-Term",IF('Facility Master'!Z46="","No Maturity",IF(H45&lt;=180,"Maturing (&lt;=180d)",IF(H45&lt;=365,"Maturing (&lt;=1yr)","TL — On Schedule"))),IF('Facility Master'!AB46="","No Validity",IF(H45&lt;=30,"Expiring (&lt;=30d)",IF(H45&lt;=60,"Due for Review (&lt;=60d)","OK")))),"")</f>
        <v>TL — On Schedule</v>
      </c>
    </row>
    <row r="46" customFormat="false" ht="19.5" hidden="false" customHeight="true" outlineLevel="0" collapsed="false">
      <c r="A46" s="633" t="n">
        <f aca="false">IFERROR('Facility Master'!A47,"")</f>
        <v>43</v>
      </c>
      <c r="B46" s="356" t="s">
        <v>167</v>
      </c>
      <c r="C46" s="357" t="str">
        <f aca="false">IFERROR('Facility Master'!C47,"")</f>
        <v>BG Financial (sub of RTL)</v>
      </c>
      <c r="D46" s="635" t="n">
        <f aca="false">IFERROR('Facility Master'!K47,0)</f>
        <v>20</v>
      </c>
      <c r="E46" s="635" t="n">
        <f aca="false">IFERROR('Facility Master'!M47,0)</f>
        <v>20</v>
      </c>
      <c r="F46" s="636" t="n">
        <f aca="false">IFERROR('Facility Master'!N47,0)</f>
        <v>1</v>
      </c>
      <c r="G46" s="900" t="str">
        <f aca="false">IFERROR(IF(F46&gt;0.9,"High (&gt;90%)",IF(F46&gt;0.75,"Elevated (75-90%)",IF(F46&gt;0,"Normal","Unutilised"))),"")</f>
        <v>High (&gt;90%)</v>
      </c>
      <c r="H46" s="907" t="n">
        <f aca="false">IFERROR(IF('Facility Master'!D47="FB-Term",IF('Facility Master'!Z47="","-",'Facility Master'!Z47-AsOfDate),IF('Facility Master'!AB47="","-",'Facility Master'!AB47-AsOfDate)),"-")</f>
        <v>1050</v>
      </c>
      <c r="I46" s="908" t="str">
        <f aca="false">IFERROR(IF('Facility Master'!D47="FB-Term",IF('Facility Master'!Z47="","No Maturity",IF(H46&lt;=180,"Maturing (&lt;=180d)",IF(H46&lt;=365,"Maturing (&lt;=1yr)","TL — On Schedule"))),IF('Facility Master'!AB47="","No Validity",IF(H46&lt;=30,"Expiring (&lt;=30d)",IF(H46&lt;=60,"Due for Review (&lt;=60d)","OK")))),"")</f>
        <v>OK</v>
      </c>
    </row>
    <row r="47" customFormat="false" ht="19.5" hidden="false" customHeight="true" outlineLevel="0" collapsed="false">
      <c r="A47" s="613" t="n">
        <f aca="false">IFERROR('Facility Master'!A48,"")</f>
        <v>44</v>
      </c>
      <c r="B47" s="672" t="s">
        <v>167</v>
      </c>
      <c r="C47" s="615" t="str">
        <f aca="false">IFERROR('Facility Master'!C48,"")</f>
        <v>SBLC Buyers Credit (sub of RTL)</v>
      </c>
      <c r="D47" s="617" t="n">
        <f aca="false">IFERROR('Facility Master'!K48,0)</f>
        <v>20</v>
      </c>
      <c r="E47" s="617" t="n">
        <f aca="false">IFERROR('Facility Master'!M48,0)</f>
        <v>20</v>
      </c>
      <c r="F47" s="618" t="n">
        <f aca="false">IFERROR('Facility Master'!N48,0)</f>
        <v>1</v>
      </c>
      <c r="G47" s="900" t="str">
        <f aca="false">IFERROR(IF(F47&gt;0.9,"High (&gt;90%)",IF(F47&gt;0.75,"Elevated (75-90%)",IF(F47&gt;0,"Normal","Unutilised"))),"")</f>
        <v>High (&gt;90%)</v>
      </c>
      <c r="H47" s="916" t="n">
        <f aca="false">IFERROR(IF('Facility Master'!D48="FB-Term",IF('Facility Master'!Z48="","-",'Facility Master'!Z48-AsOfDate),IF('Facility Master'!AB48="","-",'Facility Master'!AB48-AsOfDate)),"-")</f>
        <v>1050</v>
      </c>
      <c r="I47" s="908" t="str">
        <f aca="false">IFERROR(IF('Facility Master'!D48="FB-Term",IF('Facility Master'!Z48="","No Maturity",IF(H47&lt;=180,"Maturing (&lt;=180d)",IF(H47&lt;=365,"Maturing (&lt;=1yr)","TL — On Schedule"))),IF('Facility Master'!AB48="","No Validity",IF(H47&lt;=30,"Expiring (&lt;=30d)",IF(H47&lt;=60,"Due for Review (&lt;=60d)","OK")))),"")</f>
        <v>OK</v>
      </c>
    </row>
    <row r="48" customFormat="false" ht="21.75" hidden="false" customHeight="true" outlineLevel="0" collapsed="false">
      <c r="A48" s="300" t="s">
        <v>635</v>
      </c>
      <c r="B48" s="455"/>
      <c r="C48" s="455"/>
      <c r="D48" s="650" t="n">
        <f aca="false">SUM(D4:D47)</f>
        <v>8251.072</v>
      </c>
      <c r="E48" s="650" t="n">
        <f aca="false">SUM(E4:E47)</f>
        <v>8251.072</v>
      </c>
      <c r="F48" s="455"/>
      <c r="G48" s="455"/>
      <c r="H48" s="455"/>
      <c r="I48" s="455"/>
    </row>
    <row r="49" customFormat="false" ht="19.5" hidden="false" customHeight="true" outlineLevel="0" collapsed="false">
      <c r="A49" s="652" t="s">
        <v>822</v>
      </c>
      <c r="B49" s="652"/>
      <c r="C49" s="652"/>
      <c r="D49" s="652"/>
      <c r="E49" s="652"/>
      <c r="F49" s="652"/>
      <c r="G49" s="652"/>
      <c r="H49" s="652"/>
      <c r="I49" s="652"/>
    </row>
    <row r="50" customFormat="false" ht="7.5" hidden="false" customHeight="true" outlineLevel="0" collapsed="false">
      <c r="A50" s="437"/>
      <c r="B50" s="437"/>
      <c r="C50" s="437"/>
      <c r="D50" s="437"/>
      <c r="E50" s="437"/>
      <c r="F50" s="437"/>
      <c r="G50" s="437"/>
      <c r="H50" s="437"/>
      <c r="I50" s="437"/>
    </row>
    <row r="51" customFormat="false" ht="21.75" hidden="false" customHeight="true" outlineLevel="0" collapsed="false">
      <c r="A51" s="455" t="s">
        <v>823</v>
      </c>
      <c r="B51" s="455"/>
      <c r="C51" s="455"/>
      <c r="D51" s="455"/>
      <c r="E51" s="455"/>
      <c r="F51" s="455"/>
      <c r="G51" s="455"/>
      <c r="H51" s="455"/>
      <c r="I51" s="455"/>
    </row>
    <row r="52" customFormat="false" ht="19.5" hidden="false" customHeight="true" outlineLevel="0" collapsed="false">
      <c r="B52" s="917" t="s">
        <v>824</v>
      </c>
      <c r="C52" s="918" t="s">
        <v>825</v>
      </c>
      <c r="D52" s="919"/>
      <c r="E52" s="919"/>
      <c r="F52" s="919"/>
      <c r="G52" s="919"/>
      <c r="H52" s="919"/>
      <c r="I52" s="919"/>
    </row>
    <row r="53" customFormat="false" ht="19.5" hidden="false" customHeight="true" outlineLevel="0" collapsed="false">
      <c r="B53" s="920" t="s">
        <v>826</v>
      </c>
      <c r="C53" s="921" t="s">
        <v>827</v>
      </c>
      <c r="D53" s="611"/>
      <c r="E53" s="611"/>
      <c r="F53" s="611"/>
      <c r="G53" s="611"/>
      <c r="H53" s="611"/>
      <c r="I53" s="611"/>
    </row>
    <row r="54" customFormat="false" ht="19.5" hidden="false" customHeight="true" outlineLevel="0" collapsed="false">
      <c r="B54" s="922" t="s">
        <v>828</v>
      </c>
      <c r="C54" s="923" t="s">
        <v>829</v>
      </c>
      <c r="D54" s="890"/>
      <c r="E54" s="890"/>
      <c r="F54" s="890"/>
      <c r="G54" s="890"/>
      <c r="H54" s="890"/>
      <c r="I54" s="890"/>
    </row>
    <row r="55" customFormat="false" ht="19.5" hidden="false" customHeight="true" outlineLevel="0" collapsed="false">
      <c r="B55" s="924" t="s">
        <v>830</v>
      </c>
      <c r="C55" s="925" t="s">
        <v>831</v>
      </c>
      <c r="D55" s="926"/>
      <c r="E55" s="926"/>
      <c r="F55" s="926"/>
      <c r="G55" s="926"/>
      <c r="H55" s="926"/>
      <c r="I55" s="926"/>
    </row>
    <row r="56" customFormat="false" ht="19.5" hidden="false" customHeight="true" outlineLevel="0" collapsed="false">
      <c r="B56" s="927" t="s">
        <v>832</v>
      </c>
      <c r="C56" s="928" t="s">
        <v>833</v>
      </c>
      <c r="D56" s="929"/>
      <c r="E56" s="929"/>
      <c r="F56" s="929"/>
      <c r="G56" s="929"/>
      <c r="H56" s="929"/>
      <c r="I56" s="929"/>
    </row>
    <row r="57" customFormat="false" ht="14.25" hidden="true" customHeight="true" outlineLevel="0" collapsed="false"/>
    <row r="58" customFormat="false" ht="14.25" hidden="true" customHeight="true" outlineLevel="0" collapsed="false"/>
    <row r="59" customFormat="false" ht="14.25" hidden="true" customHeight="true" outlineLevel="0" collapsed="false"/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25" activePane="bottomRight" state="frozen"/>
      <selection pane="topLeft" activeCell="A1" activeCellId="0" sqref="A1"/>
      <selection pane="topRight" activeCell="C1" activeCellId="0" sqref="C1"/>
      <selection pane="bottomLeft" activeCell="A25" activeCellId="0" sqref="A25"/>
      <selection pane="bottomRight" activeCell="H15" activeCellId="0" sqref="H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16.67"/>
    <col collapsed="false" customWidth="true" hidden="false" outlineLevel="0" max="3" min="3" style="1" width="38.88"/>
    <col collapsed="false" customWidth="true" hidden="false" outlineLevel="0" max="4" min="4" style="1" width="14.79"/>
    <col collapsed="false" customWidth="true" hidden="false" outlineLevel="0" max="5" min="5" style="1" width="16.67"/>
    <col collapsed="false" customWidth="true" hidden="false" outlineLevel="0" max="6" min="6" style="1" width="8.34"/>
    <col collapsed="false" customWidth="true" hidden="false" outlineLevel="0" max="7" min="7" style="1" width="24.11"/>
    <col collapsed="false" customWidth="true" hidden="false" outlineLevel="0" max="8" min="8" style="1" width="33.33"/>
    <col collapsed="false" customWidth="true" hidden="true" outlineLevel="0" max="10" min="9" style="1" width="11.53"/>
  </cols>
  <sheetData>
    <row r="1" customFormat="false" ht="27.75" hidden="false" customHeight="true" outlineLevel="0" collapsed="false">
      <c r="A1" s="340" t="s">
        <v>834</v>
      </c>
      <c r="B1" s="340"/>
      <c r="C1" s="340"/>
      <c r="D1" s="340"/>
      <c r="E1" s="340"/>
      <c r="F1" s="340"/>
      <c r="G1" s="340"/>
      <c r="H1" s="340"/>
    </row>
    <row r="2" customFormat="false" ht="15.75" hidden="false" customHeight="true" outlineLevel="0" collapsed="false">
      <c r="A2" s="434" t="s">
        <v>835</v>
      </c>
      <c r="B2" s="434"/>
      <c r="C2" s="434"/>
      <c r="D2" s="434"/>
      <c r="E2" s="434"/>
      <c r="F2" s="434"/>
      <c r="G2" s="434"/>
      <c r="H2" s="434"/>
    </row>
    <row r="3" customFormat="false" ht="24" hidden="false" customHeight="true" outlineLevel="0" collapsed="false">
      <c r="A3" s="861" t="s">
        <v>153</v>
      </c>
      <c r="B3" s="860" t="s">
        <v>82</v>
      </c>
      <c r="C3" s="860" t="s">
        <v>371</v>
      </c>
      <c r="D3" s="861" t="s">
        <v>393</v>
      </c>
      <c r="E3" s="861" t="s">
        <v>836</v>
      </c>
      <c r="F3" s="861" t="s">
        <v>837</v>
      </c>
      <c r="G3" s="861" t="s">
        <v>158</v>
      </c>
      <c r="H3" s="860" t="s">
        <v>838</v>
      </c>
    </row>
    <row r="4" customFormat="false" ht="19.5" hidden="false" customHeight="true" outlineLevel="0" collapsed="false">
      <c r="A4" s="742" t="n">
        <f aca="false">IFERROR('Facility Master'!A5,"")</f>
        <v>1</v>
      </c>
      <c r="B4" s="743" t="str">
        <f aca="false">IFERROR('Facility Master'!B5,"")</f>
        <v>UBI</v>
      </c>
      <c r="C4" s="744" t="str">
        <f aca="false">IFERROR('Facility Master'!C5,"")</f>
        <v>RTL-I (renewal)</v>
      </c>
      <c r="D4" s="930" t="n">
        <f aca="false">IFERROR('Facility Master'!AA5,"")</f>
        <v>45920</v>
      </c>
      <c r="E4" s="930" t="n">
        <f aca="false">IFERROR(IF('Facility Master'!D5="FB-Term",'Facility Master'!Z5,'Facility Master'!AB5),"")</f>
        <v>50860</v>
      </c>
      <c r="F4" s="931" t="n">
        <f aca="false">IFERROR(IF('Facility Master'!D5="FB-Term",IF('Facility Master'!Z5="","-",'Facility Master'!Z5-AsOfDate),IF('Facility Master'!AB5="","-",'Facility Master'!AB5-AsOfDate)),"-")</f>
        <v>4706</v>
      </c>
      <c r="G4" s="709" t="str">
        <f aca="false">IFERROR(IF('Facility Master'!D5="FB-Term",IF('Facility Master'!Z5="","No Maturity",IF(F4&lt;=180,"Maturing &lt;=180d",IF(F4&lt;=365,"Maturing &lt;=1yr","Term Loan — On Schedule"))),IF('Facility Master'!AB5="","No Validity Date",IF(F4&lt;0,"Validity passed — confirm renewal",IF(F4&lt;=30,"Expiring &lt;=30d",IF(F4&lt;=60,"Due &lt;=60d","Valid"))))),"")</f>
        <v>Term Loan — On Schedule</v>
      </c>
      <c r="H4" s="932" t="str">
        <f aca="false">IF(G4="Validity passed — confirm renewal","Confirm renewal with RM immediately",IF(LEFT(G4,8)="Expiring","Initiate renewal — 30 days",IF(G4="Due &lt;=60d","Begin renewal preparation",IF(G4="Maturing &lt;=180d","Plan refinance",IF(G4="Maturing &lt;=1yr","Begin refinance discussion","-")))))</f>
        <v>-</v>
      </c>
    </row>
    <row r="5" customFormat="false" ht="19.5" hidden="false" customHeight="true" outlineLevel="0" collapsed="false">
      <c r="A5" s="623" t="n">
        <f aca="false">IFERROR('Facility Master'!A6,"")</f>
        <v>2</v>
      </c>
      <c r="B5" s="669" t="s">
        <v>167</v>
      </c>
      <c r="C5" s="625" t="str">
        <f aca="false">IFERROR('Facility Master'!C6,"")</f>
        <v>RTL-II (fresh)</v>
      </c>
      <c r="D5" s="632" t="n">
        <f aca="false">IFERROR('Facility Master'!AA6,"")</f>
        <v>45920</v>
      </c>
      <c r="E5" s="632" t="n">
        <f aca="false">IFERROR(IF('Facility Master'!D6="FB-Term",'Facility Master'!Z6,'Facility Master'!AB6),"")</f>
        <v>50860</v>
      </c>
      <c r="F5" s="933" t="n">
        <f aca="false">IFERROR(IF('Facility Master'!D6="FB-Term",IF('Facility Master'!Z6="","-",'Facility Master'!Z6-AsOfDate),IF('Facility Master'!AB6="","-",'Facility Master'!AB6-AsOfDate)),"-")</f>
        <v>4706</v>
      </c>
      <c r="G5" s="709" t="str">
        <f aca="false">IFERROR(IF('Facility Master'!D6="FB-Term",IF('Facility Master'!Z6="","No Maturity",IF(F5&lt;=180,"Maturing &lt;=180d",IF(F5&lt;=365,"Maturing &lt;=1yr","Term Loan — On Schedule"))),IF('Facility Master'!AB6="","No Validity Date",IF(F5&lt;0,"Validity passed — confirm renewal",IF(F5&lt;=30,"Expiring &lt;=30d",IF(F5&lt;=60,"Due &lt;=60d","Valid"))))),"")</f>
        <v>Term Loan — On Schedule</v>
      </c>
      <c r="H5" s="934" t="str">
        <f aca="false">IF(G5="Validity passed — confirm renewal","Confirm renewal with RM immediately",IF(LEFT(G5,8)="Expiring","Initiate renewal — 30 days",IF(G5="Due &lt;=60d","Begin renewal preparation",IF(G5="Maturing &lt;=180d","Plan refinance",IF(G5="Maturing &lt;=1yr","Begin refinance discussion","-")))))</f>
        <v>-</v>
      </c>
    </row>
    <row r="6" customFormat="false" ht="19.5" hidden="false" customHeight="true" outlineLevel="0" collapsed="false">
      <c r="A6" s="633" t="n">
        <f aca="false">IFERROR('Facility Master'!A7,"")</f>
        <v>3</v>
      </c>
      <c r="B6" s="356" t="s">
        <v>167</v>
      </c>
      <c r="C6" s="357" t="str">
        <f aca="false">IFERROR('Facility Master'!C7,"")</f>
        <v>Letter of Credit (Capex LC/UPAS/SBLC)</v>
      </c>
      <c r="D6" s="639" t="n">
        <f aca="false">IFERROR('Facility Master'!AA7,"")</f>
        <v>45920</v>
      </c>
      <c r="E6" s="639" t="n">
        <f aca="false">IFERROR(IF('Facility Master'!D7="FB-Term",'Facility Master'!Z7,'Facility Master'!AB7),"")</f>
        <v>46284</v>
      </c>
      <c r="F6" s="373" t="n">
        <f aca="false">IFERROR(IF('Facility Master'!D7="FB-Term",IF('Facility Master'!Z7="","-",'Facility Master'!Z7-AsOfDate),IF('Facility Master'!AB7="","-",'Facility Master'!AB7-AsOfDate)),"-")</f>
        <v>130</v>
      </c>
      <c r="G6" s="900" t="str">
        <f aca="false">IFERROR(IF('Facility Master'!D7="FB-Term",IF('Facility Master'!Z7="","No Maturity",IF(F6&lt;=180,"Maturing &lt;=180d",IF(F6&lt;=365,"Maturing &lt;=1yr","Term Loan — On Schedule"))),IF('Facility Master'!AB7="","No Validity Date",IF(F6&lt;0,"Validity passed — confirm renewal",IF(F6&lt;=30,"Expiring &lt;=30d",IF(F6&lt;=60,"Due &lt;=60d","Valid"))))),"")</f>
        <v>Valid</v>
      </c>
      <c r="H6" s="935" t="str">
        <f aca="false">IF(G6="Validity passed — confirm renewal","Confirm renewal with RM immediately",IF(LEFT(G6,8)="Expiring","Initiate renewal — 30 days",IF(G6="Due &lt;=60d","Begin renewal preparation",IF(G6="Maturing &lt;=180d","Plan refinance",IF(G6="Maturing &lt;=1yr","Begin refinance discussion","-")))))</f>
        <v>-</v>
      </c>
    </row>
    <row r="7" customFormat="false" ht="19.5" hidden="false" customHeight="true" outlineLevel="0" collapsed="false">
      <c r="A7" s="623" t="n">
        <f aca="false">IFERROR('Facility Master'!A8,"")</f>
        <v>4</v>
      </c>
      <c r="B7" s="669" t="s">
        <v>167</v>
      </c>
      <c r="C7" s="625" t="str">
        <f aca="false">IFERROR('Facility Master'!C8,"")</f>
        <v>Bank Guarantee</v>
      </c>
      <c r="D7" s="632" t="n">
        <f aca="false">IFERROR('Facility Master'!AA8,"")</f>
        <v>45920</v>
      </c>
      <c r="E7" s="632" t="n">
        <f aca="false">IFERROR(IF('Facility Master'!D8="FB-Term",'Facility Master'!Z8,'Facility Master'!AB8),"")</f>
        <v>46284</v>
      </c>
      <c r="F7" s="805" t="n">
        <f aca="false">IFERROR(IF('Facility Master'!D8="FB-Term",IF('Facility Master'!Z8="","-",'Facility Master'!Z8-AsOfDate),IF('Facility Master'!AB8="","-",'Facility Master'!AB8-AsOfDate)),"-")</f>
        <v>130</v>
      </c>
      <c r="G7" s="900" t="str">
        <f aca="false">IFERROR(IF('Facility Master'!D8="FB-Term",IF('Facility Master'!Z8="","No Maturity",IF(F7&lt;=180,"Maturing &lt;=180d",IF(F7&lt;=365,"Maturing &lt;=1yr","Term Loan — On Schedule"))),IF('Facility Master'!AB8="","No Validity Date",IF(F7&lt;0,"Validity passed — confirm renewal",IF(F7&lt;=30,"Expiring &lt;=30d",IF(F7&lt;=60,"Due &lt;=60d","Valid"))))),"")</f>
        <v>Valid</v>
      </c>
      <c r="H7" s="934" t="str">
        <f aca="false">IF(G7="Validity passed — confirm renewal","Confirm renewal with RM immediately",IF(LEFT(G7,8)="Expiring","Initiate renewal — 30 days",IF(G7="Due &lt;=60d","Begin renewal preparation",IF(G7="Maturing &lt;=180d","Plan refinance",IF(G7="Maturing &lt;=1yr","Begin refinance discussion","-")))))</f>
        <v>-</v>
      </c>
    </row>
    <row r="8" customFormat="false" ht="19.5" hidden="false" customHeight="true" outlineLevel="0" collapsed="false">
      <c r="A8" s="633" t="n">
        <f aca="false">IFERROR('Facility Master'!A9,"")</f>
        <v>5</v>
      </c>
      <c r="B8" s="356" t="s">
        <v>167</v>
      </c>
      <c r="C8" s="357" t="str">
        <f aca="false">IFERROR('Facility Master'!C9,"")</f>
        <v>Forward Contract (credit equivalent)</v>
      </c>
      <c r="D8" s="639" t="n">
        <f aca="false">IFERROR('Facility Master'!AA9,"")</f>
        <v>45920</v>
      </c>
      <c r="E8" s="639" t="n">
        <f aca="false">IFERROR(IF('Facility Master'!D9="FB-Term",'Facility Master'!Z9,'Facility Master'!AB9),"")</f>
        <v>46284</v>
      </c>
      <c r="F8" s="373" t="n">
        <f aca="false">IFERROR(IF('Facility Master'!D9="FB-Term",IF('Facility Master'!Z9="","-",'Facility Master'!Z9-AsOfDate),IF('Facility Master'!AB9="","-",'Facility Master'!AB9-AsOfDate)),"-")</f>
        <v>130</v>
      </c>
      <c r="G8" s="900" t="str">
        <f aca="false">IFERROR(IF('Facility Master'!D9="FB-Term",IF('Facility Master'!Z9="","No Maturity",IF(F8&lt;=180,"Maturing &lt;=180d",IF(F8&lt;=365,"Maturing &lt;=1yr","Term Loan — On Schedule"))),IF('Facility Master'!AB9="","No Validity Date",IF(F8&lt;0,"Validity passed — confirm renewal",IF(F8&lt;=30,"Expiring &lt;=30d",IF(F8&lt;=60,"Due &lt;=60d","Valid"))))),"")</f>
        <v>Valid</v>
      </c>
      <c r="H8" s="935" t="str">
        <f aca="false">IF(G8="Validity passed — confirm renewal","Confirm renewal with RM immediately",IF(LEFT(G8,8)="Expiring","Initiate renewal — 30 days",IF(G8="Due &lt;=60d","Begin renewal preparation",IF(G8="Maturing &lt;=180d","Plan refinance",IF(G8="Maturing &lt;=1yr","Begin refinance discussion","-")))))</f>
        <v>-</v>
      </c>
    </row>
    <row r="9" customFormat="false" ht="19.5" hidden="false" customHeight="true" outlineLevel="0" collapsed="false">
      <c r="A9" s="754" t="n">
        <f aca="false">IFERROR('Facility Master'!A10,"")</f>
        <v>6</v>
      </c>
      <c r="B9" s="755" t="str">
        <f aca="false">IFERROR('Facility Master'!B10,"")</f>
        <v>Indian Bank</v>
      </c>
      <c r="C9" s="756" t="str">
        <f aca="false">IFERROR('Facility Master'!C10,"")</f>
        <v>Term Loan (per amendment ticket)</v>
      </c>
      <c r="D9" s="936" t="n">
        <f aca="false">IFERROR('Facility Master'!AA10,"")</f>
        <v>45926</v>
      </c>
      <c r="E9" s="936" t="n">
        <f aca="false">IFERROR(IF('Facility Master'!D10="FB-Term",'Facility Master'!Z10,'Facility Master'!AB10),"")</f>
        <v>50770</v>
      </c>
      <c r="F9" s="937" t="n">
        <f aca="false">IFERROR(IF('Facility Master'!D10="FB-Term",IF('Facility Master'!Z10="","-",'Facility Master'!Z10-AsOfDate),IF('Facility Master'!AB10="","-",'Facility Master'!AB10-AsOfDate)),"-")</f>
        <v>4616</v>
      </c>
      <c r="G9" s="709" t="str">
        <f aca="false">IFERROR(IF('Facility Master'!D10="FB-Term",IF('Facility Master'!Z10="","No Maturity",IF(F9&lt;=180,"Maturing &lt;=180d",IF(F9&lt;=365,"Maturing &lt;=1yr","Term Loan — On Schedule"))),IF('Facility Master'!AB10="","No Validity Date",IF(F9&lt;0,"Validity passed — confirm renewal",IF(F9&lt;=30,"Expiring &lt;=30d",IF(F9&lt;=60,"Due &lt;=60d","Valid"))))),"")</f>
        <v>Term Loan — On Schedule</v>
      </c>
      <c r="H9" s="938" t="str">
        <f aca="false">IF(G9="Validity passed — confirm renewal","Confirm renewal with RM immediately",IF(LEFT(G9,8)="Expiring","Initiate renewal — 30 days",IF(G9="Due &lt;=60d","Begin renewal preparation",IF(G9="Maturing &lt;=180d","Plan refinance",IF(G9="Maturing &lt;=1yr","Begin refinance discussion","-")))))</f>
        <v>-</v>
      </c>
    </row>
    <row r="10" customFormat="false" ht="19.5" hidden="false" customHeight="true" outlineLevel="0" collapsed="false">
      <c r="A10" s="613" t="n">
        <f aca="false">IFERROR('Facility Master'!A11,"")</f>
        <v>7</v>
      </c>
      <c r="B10" s="614" t="str">
        <f aca="false">IFERROR('Facility Master'!B11,"")</f>
        <v>RBL Bank</v>
      </c>
      <c r="C10" s="615" t="str">
        <f aca="false">IFERROR('Facility Master'!C11,"")</f>
        <v>Term Loan (12-month bullet bridge)</v>
      </c>
      <c r="D10" s="622" t="n">
        <f aca="false">IFERROR('Facility Master'!AA11,"")</f>
        <v>45974</v>
      </c>
      <c r="E10" s="622" t="n">
        <f aca="false">IFERROR(IF('Facility Master'!D11="FB-Term",'Facility Master'!Z11,'Facility Master'!AB11),"")</f>
        <v>46339</v>
      </c>
      <c r="F10" s="818" t="n">
        <f aca="false">IFERROR(IF('Facility Master'!D11="FB-Term",IF('Facility Master'!Z11="","-",'Facility Master'!Z11-AsOfDate),IF('Facility Master'!AB11="","-",'Facility Master'!AB11-AsOfDate)),"-")</f>
        <v>185</v>
      </c>
      <c r="G10" s="906" t="str">
        <f aca="false">IFERROR(IF('Facility Master'!D11="FB-Term",IF('Facility Master'!Z11="","No Maturity",IF(F10&lt;=180,"Maturing &lt;=180d",IF(F10&lt;=365,"Maturing &lt;=1yr","Term Loan — On Schedule"))),IF('Facility Master'!AB11="","No Validity Date",IF(F10&lt;0,"Validity passed — confirm renewal",IF(F10&lt;=30,"Expiring &lt;=30d",IF(F10&lt;=60,"Due &lt;=60d","Valid"))))),"")</f>
        <v>Maturing &lt;=1yr</v>
      </c>
      <c r="H10" s="939" t="str">
        <f aca="false">IF(G10="Validity passed — confirm renewal","Confirm renewal with RM immediately",IF(LEFT(G10,8)="Expiring","Initiate renewal — 30 days",IF(G10="Due &lt;=60d","Begin renewal preparation",IF(G10="Maturing &lt;=180d","Plan refinance",IF(G10="Maturing &lt;=1yr","Begin refinance discussion","-")))))</f>
        <v>Begin refinance discussion</v>
      </c>
    </row>
    <row r="11" customFormat="false" ht="19.5" hidden="false" customHeight="true" outlineLevel="0" collapsed="false">
      <c r="A11" s="613" t="n">
        <f aca="false">IFERROR('Facility Master'!A12,"")</f>
        <v>8</v>
      </c>
      <c r="B11" s="672" t="s">
        <v>167</v>
      </c>
      <c r="C11" s="615" t="str">
        <f aca="false">IFERROR('Facility Master'!C12,"")</f>
        <v>Letter of Credit (sub-limit of TL)</v>
      </c>
      <c r="D11" s="622" t="n">
        <f aca="false">IFERROR('Facility Master'!AA12,"")</f>
        <v>45974</v>
      </c>
      <c r="E11" s="622" t="n">
        <f aca="false">IFERROR(IF('Facility Master'!D12="FB-Term",'Facility Master'!Z12,'Facility Master'!AB12),"")</f>
        <v>46265</v>
      </c>
      <c r="F11" s="818" t="n">
        <f aca="false">IFERROR(IF('Facility Master'!D12="FB-Term",IF('Facility Master'!Z12="","-",'Facility Master'!Z12-AsOfDate),IF('Facility Master'!AB12="","-",'Facility Master'!AB12-AsOfDate)),"-")</f>
        <v>111</v>
      </c>
      <c r="G11" s="900" t="str">
        <f aca="false">IFERROR(IF('Facility Master'!D12="FB-Term",IF('Facility Master'!Z12="","No Maturity",IF(F11&lt;=180,"Maturing &lt;=180d",IF(F11&lt;=365,"Maturing &lt;=1yr","Term Loan — On Schedule"))),IF('Facility Master'!AB12="","No Validity Date",IF(F11&lt;0,"Validity passed — confirm renewal",IF(F11&lt;=30,"Expiring &lt;=30d",IF(F11&lt;=60,"Due &lt;=60d","Valid"))))),"")</f>
        <v>Valid</v>
      </c>
      <c r="H11" s="940" t="str">
        <f aca="false">IF(G11="Validity passed — confirm renewal","Confirm renewal with RM immediately",IF(LEFT(G11,8)="Expiring","Initiate renewal — 30 days",IF(G11="Due &lt;=60d","Begin renewal preparation",IF(G11="Maturing &lt;=180d","Plan refinance",IF(G11="Maturing &lt;=1yr","Begin refinance discussion","-")))))</f>
        <v>-</v>
      </c>
    </row>
    <row r="12" customFormat="false" ht="19.5" hidden="false" customHeight="true" outlineLevel="0" collapsed="false">
      <c r="A12" s="633" t="n">
        <f aca="false">IFERROR('Facility Master'!A13,"")</f>
        <v>9</v>
      </c>
      <c r="B12" s="356" t="s">
        <v>167</v>
      </c>
      <c r="C12" s="357" t="str">
        <f aca="false">IFERROR('Facility Master'!C13,"")</f>
        <v>FDOD (Overdraft against FD)</v>
      </c>
      <c r="D12" s="639" t="n">
        <f aca="false">IFERROR('Facility Master'!AA13,"")</f>
        <v>45974</v>
      </c>
      <c r="E12" s="639" t="n">
        <f aca="false">IFERROR(IF('Facility Master'!D13="FB-Term",'Facility Master'!Z13,'Facility Master'!AB13),"")</f>
        <v>46265</v>
      </c>
      <c r="F12" s="373" t="n">
        <f aca="false">IFERROR(IF('Facility Master'!D13="FB-Term",IF('Facility Master'!Z13="","-",'Facility Master'!Z13-AsOfDate),IF('Facility Master'!AB13="","-",'Facility Master'!AB13-AsOfDate)),"-")</f>
        <v>111</v>
      </c>
      <c r="G12" s="900" t="str">
        <f aca="false">IFERROR(IF('Facility Master'!D13="FB-Term",IF('Facility Master'!Z13="","No Maturity",IF(F12&lt;=180,"Maturing &lt;=180d",IF(F12&lt;=365,"Maturing &lt;=1yr","Term Loan — On Schedule"))),IF('Facility Master'!AB13="","No Validity Date",IF(F12&lt;0,"Validity passed — confirm renewal",IF(F12&lt;=30,"Expiring &lt;=30d",IF(F12&lt;=60,"Due &lt;=60d","Valid"))))),"")</f>
        <v>Valid</v>
      </c>
      <c r="H12" s="935" t="str">
        <f aca="false">IF(G12="Validity passed — confirm renewal","Confirm renewal with RM immediately",IF(LEFT(G12,8)="Expiring","Initiate renewal — 30 days",IF(G12="Due &lt;=60d","Begin renewal preparation",IF(G12="Maturing &lt;=180d","Plan refinance",IF(G12="Maturing &lt;=1yr","Begin refinance discussion","-")))))</f>
        <v>-</v>
      </c>
    </row>
    <row r="13" customFormat="false" ht="19.5" hidden="false" customHeight="true" outlineLevel="0" collapsed="false">
      <c r="A13" s="742" t="n">
        <f aca="false">IFERROR('Facility Master'!A14,"")</f>
        <v>10</v>
      </c>
      <c r="B13" s="743" t="str">
        <f aca="false">IFERROR('Facility Master'!B14,"")</f>
        <v>YES Bank</v>
      </c>
      <c r="C13" s="744" t="str">
        <f aca="false">IFERROR('Facility Master'!C14,"")</f>
        <v>Term Loan (project, new consortium joiner)</v>
      </c>
      <c r="D13" s="930" t="n">
        <f aca="false">IFERROR('Facility Master'!AA14,"")</f>
        <v>46020</v>
      </c>
      <c r="E13" s="930" t="n">
        <f aca="false">IFERROR(IF('Facility Master'!D14="FB-Term",'Facility Master'!Z14,'Facility Master'!AB14),"")</f>
        <v>50860</v>
      </c>
      <c r="F13" s="931" t="n">
        <f aca="false">IFERROR(IF('Facility Master'!D14="FB-Term",IF('Facility Master'!Z14="","-",'Facility Master'!Z14-AsOfDate),IF('Facility Master'!AB14="","-",'Facility Master'!AB14-AsOfDate)),"-")</f>
        <v>4706</v>
      </c>
      <c r="G13" s="709" t="str">
        <f aca="false">IFERROR(IF('Facility Master'!D14="FB-Term",IF('Facility Master'!Z14="","No Maturity",IF(F13&lt;=180,"Maturing &lt;=180d",IF(F13&lt;=365,"Maturing &lt;=1yr","Term Loan — On Schedule"))),IF('Facility Master'!AB14="","No Validity Date",IF(F13&lt;0,"Validity passed — confirm renewal",IF(F13&lt;=30,"Expiring &lt;=30d",IF(F13&lt;=60,"Due &lt;=60d","Valid"))))),"")</f>
        <v>Term Loan — On Schedule</v>
      </c>
      <c r="H13" s="932" t="str">
        <f aca="false">IF(G13="Validity passed — confirm renewal","Confirm renewal with RM immediately",IF(LEFT(G13,8)="Expiring","Initiate renewal — 30 days",IF(G13="Due &lt;=60d","Begin renewal preparation",IF(G13="Maturing &lt;=180d","Plan refinance",IF(G13="Maturing &lt;=1yr","Begin refinance discussion","-")))))</f>
        <v>-</v>
      </c>
    </row>
    <row r="14" customFormat="false" ht="19.5" hidden="false" customHeight="true" outlineLevel="0" collapsed="false">
      <c r="A14" s="633" t="n">
        <f aca="false">IFERROR('Facility Master'!A15,"")</f>
        <v>11</v>
      </c>
      <c r="B14" s="356" t="s">
        <v>167</v>
      </c>
      <c r="C14" s="357" t="str">
        <f aca="false">IFERROR('Facility Master'!C15,"")</f>
        <v>Capex LC (sub-limit of TL)</v>
      </c>
      <c r="D14" s="639" t="n">
        <f aca="false">IFERROR('Facility Master'!AA15,"")</f>
        <v>46020</v>
      </c>
      <c r="E14" s="639" t="n">
        <f aca="false">IFERROR(IF('Facility Master'!D15="FB-Term",'Facility Master'!Z15,'Facility Master'!AB15),"")</f>
        <v>47116</v>
      </c>
      <c r="F14" s="907" t="n">
        <f aca="false">IFERROR(IF('Facility Master'!D15="FB-Term",IF('Facility Master'!Z15="","-",'Facility Master'!Z15-AsOfDate),IF('Facility Master'!AB15="","-",'Facility Master'!AB15-AsOfDate)),"-")</f>
        <v>962</v>
      </c>
      <c r="G14" s="908" t="str">
        <f aca="false">IFERROR(IF('Facility Master'!D15="FB-Term",IF('Facility Master'!Z15="","No Maturity",IF(F14&lt;=180,"Maturing &lt;=180d",IF(F14&lt;=365,"Maturing &lt;=1yr","Term Loan — On Schedule"))),IF('Facility Master'!AB15="","No Validity Date",IF(F14&lt;0,"Validity passed — confirm renewal",IF(F14&lt;=30,"Expiring &lt;=30d",IF(F14&lt;=60,"Due &lt;=60d","Valid"))))),"")</f>
        <v>Valid</v>
      </c>
      <c r="H14" s="941" t="str">
        <f aca="false">IF(G14="Validity passed — confirm renewal","Confirm renewal with RM immediately",IF(LEFT(G14,8)="Expiring","Initiate renewal — 30 days",IF(G14="Due &lt;=60d","Begin renewal preparation",IF(G14="Maturing &lt;=180d","Plan refinance",IF(G14="Maturing &lt;=1yr","Begin refinance discussion","-")))))</f>
        <v>-</v>
      </c>
    </row>
    <row r="15" customFormat="false" ht="19.5" hidden="false" customHeight="true" outlineLevel="0" collapsed="false">
      <c r="A15" s="754" t="n">
        <f aca="false">IFERROR('Facility Master'!A16,"")</f>
        <v>12</v>
      </c>
      <c r="B15" s="755" t="str">
        <f aca="false">IFERROR('Facility Master'!B16,"")</f>
        <v>IDFC First Bank</v>
      </c>
      <c r="C15" s="756" t="str">
        <f aca="false">IFERROR('Facility Master'!C16,"")</f>
        <v>RTL (project, new consortium joiner)</v>
      </c>
      <c r="D15" s="936" t="n">
        <f aca="false">IFERROR('Facility Master'!AA16,"")</f>
        <v>46031</v>
      </c>
      <c r="E15" s="936" t="n">
        <f aca="false">IFERROR(IF('Facility Master'!D16="FB-Term",'Facility Master'!Z16,'Facility Master'!AB16),"")</f>
        <v>50860</v>
      </c>
      <c r="F15" s="937" t="n">
        <f aca="false">IFERROR(IF('Facility Master'!D16="FB-Term",IF('Facility Master'!Z16="","-",'Facility Master'!Z16-AsOfDate),IF('Facility Master'!AB16="","-",'Facility Master'!AB16-AsOfDate)),"-")</f>
        <v>4706</v>
      </c>
      <c r="G15" s="709" t="str">
        <f aca="false">IFERROR(IF('Facility Master'!D16="FB-Term",IF('Facility Master'!Z16="","No Maturity",IF(F15&lt;=180,"Maturing &lt;=180d",IF(F15&lt;=365,"Maturing &lt;=1yr","Term Loan — On Schedule"))),IF('Facility Master'!AB16="","No Validity Date",IF(F15&lt;0,"Validity passed — confirm renewal",IF(F15&lt;=30,"Expiring &lt;=30d",IF(F15&lt;=60,"Due &lt;=60d","Valid"))))),"")</f>
        <v>Term Loan — On Schedule</v>
      </c>
      <c r="H15" s="938" t="str">
        <f aca="false">IF(G15="Validity passed — confirm renewal","Confirm renewal with RM immediately",IF(LEFT(G15,8)="Expiring","Initiate renewal — 30 days",IF(G15="Due &lt;=60d","Begin renewal preparation",IF(G15="Maturing &lt;=180d","Plan refinance",IF(G15="Maturing &lt;=1yr","Begin refinance discussion","-")))))</f>
        <v>-</v>
      </c>
    </row>
    <row r="16" customFormat="false" ht="19.5" hidden="false" customHeight="true" outlineLevel="0" collapsed="false">
      <c r="A16" s="633" t="n">
        <f aca="false">IFERROR('Facility Master'!A17,"")</f>
        <v>13</v>
      </c>
      <c r="B16" s="356" t="s">
        <v>167</v>
      </c>
      <c r="C16" s="357" t="str">
        <f aca="false">IFERROR('Facility Master'!C17,"")</f>
        <v>NFB — Capex LC/SBLC (A)</v>
      </c>
      <c r="D16" s="639" t="n">
        <f aca="false">IFERROR('Facility Master'!AA17,"")</f>
        <v>46031</v>
      </c>
      <c r="E16" s="639" t="n">
        <f aca="false">IFERROR(IF('Facility Master'!D17="FB-Term",'Facility Master'!Z17,'Facility Master'!AB17),"")</f>
        <v>46295</v>
      </c>
      <c r="F16" s="373" t="n">
        <f aca="false">IFERROR(IF('Facility Master'!D17="FB-Term",IF('Facility Master'!Z17="","-",'Facility Master'!Z17-AsOfDate),IF('Facility Master'!AB17="","-",'Facility Master'!AB17-AsOfDate)),"-")</f>
        <v>141</v>
      </c>
      <c r="G16" s="900" t="str">
        <f aca="false">IFERROR(IF('Facility Master'!D17="FB-Term",IF('Facility Master'!Z17="","No Maturity",IF(F16&lt;=180,"Maturing &lt;=180d",IF(F16&lt;=365,"Maturing &lt;=1yr","Term Loan — On Schedule"))),IF('Facility Master'!AB17="","No Validity Date",IF(F16&lt;0,"Validity passed — confirm renewal",IF(F16&lt;=30,"Expiring &lt;=30d",IF(F16&lt;=60,"Due &lt;=60d","Valid"))))),"")</f>
        <v>Valid</v>
      </c>
      <c r="H16" s="935" t="str">
        <f aca="false">IF(G16="Validity passed — confirm renewal","Confirm renewal with RM immediately",IF(LEFT(G16,8)="Expiring","Initiate renewal — 30 days",IF(G16="Due &lt;=60d","Begin renewal preparation",IF(G16="Maturing &lt;=180d","Plan refinance",IF(G16="Maturing &lt;=1yr","Begin refinance discussion","-")))))</f>
        <v>-</v>
      </c>
    </row>
    <row r="17" customFormat="false" ht="19.5" hidden="false" customHeight="true" outlineLevel="0" collapsed="false">
      <c r="A17" s="764" t="n">
        <f aca="false">IFERROR('Facility Master'!A18,"")</f>
        <v>14</v>
      </c>
      <c r="B17" s="765" t="s">
        <v>167</v>
      </c>
      <c r="C17" s="766" t="str">
        <f aca="false">IFERROR('Facility Master'!C18,"")</f>
        <v>NFB — BG / SBLC (B, sub-limit within ₹400 cap)</v>
      </c>
      <c r="D17" s="942" t="n">
        <f aca="false">IFERROR('Facility Master'!AA18,"")</f>
        <v>46031</v>
      </c>
      <c r="E17" s="942" t="n">
        <f aca="false">IFERROR(IF('Facility Master'!D18="FB-Term",'Facility Master'!Z18,'Facility Master'!AB18),"")</f>
        <v>46295</v>
      </c>
      <c r="F17" s="827" t="n">
        <f aca="false">IFERROR(IF('Facility Master'!D18="FB-Term",IF('Facility Master'!Z18="","-",'Facility Master'!Z18-AsOfDate),IF('Facility Master'!AB18="","-",'Facility Master'!AB18-AsOfDate)),"-")</f>
        <v>141</v>
      </c>
      <c r="G17" s="900" t="str">
        <f aca="false">IFERROR(IF('Facility Master'!D18="FB-Term",IF('Facility Master'!Z18="","No Maturity",IF(F17&lt;=180,"Maturing &lt;=180d",IF(F17&lt;=365,"Maturing &lt;=1yr","Term Loan — On Schedule"))),IF('Facility Master'!AB18="","No Validity Date",IF(F17&lt;0,"Validity passed — confirm renewal",IF(F17&lt;=30,"Expiring &lt;=30d",IF(F17&lt;=60,"Due &lt;=60d","Valid"))))),"")</f>
        <v>Valid</v>
      </c>
      <c r="H17" s="943" t="str">
        <f aca="false">IF(G17="Validity passed — confirm renewal","Confirm renewal with RM immediately",IF(LEFT(G17,8)="Expiring","Initiate renewal — 30 days",IF(G17="Due &lt;=60d","Begin renewal preparation",IF(G17="Maturing &lt;=180d","Plan refinance",IF(G17="Maturing &lt;=1yr","Begin refinance discussion","-")))))</f>
        <v>-</v>
      </c>
    </row>
    <row r="18" customFormat="false" ht="19.5" hidden="false" customHeight="true" outlineLevel="0" collapsed="false">
      <c r="A18" s="742" t="n">
        <f aca="false">IFERROR('Facility Master'!A19,"")</f>
        <v>15</v>
      </c>
      <c r="B18" s="743" t="str">
        <f aca="false">IFERROR('Facility Master'!B19,"")</f>
        <v>ICICI Bank</v>
      </c>
      <c r="C18" s="744" t="str">
        <f aca="false">IFERROR('Facility Master'!C19,"")</f>
        <v>Cash Credit (WC)</v>
      </c>
      <c r="D18" s="930" t="n">
        <f aca="false">IFERROR('Facility Master'!AA19,"")</f>
        <v>46065</v>
      </c>
      <c r="E18" s="930" t="n">
        <f aca="false">IFERROR(IF('Facility Master'!D19="FB-Term",'Facility Master'!Z19,'Facility Master'!AB19),"")</f>
        <v>46421</v>
      </c>
      <c r="F18" s="802" t="n">
        <f aca="false">IFERROR(IF('Facility Master'!D19="FB-Term",IF('Facility Master'!Z19="","-",'Facility Master'!Z19-AsOfDate),IF('Facility Master'!AB19="","-",'Facility Master'!AB19-AsOfDate)),"-")</f>
        <v>267</v>
      </c>
      <c r="G18" s="900" t="str">
        <f aca="false">IFERROR(IF('Facility Master'!D19="FB-Term",IF('Facility Master'!Z19="","No Maturity",IF(F18&lt;=180,"Maturing &lt;=180d",IF(F18&lt;=365,"Maturing &lt;=1yr","Term Loan — On Schedule"))),IF('Facility Master'!AB19="","No Validity Date",IF(F18&lt;0,"Validity passed — confirm renewal",IF(F18&lt;=30,"Expiring &lt;=30d",IF(F18&lt;=60,"Due &lt;=60d","Valid"))))),"")</f>
        <v>Valid</v>
      </c>
      <c r="H18" s="932" t="str">
        <f aca="false">IF(G18="Validity passed — confirm renewal","Confirm renewal with RM immediately",IF(LEFT(G18,8)="Expiring","Initiate renewal — 30 days",IF(G18="Due &lt;=60d","Begin renewal preparation",IF(G18="Maturing &lt;=180d","Plan refinance",IF(G18="Maturing &lt;=1yr","Begin refinance discussion","-")))))</f>
        <v>-</v>
      </c>
    </row>
    <row r="19" customFormat="false" ht="19.5" hidden="false" customHeight="true" outlineLevel="0" collapsed="false">
      <c r="A19" s="623" t="n">
        <f aca="false">IFERROR('Facility Master'!A20,"")</f>
        <v>16</v>
      </c>
      <c r="B19" s="669" t="s">
        <v>167</v>
      </c>
      <c r="C19" s="625" t="str">
        <f aca="false">IFERROR('Facility Master'!C20,"")</f>
        <v>WCDL (sub-limit of CC)</v>
      </c>
      <c r="D19" s="632" t="n">
        <f aca="false">IFERROR('Facility Master'!AA20,"")</f>
        <v>46065</v>
      </c>
      <c r="E19" s="632" t="n">
        <f aca="false">IFERROR(IF('Facility Master'!D20="FB-Term",'Facility Master'!Z20,'Facility Master'!AB20),"")</f>
        <v>46421</v>
      </c>
      <c r="F19" s="805" t="n">
        <f aca="false">IFERROR(IF('Facility Master'!D20="FB-Term",IF('Facility Master'!Z20="","-",'Facility Master'!Z20-AsOfDate),IF('Facility Master'!AB20="","-",'Facility Master'!AB20-AsOfDate)),"-")</f>
        <v>267</v>
      </c>
      <c r="G19" s="900" t="str">
        <f aca="false">IFERROR(IF('Facility Master'!D20="FB-Term",IF('Facility Master'!Z20="","No Maturity",IF(F19&lt;=180,"Maturing &lt;=180d",IF(F19&lt;=365,"Maturing &lt;=1yr","Term Loan — On Schedule"))),IF('Facility Master'!AB20="","No Validity Date",IF(F19&lt;0,"Validity passed — confirm renewal",IF(F19&lt;=30,"Expiring &lt;=30d",IF(F19&lt;=60,"Due &lt;=60d","Valid"))))),"")</f>
        <v>Valid</v>
      </c>
      <c r="H19" s="934" t="str">
        <f aca="false">IF(G19="Validity passed — confirm renewal","Confirm renewal with RM immediately",IF(LEFT(G19,8)="Expiring","Initiate renewal — 30 days",IF(G19="Due &lt;=60d","Begin renewal preparation",IF(G19="Maturing &lt;=180d","Plan refinance",IF(G19="Maturing &lt;=1yr","Begin refinance discussion","-")))))</f>
        <v>-</v>
      </c>
    </row>
    <row r="20" customFormat="false" ht="19.5" hidden="false" customHeight="true" outlineLevel="0" collapsed="false">
      <c r="A20" s="633" t="n">
        <f aca="false">IFERROR('Facility Master'!A21,"")</f>
        <v>17</v>
      </c>
      <c r="B20" s="356" t="s">
        <v>167</v>
      </c>
      <c r="C20" s="357" t="str">
        <f aca="false">IFERROR('Facility Master'!C21,"")</f>
        <v>Letter of Credit (WC)</v>
      </c>
      <c r="D20" s="639" t="n">
        <f aca="false">IFERROR('Facility Master'!AA21,"")</f>
        <v>46065</v>
      </c>
      <c r="E20" s="639" t="n">
        <f aca="false">IFERROR(IF('Facility Master'!D21="FB-Term",'Facility Master'!Z21,'Facility Master'!AB21),"")</f>
        <v>46421</v>
      </c>
      <c r="F20" s="373" t="n">
        <f aca="false">IFERROR(IF('Facility Master'!D21="FB-Term",IF('Facility Master'!Z21="","-",'Facility Master'!Z21-AsOfDate),IF('Facility Master'!AB21="","-",'Facility Master'!AB21-AsOfDate)),"-")</f>
        <v>267</v>
      </c>
      <c r="G20" s="900" t="str">
        <f aca="false">IFERROR(IF('Facility Master'!D21="FB-Term",IF('Facility Master'!Z21="","No Maturity",IF(F20&lt;=180,"Maturing &lt;=180d",IF(F20&lt;=365,"Maturing &lt;=1yr","Term Loan — On Schedule"))),IF('Facility Master'!AB21="","No Validity Date",IF(F20&lt;0,"Validity passed — confirm renewal",IF(F20&lt;=30,"Expiring &lt;=30d",IF(F20&lt;=60,"Due &lt;=60d","Valid"))))),"")</f>
        <v>Valid</v>
      </c>
      <c r="H20" s="935" t="str">
        <f aca="false">IF(G20="Validity passed — confirm renewal","Confirm renewal with RM immediately",IF(LEFT(G20,8)="Expiring","Initiate renewal — 30 days",IF(G20="Due &lt;=60d","Begin renewal preparation",IF(G20="Maturing &lt;=180d","Plan refinance",IF(G20="Maturing &lt;=1yr","Begin refinance discussion","-")))))</f>
        <v>-</v>
      </c>
    </row>
    <row r="21" customFormat="false" ht="19.5" hidden="false" customHeight="true" outlineLevel="0" collapsed="false">
      <c r="A21" s="623" t="n">
        <f aca="false">IFERROR('Facility Master'!A22,"")</f>
        <v>18</v>
      </c>
      <c r="B21" s="669" t="s">
        <v>167</v>
      </c>
      <c r="C21" s="625" t="str">
        <f aca="false">IFERROR('Facility Master'!C22,"")</f>
        <v>BG (F+P, sub-limit of LC)</v>
      </c>
      <c r="D21" s="632" t="n">
        <f aca="false">IFERROR('Facility Master'!AA22,"")</f>
        <v>46065</v>
      </c>
      <c r="E21" s="632" t="n">
        <f aca="false">IFERROR(IF('Facility Master'!D22="FB-Term",'Facility Master'!Z22,'Facility Master'!AB22),"")</f>
        <v>46421</v>
      </c>
      <c r="F21" s="805" t="n">
        <f aca="false">IFERROR(IF('Facility Master'!D22="FB-Term",IF('Facility Master'!Z22="","-",'Facility Master'!Z22-AsOfDate),IF('Facility Master'!AB22="","-",'Facility Master'!AB22-AsOfDate)),"-")</f>
        <v>267</v>
      </c>
      <c r="G21" s="900" t="str">
        <f aca="false">IFERROR(IF('Facility Master'!D22="FB-Term",IF('Facility Master'!Z22="","No Maturity",IF(F21&lt;=180,"Maturing &lt;=180d",IF(F21&lt;=365,"Maturing &lt;=1yr","Term Loan — On Schedule"))),IF('Facility Master'!AB22="","No Validity Date",IF(F21&lt;0,"Validity passed — confirm renewal",IF(F21&lt;=30,"Expiring &lt;=30d",IF(F21&lt;=60,"Due &lt;=60d","Valid"))))),"")</f>
        <v>Valid</v>
      </c>
      <c r="H21" s="934" t="str">
        <f aca="false">IF(G21="Validity passed — confirm renewal","Confirm renewal with RM immediately",IF(LEFT(G21,8)="Expiring","Initiate renewal — 30 days",IF(G21="Due &lt;=60d","Begin renewal preparation",IF(G21="Maturing &lt;=180d","Plan refinance",IF(G21="Maturing &lt;=1yr","Begin refinance discussion","-")))))</f>
        <v>-</v>
      </c>
    </row>
    <row r="22" customFormat="false" ht="19.5" hidden="false" customHeight="true" outlineLevel="0" collapsed="false">
      <c r="A22" s="832" t="n">
        <f aca="false">IFERROR('Facility Master'!A23,"")</f>
        <v>19</v>
      </c>
      <c r="B22" s="910" t="str">
        <f aca="false">IFERROR('Facility Master'!B23,"")</f>
        <v>HSBC</v>
      </c>
      <c r="C22" s="911" t="str">
        <f aca="false">IFERROR('Facility Master'!C23,"")</f>
        <v>Combined Limit (Uncommitted)</v>
      </c>
      <c r="D22" s="944" t="n">
        <f aca="false">IFERROR('Facility Master'!AA23,"")</f>
        <v>46080</v>
      </c>
      <c r="E22" s="944" t="n">
        <f aca="false">IFERROR(IF('Facility Master'!D23="FB-Term",'Facility Master'!Z23,'Facility Master'!AB23),"")</f>
        <v>46265</v>
      </c>
      <c r="F22" s="836" t="n">
        <f aca="false">IFERROR(IF('Facility Master'!D23="FB-Term",IF('Facility Master'!Z23="","-",'Facility Master'!Z23-AsOfDate),IF('Facility Master'!AB23="","-",'Facility Master'!AB23-AsOfDate)),"-")</f>
        <v>111</v>
      </c>
      <c r="G22" s="900" t="str">
        <f aca="false">IFERROR(IF('Facility Master'!D23="FB-Term",IF('Facility Master'!Z23="","No Maturity",IF(F22&lt;=180,"Maturing &lt;=180d",IF(F22&lt;=365,"Maturing &lt;=1yr","Term Loan — On Schedule"))),IF('Facility Master'!AB23="","No Validity Date",IF(F22&lt;0,"Validity passed — confirm renewal",IF(F22&lt;=30,"Expiring &lt;=30d",IF(F22&lt;=60,"Due &lt;=60d","Valid"))))),"")</f>
        <v>Valid</v>
      </c>
      <c r="H22" s="945" t="str">
        <f aca="false">IF(G22="Validity passed — confirm renewal","Confirm renewal with RM immediately",IF(LEFT(G22,8)="Expiring","Initiate renewal — 30 days",IF(G22="Due &lt;=60d","Begin renewal preparation",IF(G22="Maturing &lt;=180d","Plan refinance",IF(G22="Maturing &lt;=1yr","Begin refinance discussion","-")))))</f>
        <v>-</v>
      </c>
    </row>
    <row r="23" customFormat="false" ht="19.5" hidden="false" customHeight="true" outlineLevel="0" collapsed="false">
      <c r="A23" s="640" t="n">
        <f aca="false">IFERROR('Facility Master'!A24,"")</f>
        <v>20</v>
      </c>
      <c r="B23" s="668" t="s">
        <v>167</v>
      </c>
      <c r="C23" s="663" t="str">
        <f aca="false">IFERROR('Facility Master'!C24,"")</f>
        <v>Working Capital Loan (Uncommitted, sub of #1)</v>
      </c>
      <c r="D23" s="649" t="n">
        <f aca="false">IFERROR('Facility Master'!AA24,"")</f>
        <v>46080</v>
      </c>
      <c r="E23" s="649" t="n">
        <f aca="false">IFERROR(IF('Facility Master'!D24="FB-Term",'Facility Master'!Z24,'Facility Master'!AB24),"")</f>
        <v>46265</v>
      </c>
      <c r="F23" s="841" t="n">
        <f aca="false">IFERROR(IF('Facility Master'!D24="FB-Term",IF('Facility Master'!Z24="","-",'Facility Master'!Z24-AsOfDate),IF('Facility Master'!AB24="","-",'Facility Master'!AB24-AsOfDate)),"-")</f>
        <v>111</v>
      </c>
      <c r="G23" s="900" t="str">
        <f aca="false">IFERROR(IF('Facility Master'!D24="FB-Term",IF('Facility Master'!Z24="","No Maturity",IF(F23&lt;=180,"Maturing &lt;=180d",IF(F23&lt;=365,"Maturing &lt;=1yr","Term Loan — On Schedule"))),IF('Facility Master'!AB24="","No Validity Date",IF(F23&lt;0,"Validity passed — confirm renewal",IF(F23&lt;=30,"Expiring &lt;=30d",IF(F23&lt;=60,"Due &lt;=60d","Valid"))))),"")</f>
        <v>Valid</v>
      </c>
      <c r="H23" s="946" t="str">
        <f aca="false">IF(G23="Validity passed — confirm renewal","Confirm renewal with RM immediately",IF(LEFT(G23,8)="Expiring","Initiate renewal — 30 days",IF(G23="Due &lt;=60d","Begin renewal preparation",IF(G23="Maturing &lt;=180d","Plan refinance",IF(G23="Maturing &lt;=1yr","Begin refinance discussion","-")))))</f>
        <v>-</v>
      </c>
    </row>
    <row r="24" customFormat="false" ht="19.5" hidden="false" customHeight="true" outlineLevel="0" collapsed="false">
      <c r="A24" s="832" t="n">
        <f aca="false">IFERROR('Facility Master'!A25,"")</f>
        <v>21</v>
      </c>
      <c r="B24" s="914" t="s">
        <v>167</v>
      </c>
      <c r="C24" s="911" t="str">
        <f aca="false">IFERROR('Facility Master'!C25,"")</f>
        <v>Overdraft (Uncommitted, sub of WCL)</v>
      </c>
      <c r="D24" s="944" t="n">
        <f aca="false">IFERROR('Facility Master'!AA25,"")</f>
        <v>46080</v>
      </c>
      <c r="E24" s="944" t="n">
        <f aca="false">IFERROR(IF('Facility Master'!D25="FB-Term",'Facility Master'!Z25,'Facility Master'!AB25),"")</f>
        <v>46265</v>
      </c>
      <c r="F24" s="836" t="n">
        <f aca="false">IFERROR(IF('Facility Master'!D25="FB-Term",IF('Facility Master'!Z25="","-",'Facility Master'!Z25-AsOfDate),IF('Facility Master'!AB25="","-",'Facility Master'!AB25-AsOfDate)),"-")</f>
        <v>111</v>
      </c>
      <c r="G24" s="900" t="str">
        <f aca="false">IFERROR(IF('Facility Master'!D25="FB-Term",IF('Facility Master'!Z25="","No Maturity",IF(F24&lt;=180,"Maturing &lt;=180d",IF(F24&lt;=365,"Maturing &lt;=1yr","Term Loan — On Schedule"))),IF('Facility Master'!AB25="","No Validity Date",IF(F24&lt;0,"Validity passed — confirm renewal",IF(F24&lt;=30,"Expiring &lt;=30d",IF(F24&lt;=60,"Due &lt;=60d","Valid"))))),"")</f>
        <v>Valid</v>
      </c>
      <c r="H24" s="945" t="str">
        <f aca="false">IF(G24="Validity passed — confirm renewal","Confirm renewal with RM immediately",IF(LEFT(G24,8)="Expiring","Initiate renewal — 30 days",IF(G24="Due &lt;=60d","Begin renewal preparation",IF(G24="Maturing &lt;=180d","Plan refinance",IF(G24="Maturing &lt;=1yr","Begin refinance discussion","-")))))</f>
        <v>-</v>
      </c>
    </row>
    <row r="25" customFormat="false" ht="19.5" hidden="false" customHeight="true" outlineLevel="0" collapsed="false">
      <c r="A25" s="640" t="n">
        <f aca="false">IFERROR('Facility Master'!A26,"")</f>
        <v>22</v>
      </c>
      <c r="B25" s="668" t="s">
        <v>167</v>
      </c>
      <c r="C25" s="663" t="str">
        <f aca="false">IFERROR('Facility Master'!C26,"")</f>
        <v>Import Controlling line - 1 (Uncommitted)</v>
      </c>
      <c r="D25" s="649" t="n">
        <f aca="false">IFERROR('Facility Master'!AA26,"")</f>
        <v>46080</v>
      </c>
      <c r="E25" s="649" t="n">
        <f aca="false">IFERROR(IF('Facility Master'!D26="FB-Term",'Facility Master'!Z26,'Facility Master'!AB26),"")</f>
        <v>46265</v>
      </c>
      <c r="F25" s="841" t="n">
        <f aca="false">IFERROR(IF('Facility Master'!D26="FB-Term",IF('Facility Master'!Z26="","-",'Facility Master'!Z26-AsOfDate),IF('Facility Master'!AB26="","-",'Facility Master'!AB26-AsOfDate)),"-")</f>
        <v>111</v>
      </c>
      <c r="G25" s="900" t="str">
        <f aca="false">IFERROR(IF('Facility Master'!D26="FB-Term",IF('Facility Master'!Z26="","No Maturity",IF(F25&lt;=180,"Maturing &lt;=180d",IF(F25&lt;=365,"Maturing &lt;=1yr","Term Loan — On Schedule"))),IF('Facility Master'!AB26="","No Validity Date",IF(F25&lt;0,"Validity passed — confirm renewal",IF(F25&lt;=30,"Expiring &lt;=30d",IF(F25&lt;=60,"Due &lt;=60d","Valid"))))),"")</f>
        <v>Valid</v>
      </c>
      <c r="H25" s="946" t="str">
        <f aca="false">IF(G25="Validity passed — confirm renewal","Confirm renewal with RM immediately",IF(LEFT(G25,8)="Expiring","Initiate renewal — 30 days",IF(G25="Due &lt;=60d","Begin renewal preparation",IF(G25="Maturing &lt;=180d","Plan refinance",IF(G25="Maturing &lt;=1yr","Begin refinance discussion","-")))))</f>
        <v>-</v>
      </c>
    </row>
    <row r="26" customFormat="false" ht="19.5" hidden="false" customHeight="true" outlineLevel="0" collapsed="false">
      <c r="A26" s="832" t="n">
        <f aca="false">IFERROR('Facility Master'!A27,"")</f>
        <v>23</v>
      </c>
      <c r="B26" s="914" t="s">
        <v>167</v>
      </c>
      <c r="C26" s="911" t="str">
        <f aca="false">IFERROR('Facility Master'!C27,"")</f>
        <v>TradePay Domestic/Import (Uncommitted)</v>
      </c>
      <c r="D26" s="944" t="n">
        <f aca="false">IFERROR('Facility Master'!AA27,"")</f>
        <v>46080</v>
      </c>
      <c r="E26" s="944" t="n">
        <f aca="false">IFERROR(IF('Facility Master'!D27="FB-Term",'Facility Master'!Z27,'Facility Master'!AB27),"")</f>
        <v>46265</v>
      </c>
      <c r="F26" s="836" t="n">
        <f aca="false">IFERROR(IF('Facility Master'!D27="FB-Term",IF('Facility Master'!Z27="","-",'Facility Master'!Z27-AsOfDate),IF('Facility Master'!AB27="","-",'Facility Master'!AB27-AsOfDate)),"-")</f>
        <v>111</v>
      </c>
      <c r="G26" s="900" t="str">
        <f aca="false">IFERROR(IF('Facility Master'!D27="FB-Term",IF('Facility Master'!Z27="","No Maturity",IF(F26&lt;=180,"Maturing &lt;=180d",IF(F26&lt;=365,"Maturing &lt;=1yr","Term Loan — On Schedule"))),IF('Facility Master'!AB27="","No Validity Date",IF(F26&lt;0,"Validity passed — confirm renewal",IF(F26&lt;=30,"Expiring &lt;=30d",IF(F26&lt;=60,"Due &lt;=60d","Valid"))))),"")</f>
        <v>Valid</v>
      </c>
      <c r="H26" s="945" t="str">
        <f aca="false">IF(G26="Validity passed — confirm renewal","Confirm renewal with RM immediately",IF(LEFT(G26,8)="Expiring","Initiate renewal — 30 days",IF(G26="Due &lt;=60d","Begin renewal preparation",IF(G26="Maturing &lt;=180d","Plan refinance",IF(G26="Maturing &lt;=1yr","Begin refinance discussion","-")))))</f>
        <v>-</v>
      </c>
    </row>
    <row r="27" customFormat="false" ht="19.5" hidden="false" customHeight="true" outlineLevel="0" collapsed="false">
      <c r="A27" s="640" t="n">
        <f aca="false">IFERROR('Facility Master'!A28,"")</f>
        <v>24</v>
      </c>
      <c r="B27" s="668" t="s">
        <v>167</v>
      </c>
      <c r="C27" s="663" t="str">
        <f aca="false">IFERROR('Facility Master'!C28,"")</f>
        <v>Pre-shipment Buyer Loan (Uncommitted)</v>
      </c>
      <c r="D27" s="649" t="n">
        <f aca="false">IFERROR('Facility Master'!AA28,"")</f>
        <v>46080</v>
      </c>
      <c r="E27" s="649" t="n">
        <f aca="false">IFERROR(IF('Facility Master'!D28="FB-Term",'Facility Master'!Z28,'Facility Master'!AB28),"")</f>
        <v>46265</v>
      </c>
      <c r="F27" s="841" t="n">
        <f aca="false">IFERROR(IF('Facility Master'!D28="FB-Term",IF('Facility Master'!Z28="","-",'Facility Master'!Z28-AsOfDate),IF('Facility Master'!AB28="","-",'Facility Master'!AB28-AsOfDate)),"-")</f>
        <v>111</v>
      </c>
      <c r="G27" s="900" t="str">
        <f aca="false">IFERROR(IF('Facility Master'!D28="FB-Term",IF('Facility Master'!Z28="","No Maturity",IF(F27&lt;=180,"Maturing &lt;=180d",IF(F27&lt;=365,"Maturing &lt;=1yr","Term Loan — On Schedule"))),IF('Facility Master'!AB28="","No Validity Date",IF(F27&lt;0,"Validity passed — confirm renewal",IF(F27&lt;=30,"Expiring &lt;=30d",IF(F27&lt;=60,"Due &lt;=60d","Valid"))))),"")</f>
        <v>Valid</v>
      </c>
      <c r="H27" s="946" t="str">
        <f aca="false">IF(G27="Validity passed — confirm renewal","Confirm renewal with RM immediately",IF(LEFT(G27,8)="Expiring","Initiate renewal — 30 days",IF(G27="Due &lt;=60d","Begin renewal preparation",IF(G27="Maturing &lt;=180d","Plan refinance",IF(G27="Maturing &lt;=1yr","Begin refinance discussion","-")))))</f>
        <v>-</v>
      </c>
    </row>
    <row r="28" customFormat="false" ht="19.5" hidden="false" customHeight="true" outlineLevel="0" collapsed="false">
      <c r="A28" s="832" t="n">
        <f aca="false">IFERROR('Facility Master'!A29,"")</f>
        <v>25</v>
      </c>
      <c r="B28" s="914" t="s">
        <v>167</v>
      </c>
      <c r="C28" s="911" t="str">
        <f aca="false">IFERROR('Facility Master'!C29,"")</f>
        <v>Post-Shipment Buyer Loan / DPF / LAI (Uncommitted)</v>
      </c>
      <c r="D28" s="944" t="n">
        <f aca="false">IFERROR('Facility Master'!AA29,"")</f>
        <v>46080</v>
      </c>
      <c r="E28" s="944" t="n">
        <f aca="false">IFERROR(IF('Facility Master'!D29="FB-Term",'Facility Master'!Z29,'Facility Master'!AB29),"")</f>
        <v>46265</v>
      </c>
      <c r="F28" s="836" t="n">
        <f aca="false">IFERROR(IF('Facility Master'!D29="FB-Term",IF('Facility Master'!Z29="","-",'Facility Master'!Z29-AsOfDate),IF('Facility Master'!AB29="","-",'Facility Master'!AB29-AsOfDate)),"-")</f>
        <v>111</v>
      </c>
      <c r="G28" s="900" t="str">
        <f aca="false">IFERROR(IF('Facility Master'!D29="FB-Term",IF('Facility Master'!Z29="","No Maturity",IF(F28&lt;=180,"Maturing &lt;=180d",IF(F28&lt;=365,"Maturing &lt;=1yr","Term Loan — On Schedule"))),IF('Facility Master'!AB29="","No Validity Date",IF(F28&lt;0,"Validity passed — confirm renewal",IF(F28&lt;=30,"Expiring &lt;=30d",IF(F28&lt;=60,"Due &lt;=60d","Valid"))))),"")</f>
        <v>Valid</v>
      </c>
      <c r="H28" s="945" t="str">
        <f aca="false">IF(G28="Validity passed — confirm renewal","Confirm renewal with RM immediately",IF(LEFT(G28,8)="Expiring","Initiate renewal — 30 days",IF(G28="Due &lt;=60d","Begin renewal preparation",IF(G28="Maturing &lt;=180d","Plan refinance",IF(G28="Maturing &lt;=1yr","Begin refinance discussion","-")))))</f>
        <v>-</v>
      </c>
    </row>
    <row r="29" customFormat="false" ht="19.5" hidden="false" customHeight="true" outlineLevel="0" collapsed="false">
      <c r="A29" s="640" t="n">
        <f aca="false">IFERROR('Facility Master'!A30,"")</f>
        <v>26</v>
      </c>
      <c r="B29" s="668" t="s">
        <v>167</v>
      </c>
      <c r="C29" s="663" t="str">
        <f aca="false">IFERROR('Facility Master'!C30,"")</f>
        <v>Export Controlling line (Uncommitted)</v>
      </c>
      <c r="D29" s="649" t="n">
        <f aca="false">IFERROR('Facility Master'!AA30,"")</f>
        <v>46080</v>
      </c>
      <c r="E29" s="649" t="n">
        <f aca="false">IFERROR(IF('Facility Master'!D30="FB-Term",'Facility Master'!Z30,'Facility Master'!AB30),"")</f>
        <v>46265</v>
      </c>
      <c r="F29" s="841" t="n">
        <f aca="false">IFERROR(IF('Facility Master'!D30="FB-Term",IF('Facility Master'!Z30="","-",'Facility Master'!Z30-AsOfDate),IF('Facility Master'!AB30="","-",'Facility Master'!AB30-AsOfDate)),"-")</f>
        <v>111</v>
      </c>
      <c r="G29" s="900" t="str">
        <f aca="false">IFERROR(IF('Facility Master'!D30="FB-Term",IF('Facility Master'!Z30="","No Maturity",IF(F29&lt;=180,"Maturing &lt;=180d",IF(F29&lt;=365,"Maturing &lt;=1yr","Term Loan — On Schedule"))),IF('Facility Master'!AB30="","No Validity Date",IF(F29&lt;0,"Validity passed — confirm renewal",IF(F29&lt;=30,"Expiring &lt;=30d",IF(F29&lt;=60,"Due &lt;=60d","Valid"))))),"")</f>
        <v>Valid</v>
      </c>
      <c r="H29" s="946" t="str">
        <f aca="false">IF(G29="Validity passed — confirm renewal","Confirm renewal with RM immediately",IF(LEFT(G29,8)="Expiring","Initiate renewal — 30 days",IF(G29="Due &lt;=60d","Begin renewal preparation",IF(G29="Maturing &lt;=180d","Plan refinance",IF(G29="Maturing &lt;=1yr","Begin refinance discussion","-")))))</f>
        <v>-</v>
      </c>
    </row>
    <row r="30" customFormat="false" ht="19.5" hidden="false" customHeight="true" outlineLevel="0" collapsed="false">
      <c r="A30" s="832" t="n">
        <f aca="false">IFERROR('Facility Master'!A31,"")</f>
        <v>27</v>
      </c>
      <c r="B30" s="914" t="s">
        <v>167</v>
      </c>
      <c r="C30" s="911" t="str">
        <f aca="false">IFERROR('Facility Master'!C31,"")</f>
        <v>Pre-shipment Seller Loan (Uncommitted)</v>
      </c>
      <c r="D30" s="944" t="n">
        <f aca="false">IFERROR('Facility Master'!AA31,"")</f>
        <v>46080</v>
      </c>
      <c r="E30" s="944" t="n">
        <f aca="false">IFERROR(IF('Facility Master'!D31="FB-Term",'Facility Master'!Z31,'Facility Master'!AB31),"")</f>
        <v>46265</v>
      </c>
      <c r="F30" s="836" t="n">
        <f aca="false">IFERROR(IF('Facility Master'!D31="FB-Term",IF('Facility Master'!Z31="","-",'Facility Master'!Z31-AsOfDate),IF('Facility Master'!AB31="","-",'Facility Master'!AB31-AsOfDate)),"-")</f>
        <v>111</v>
      </c>
      <c r="G30" s="900" t="str">
        <f aca="false">IFERROR(IF('Facility Master'!D31="FB-Term",IF('Facility Master'!Z31="","No Maturity",IF(F30&lt;=180,"Maturing &lt;=180d",IF(F30&lt;=365,"Maturing &lt;=1yr","Term Loan — On Schedule"))),IF('Facility Master'!AB31="","No Validity Date",IF(F30&lt;0,"Validity passed — confirm renewal",IF(F30&lt;=30,"Expiring &lt;=30d",IF(F30&lt;=60,"Due &lt;=60d","Valid"))))),"")</f>
        <v>Valid</v>
      </c>
      <c r="H30" s="945" t="str">
        <f aca="false">IF(G30="Validity passed — confirm renewal","Confirm renewal with RM immediately",IF(LEFT(G30,8)="Expiring","Initiate renewal — 30 days",IF(G30="Due &lt;=60d","Begin renewal preparation",IF(G30="Maturing &lt;=180d","Plan refinance",IF(G30="Maturing &lt;=1yr","Begin refinance discussion","-")))))</f>
        <v>-</v>
      </c>
    </row>
    <row r="31" customFormat="false" ht="19.5" hidden="false" customHeight="true" outlineLevel="0" collapsed="false">
      <c r="A31" s="640" t="n">
        <f aca="false">IFERROR('Facility Master'!A32,"")</f>
        <v>28</v>
      </c>
      <c r="B31" s="668" t="s">
        <v>167</v>
      </c>
      <c r="C31" s="663" t="str">
        <f aca="false">IFERROR('Facility Master'!C32,"")</f>
        <v>Post-Shipment Seller Loan, Open Account (Uncommitted)</v>
      </c>
      <c r="D31" s="649" t="n">
        <f aca="false">IFERROR('Facility Master'!AA32,"")</f>
        <v>46080</v>
      </c>
      <c r="E31" s="649" t="n">
        <f aca="false">IFERROR(IF('Facility Master'!D32="FB-Term",'Facility Master'!Z32,'Facility Master'!AB32),"")</f>
        <v>46265</v>
      </c>
      <c r="F31" s="841" t="n">
        <f aca="false">IFERROR(IF('Facility Master'!D32="FB-Term",IF('Facility Master'!Z32="","-",'Facility Master'!Z32-AsOfDate),IF('Facility Master'!AB32="","-",'Facility Master'!AB32-AsOfDate)),"-")</f>
        <v>111</v>
      </c>
      <c r="G31" s="900" t="str">
        <f aca="false">IFERROR(IF('Facility Master'!D32="FB-Term",IF('Facility Master'!Z32="","No Maturity",IF(F31&lt;=180,"Maturing &lt;=180d",IF(F31&lt;=365,"Maturing &lt;=1yr","Term Loan — On Schedule"))),IF('Facility Master'!AB32="","No Validity Date",IF(F31&lt;0,"Validity passed — confirm renewal",IF(F31&lt;=30,"Expiring &lt;=30d",IF(F31&lt;=60,"Due &lt;=60d","Valid"))))),"")</f>
        <v>Valid</v>
      </c>
      <c r="H31" s="946" t="str">
        <f aca="false">IF(G31="Validity passed — confirm renewal","Confirm renewal with RM immediately",IF(LEFT(G31,8)="Expiring","Initiate renewal — 30 days",IF(G31="Due &lt;=60d","Begin renewal preparation",IF(G31="Maturing &lt;=180d","Plan refinance",IF(G31="Maturing &lt;=1yr","Begin refinance discussion","-")))))</f>
        <v>-</v>
      </c>
    </row>
    <row r="32" customFormat="false" ht="19.5" hidden="false" customHeight="true" outlineLevel="0" collapsed="false">
      <c r="A32" s="832" t="n">
        <f aca="false">IFERROR('Facility Master'!A33,"")</f>
        <v>29</v>
      </c>
      <c r="B32" s="914" t="s">
        <v>167</v>
      </c>
      <c r="C32" s="911" t="str">
        <f aca="false">IFERROR('Facility Master'!C33,"")</f>
        <v>Import Controlling line - 2 (Uncommitted)</v>
      </c>
      <c r="D32" s="944" t="n">
        <f aca="false">IFERROR('Facility Master'!AA33,"")</f>
        <v>46080</v>
      </c>
      <c r="E32" s="944" t="n">
        <f aca="false">IFERROR(IF('Facility Master'!D33="FB-Term",'Facility Master'!Z33,'Facility Master'!AB33),"")</f>
        <v>46265</v>
      </c>
      <c r="F32" s="836" t="n">
        <f aca="false">IFERROR(IF('Facility Master'!D33="FB-Term",IF('Facility Master'!Z33="","-",'Facility Master'!Z33-AsOfDate),IF('Facility Master'!AB33="","-",'Facility Master'!AB33-AsOfDate)),"-")</f>
        <v>111</v>
      </c>
      <c r="G32" s="900" t="str">
        <f aca="false">IFERROR(IF('Facility Master'!D33="FB-Term",IF('Facility Master'!Z33="","No Maturity",IF(F32&lt;=180,"Maturing &lt;=180d",IF(F32&lt;=365,"Maturing &lt;=1yr","Term Loan — On Schedule"))),IF('Facility Master'!AB33="","No Validity Date",IF(F32&lt;0,"Validity passed — confirm renewal",IF(F32&lt;=30,"Expiring &lt;=30d",IF(F32&lt;=60,"Due &lt;=60d","Valid"))))),"")</f>
        <v>Valid</v>
      </c>
      <c r="H32" s="945" t="str">
        <f aca="false">IF(G32="Validity passed — confirm renewal","Confirm renewal with RM immediately",IF(LEFT(G32,8)="Expiring","Initiate renewal — 30 days",IF(G32="Due &lt;=60d","Begin renewal preparation",IF(G32="Maturing &lt;=180d","Plan refinance",IF(G32="Maturing &lt;=1yr","Begin refinance discussion","-")))))</f>
        <v>-</v>
      </c>
    </row>
    <row r="33" customFormat="false" ht="19.5" hidden="false" customHeight="true" outlineLevel="0" collapsed="false">
      <c r="A33" s="640" t="n">
        <f aca="false">IFERROR('Facility Master'!A34,"")</f>
        <v>30</v>
      </c>
      <c r="B33" s="668" t="s">
        <v>167</v>
      </c>
      <c r="C33" s="663" t="str">
        <f aca="false">IFERROR('Facility Master'!C34,"")</f>
        <v>Import Documentary Credit - 12 (Uncommitted)</v>
      </c>
      <c r="D33" s="649" t="n">
        <f aca="false">IFERROR('Facility Master'!AA34,"")</f>
        <v>46080</v>
      </c>
      <c r="E33" s="649" t="n">
        <f aca="false">IFERROR(IF('Facility Master'!D34="FB-Term",'Facility Master'!Z34,'Facility Master'!AB34),"")</f>
        <v>46265</v>
      </c>
      <c r="F33" s="841" t="n">
        <f aca="false">IFERROR(IF('Facility Master'!D34="FB-Term",IF('Facility Master'!Z34="","-",'Facility Master'!Z34-AsOfDate),IF('Facility Master'!AB34="","-",'Facility Master'!AB34-AsOfDate)),"-")</f>
        <v>111</v>
      </c>
      <c r="G33" s="900" t="str">
        <f aca="false">IFERROR(IF('Facility Master'!D34="FB-Term",IF('Facility Master'!Z34="","No Maturity",IF(F33&lt;=180,"Maturing &lt;=180d",IF(F33&lt;=365,"Maturing &lt;=1yr","Term Loan — On Schedule"))),IF('Facility Master'!AB34="","No Validity Date",IF(F33&lt;0,"Validity passed — confirm renewal",IF(F33&lt;=30,"Expiring &lt;=30d",IF(F33&lt;=60,"Due &lt;=60d","Valid"))))),"")</f>
        <v>Valid</v>
      </c>
      <c r="H33" s="946" t="str">
        <f aca="false">IF(G33="Validity passed — confirm renewal","Confirm renewal with RM immediately",IF(LEFT(G33,8)="Expiring","Initiate renewal — 30 days",IF(G33="Due &lt;=60d","Begin renewal preparation",IF(G33="Maturing &lt;=180d","Plan refinance",IF(G33="Maturing &lt;=1yr","Begin refinance discussion","-")))))</f>
        <v>-</v>
      </c>
    </row>
    <row r="34" customFormat="false" ht="19.5" hidden="false" customHeight="true" outlineLevel="0" collapsed="false">
      <c r="A34" s="832" t="n">
        <f aca="false">IFERROR('Facility Master'!A35,"")</f>
        <v>31</v>
      </c>
      <c r="B34" s="914" t="s">
        <v>167</v>
      </c>
      <c r="C34" s="911" t="str">
        <f aca="false">IFERROR('Facility Master'!C35,"")</f>
        <v>Import Documentary Credit - 13 (Uncommitted)</v>
      </c>
      <c r="D34" s="944" t="n">
        <f aca="false">IFERROR('Facility Master'!AA35,"")</f>
        <v>46080</v>
      </c>
      <c r="E34" s="944" t="n">
        <f aca="false">IFERROR(IF('Facility Master'!D35="FB-Term",'Facility Master'!Z35,'Facility Master'!AB35),"")</f>
        <v>46265</v>
      </c>
      <c r="F34" s="836" t="n">
        <f aca="false">IFERROR(IF('Facility Master'!D35="FB-Term",IF('Facility Master'!Z35="","-",'Facility Master'!Z35-AsOfDate),IF('Facility Master'!AB35="","-",'Facility Master'!AB35-AsOfDate)),"-")</f>
        <v>111</v>
      </c>
      <c r="G34" s="900" t="str">
        <f aca="false">IFERROR(IF('Facility Master'!D35="FB-Term",IF('Facility Master'!Z35="","No Maturity",IF(F34&lt;=180,"Maturing &lt;=180d",IF(F34&lt;=365,"Maturing &lt;=1yr","Term Loan — On Schedule"))),IF('Facility Master'!AB35="","No Validity Date",IF(F34&lt;0,"Validity passed — confirm renewal",IF(F34&lt;=30,"Expiring &lt;=30d",IF(F34&lt;=60,"Due &lt;=60d","Valid"))))),"")</f>
        <v>Valid</v>
      </c>
      <c r="H34" s="945" t="str">
        <f aca="false">IF(G34="Validity passed — confirm renewal","Confirm renewal with RM immediately",IF(LEFT(G34,8)="Expiring","Initiate renewal — 30 days",IF(G34="Due &lt;=60d","Begin renewal preparation",IF(G34="Maturing &lt;=180d","Plan refinance",IF(G34="Maturing &lt;=1yr","Begin refinance discussion","-")))))</f>
        <v>-</v>
      </c>
    </row>
    <row r="35" customFormat="false" ht="19.5" hidden="false" customHeight="true" outlineLevel="0" collapsed="false">
      <c r="A35" s="640" t="n">
        <f aca="false">IFERROR('Facility Master'!A36,"")</f>
        <v>32</v>
      </c>
      <c r="B35" s="668" t="s">
        <v>167</v>
      </c>
      <c r="C35" s="663" t="str">
        <f aca="false">IFERROR('Facility Master'!C36,"")</f>
        <v>Guarantees/Bonds Non-Financial (Uncommitted)</v>
      </c>
      <c r="D35" s="649" t="n">
        <f aca="false">IFERROR('Facility Master'!AA36,"")</f>
        <v>46080</v>
      </c>
      <c r="E35" s="649" t="n">
        <f aca="false">IFERROR(IF('Facility Master'!D36="FB-Term",'Facility Master'!Z36,'Facility Master'!AB36),"")</f>
        <v>46265</v>
      </c>
      <c r="F35" s="841" t="n">
        <f aca="false">IFERROR(IF('Facility Master'!D36="FB-Term",IF('Facility Master'!Z36="","-",'Facility Master'!Z36-AsOfDate),IF('Facility Master'!AB36="","-",'Facility Master'!AB36-AsOfDate)),"-")</f>
        <v>111</v>
      </c>
      <c r="G35" s="900" t="str">
        <f aca="false">IFERROR(IF('Facility Master'!D36="FB-Term",IF('Facility Master'!Z36="","No Maturity",IF(F35&lt;=180,"Maturing &lt;=180d",IF(F35&lt;=365,"Maturing &lt;=1yr","Term Loan — On Schedule"))),IF('Facility Master'!AB36="","No Validity Date",IF(F35&lt;0,"Validity passed — confirm renewal",IF(F35&lt;=30,"Expiring &lt;=30d",IF(F35&lt;=60,"Due &lt;=60d","Valid"))))),"")</f>
        <v>Valid</v>
      </c>
      <c r="H35" s="946" t="str">
        <f aca="false">IF(G35="Validity passed — confirm renewal","Confirm renewal with RM immediately",IF(LEFT(G35,8)="Expiring","Initiate renewal — 30 days",IF(G35="Due &lt;=60d","Begin renewal preparation",IF(G35="Maturing &lt;=180d","Plan refinance",IF(G35="Maturing &lt;=1yr","Begin refinance discussion","-")))))</f>
        <v>-</v>
      </c>
    </row>
    <row r="36" customFormat="false" ht="19.5" hidden="false" customHeight="true" outlineLevel="0" collapsed="false">
      <c r="A36" s="832" t="n">
        <f aca="false">IFERROR('Facility Master'!A37,"")</f>
        <v>33</v>
      </c>
      <c r="B36" s="914" t="s">
        <v>167</v>
      </c>
      <c r="C36" s="911" t="str">
        <f aca="false">IFERROR('Facility Master'!C37,"")</f>
        <v>Guarantees/Bonds Financial (Uncommitted)</v>
      </c>
      <c r="D36" s="944" t="n">
        <f aca="false">IFERROR('Facility Master'!AA37,"")</f>
        <v>46080</v>
      </c>
      <c r="E36" s="944" t="n">
        <f aca="false">IFERROR(IF('Facility Master'!D37="FB-Term",'Facility Master'!Z37,'Facility Master'!AB37),"")</f>
        <v>46265</v>
      </c>
      <c r="F36" s="836" t="n">
        <f aca="false">IFERROR(IF('Facility Master'!D37="FB-Term",IF('Facility Master'!Z37="","-",'Facility Master'!Z37-AsOfDate),IF('Facility Master'!AB37="","-",'Facility Master'!AB37-AsOfDate)),"-")</f>
        <v>111</v>
      </c>
      <c r="G36" s="900" t="str">
        <f aca="false">IFERROR(IF('Facility Master'!D37="FB-Term",IF('Facility Master'!Z37="","No Maturity",IF(F36&lt;=180,"Maturing &lt;=180d",IF(F36&lt;=365,"Maturing &lt;=1yr","Term Loan — On Schedule"))),IF('Facility Master'!AB37="","No Validity Date",IF(F36&lt;0,"Validity passed — confirm renewal",IF(F36&lt;=30,"Expiring &lt;=30d",IF(F36&lt;=60,"Due &lt;=60d","Valid"))))),"")</f>
        <v>Valid</v>
      </c>
      <c r="H36" s="945" t="str">
        <f aca="false">IF(G36="Validity passed — confirm renewal","Confirm renewal with RM immediately",IF(LEFT(G36,8)="Expiring","Initiate renewal — 30 days",IF(G36="Due &lt;=60d","Begin renewal preparation",IF(G36="Maturing &lt;=180d","Plan refinance",IF(G36="Maturing &lt;=1yr","Begin refinance discussion","-")))))</f>
        <v>-</v>
      </c>
    </row>
    <row r="37" customFormat="false" ht="19.5" hidden="false" customHeight="true" outlineLevel="0" collapsed="false">
      <c r="A37" s="754" t="n">
        <f aca="false">IFERROR('Facility Master'!A38,"")</f>
        <v>34</v>
      </c>
      <c r="B37" s="755" t="str">
        <f aca="false">IFERROR('Facility Master'!B38,"")</f>
        <v>HDFC Bank</v>
      </c>
      <c r="C37" s="756" t="str">
        <f aca="false">IFERROR('Facility Master'!C38,"")</f>
        <v>Letter of Credit (WC parent)</v>
      </c>
      <c r="D37" s="936" t="n">
        <f aca="false">IFERROR('Facility Master'!AA38,"")</f>
        <v>46107</v>
      </c>
      <c r="E37" s="936" t="n">
        <f aca="false">IFERROR(IF('Facility Master'!D38="FB-Term",'Facility Master'!Z38,'Facility Master'!AB38),"")</f>
        <v>46265</v>
      </c>
      <c r="F37" s="814" t="n">
        <f aca="false">IFERROR(IF('Facility Master'!D38="FB-Term",IF('Facility Master'!Z38="","-",'Facility Master'!Z38-AsOfDate),IF('Facility Master'!AB38="","-",'Facility Master'!AB38-AsOfDate)),"-")</f>
        <v>111</v>
      </c>
      <c r="G37" s="900" t="str">
        <f aca="false">IFERROR(IF('Facility Master'!D38="FB-Term",IF('Facility Master'!Z38="","No Maturity",IF(F37&lt;=180,"Maturing &lt;=180d",IF(F37&lt;=365,"Maturing &lt;=1yr","Term Loan — On Schedule"))),IF('Facility Master'!AB38="","No Validity Date",IF(F37&lt;0,"Validity passed — confirm renewal",IF(F37&lt;=30,"Expiring &lt;=30d",IF(F37&lt;=60,"Due &lt;=60d","Valid"))))),"")</f>
        <v>Valid</v>
      </c>
      <c r="H37" s="938" t="str">
        <f aca="false">IF(G37="Validity passed — confirm renewal","Confirm renewal with RM immediately",IF(LEFT(G37,8)="Expiring","Initiate renewal — 30 days",IF(G37="Due &lt;=60d","Begin renewal preparation",IF(G37="Maturing &lt;=180d","Plan refinance",IF(G37="Maturing &lt;=1yr","Begin refinance discussion","-")))))</f>
        <v>-</v>
      </c>
    </row>
    <row r="38" customFormat="false" ht="19.5" hidden="false" customHeight="true" outlineLevel="0" collapsed="false">
      <c r="A38" s="633" t="n">
        <f aca="false">IFERROR('Facility Master'!A39,"")</f>
        <v>35</v>
      </c>
      <c r="B38" s="356" t="s">
        <v>167</v>
      </c>
      <c r="C38" s="357" t="str">
        <f aca="false">IFERROR('Facility Master'!C39,"")</f>
        <v>Post Shipment Finance (sub of LC)</v>
      </c>
      <c r="D38" s="639" t="n">
        <f aca="false">IFERROR('Facility Master'!AA39,"")</f>
        <v>46107</v>
      </c>
      <c r="E38" s="639" t="n">
        <f aca="false">IFERROR(IF('Facility Master'!D39="FB-Term",'Facility Master'!Z39,'Facility Master'!AB39),"")</f>
        <v>46265</v>
      </c>
      <c r="F38" s="373" t="n">
        <f aca="false">IFERROR(IF('Facility Master'!D39="FB-Term",IF('Facility Master'!Z39="","-",'Facility Master'!Z39-AsOfDate),IF('Facility Master'!AB39="","-",'Facility Master'!AB39-AsOfDate)),"-")</f>
        <v>111</v>
      </c>
      <c r="G38" s="900" t="str">
        <f aca="false">IFERROR(IF('Facility Master'!D39="FB-Term",IF('Facility Master'!Z39="","No Maturity",IF(F38&lt;=180,"Maturing &lt;=180d",IF(F38&lt;=365,"Maturing &lt;=1yr","Term Loan — On Schedule"))),IF('Facility Master'!AB39="","No Validity Date",IF(F38&lt;0,"Validity passed — confirm renewal",IF(F38&lt;=30,"Expiring &lt;=30d",IF(F38&lt;=60,"Due &lt;=60d","Valid"))))),"")</f>
        <v>Valid</v>
      </c>
      <c r="H38" s="935" t="str">
        <f aca="false">IF(G38="Validity passed — confirm renewal","Confirm renewal with RM immediately",IF(LEFT(G38,8)="Expiring","Initiate renewal — 30 days",IF(G38="Due &lt;=60d","Begin renewal preparation",IF(G38="Maturing &lt;=180d","Plan refinance",IF(G38="Maturing &lt;=1yr","Begin refinance discussion","-")))))</f>
        <v>-</v>
      </c>
    </row>
    <row r="39" customFormat="false" ht="19.5" hidden="false" customHeight="true" outlineLevel="0" collapsed="false">
      <c r="A39" s="764" t="n">
        <f aca="false">IFERROR('Facility Master'!A40,"")</f>
        <v>36</v>
      </c>
      <c r="B39" s="765" t="s">
        <v>167</v>
      </c>
      <c r="C39" s="766" t="str">
        <f aca="false">IFERROR('Facility Master'!C40,"")</f>
        <v>Pre-shipment Finance (sub of LC)</v>
      </c>
      <c r="D39" s="942" t="n">
        <f aca="false">IFERROR('Facility Master'!AA40,"")</f>
        <v>46107</v>
      </c>
      <c r="E39" s="942" t="n">
        <f aca="false">IFERROR(IF('Facility Master'!D40="FB-Term",'Facility Master'!Z40,'Facility Master'!AB40),"")</f>
        <v>46265</v>
      </c>
      <c r="F39" s="827" t="n">
        <f aca="false">IFERROR(IF('Facility Master'!D40="FB-Term",IF('Facility Master'!Z40="","-",'Facility Master'!Z40-AsOfDate),IF('Facility Master'!AB40="","-",'Facility Master'!AB40-AsOfDate)),"-")</f>
        <v>111</v>
      </c>
      <c r="G39" s="900" t="str">
        <f aca="false">IFERROR(IF('Facility Master'!D40="FB-Term",IF('Facility Master'!Z40="","No Maturity",IF(F39&lt;=180,"Maturing &lt;=180d",IF(F39&lt;=365,"Maturing &lt;=1yr","Term Loan — On Schedule"))),IF('Facility Master'!AB40="","No Validity Date",IF(F39&lt;0,"Validity passed — confirm renewal",IF(F39&lt;=30,"Expiring &lt;=30d",IF(F39&lt;=60,"Due &lt;=60d","Valid"))))),"")</f>
        <v>Valid</v>
      </c>
      <c r="H39" s="943" t="str">
        <f aca="false">IF(G39="Validity passed — confirm renewal","Confirm renewal with RM immediately",IF(LEFT(G39,8)="Expiring","Initiate renewal — 30 days",IF(G39="Due &lt;=60d","Begin renewal preparation",IF(G39="Maturing &lt;=180d","Plan refinance",IF(G39="Maturing &lt;=1yr","Begin refinance discussion","-")))))</f>
        <v>-</v>
      </c>
    </row>
    <row r="40" customFormat="false" ht="19.5" hidden="false" customHeight="true" outlineLevel="0" collapsed="false">
      <c r="A40" s="633" t="n">
        <f aca="false">IFERROR('Facility Master'!A41,"")</f>
        <v>37</v>
      </c>
      <c r="B40" s="356" t="s">
        <v>167</v>
      </c>
      <c r="C40" s="357" t="str">
        <f aca="false">IFERROR('Facility Master'!C41,"")</f>
        <v>SBLC (sub of LC)</v>
      </c>
      <c r="D40" s="639" t="n">
        <f aca="false">IFERROR('Facility Master'!AA41,"")</f>
        <v>46107</v>
      </c>
      <c r="E40" s="639" t="n">
        <f aca="false">IFERROR(IF('Facility Master'!D41="FB-Term",'Facility Master'!Z41,'Facility Master'!AB41),"")</f>
        <v>46265</v>
      </c>
      <c r="F40" s="373" t="n">
        <f aca="false">IFERROR(IF('Facility Master'!D41="FB-Term",IF('Facility Master'!Z41="","-",'Facility Master'!Z41-AsOfDate),IF('Facility Master'!AB41="","-",'Facility Master'!AB41-AsOfDate)),"-")</f>
        <v>111</v>
      </c>
      <c r="G40" s="900" t="str">
        <f aca="false">IFERROR(IF('Facility Master'!D41="FB-Term",IF('Facility Master'!Z41="","No Maturity",IF(F40&lt;=180,"Maturing &lt;=180d",IF(F40&lt;=365,"Maturing &lt;=1yr","Term Loan — On Schedule"))),IF('Facility Master'!AB41="","No Validity Date",IF(F40&lt;0,"Validity passed — confirm renewal",IF(F40&lt;=30,"Expiring &lt;=30d",IF(F40&lt;=60,"Due &lt;=60d","Valid"))))),"")</f>
        <v>Valid</v>
      </c>
      <c r="H40" s="935" t="str">
        <f aca="false">IF(G40="Validity passed — confirm renewal","Confirm renewal with RM immediately",IF(LEFT(G40,8)="Expiring","Initiate renewal — 30 days",IF(G40="Due &lt;=60d","Begin renewal preparation",IF(G40="Maturing &lt;=180d","Plan refinance",IF(G40="Maturing &lt;=1yr","Begin refinance discussion","-")))))</f>
        <v>-</v>
      </c>
    </row>
    <row r="41" customFormat="false" ht="19.5" hidden="false" customHeight="true" outlineLevel="0" collapsed="false">
      <c r="A41" s="764" t="n">
        <f aca="false">IFERROR('Facility Master'!A42,"")</f>
        <v>38</v>
      </c>
      <c r="B41" s="765" t="s">
        <v>167</v>
      </c>
      <c r="C41" s="766" t="str">
        <f aca="false">IFERROR('Facility Master'!C42,"")</f>
        <v>Cash Credit (sub of LC)</v>
      </c>
      <c r="D41" s="942" t="n">
        <f aca="false">IFERROR('Facility Master'!AA42,"")</f>
        <v>46107</v>
      </c>
      <c r="E41" s="942" t="n">
        <f aca="false">IFERROR(IF('Facility Master'!D42="FB-Term",'Facility Master'!Z42,'Facility Master'!AB42),"")</f>
        <v>46265</v>
      </c>
      <c r="F41" s="827" t="n">
        <f aca="false">IFERROR(IF('Facility Master'!D42="FB-Term",IF('Facility Master'!Z42="","-",'Facility Master'!Z42-AsOfDate),IF('Facility Master'!AB42="","-",'Facility Master'!AB42-AsOfDate)),"-")</f>
        <v>111</v>
      </c>
      <c r="G41" s="900" t="str">
        <f aca="false">IFERROR(IF('Facility Master'!D42="FB-Term",IF('Facility Master'!Z42="","No Maturity",IF(F41&lt;=180,"Maturing &lt;=180d",IF(F41&lt;=365,"Maturing &lt;=1yr","Term Loan — On Schedule"))),IF('Facility Master'!AB42="","No Validity Date",IF(F41&lt;0,"Validity passed — confirm renewal",IF(F41&lt;=30,"Expiring &lt;=30d",IF(F41&lt;=60,"Due &lt;=60d","Valid"))))),"")</f>
        <v>Valid</v>
      </c>
      <c r="H41" s="943" t="str">
        <f aca="false">IF(G41="Validity passed — confirm renewal","Confirm renewal with RM immediately",IF(LEFT(G41,8)="Expiring","Initiate renewal — 30 days",IF(G41="Due &lt;=60d","Begin renewal preparation",IF(G41="Maturing &lt;=180d","Plan refinance",IF(G41="Maturing &lt;=1yr","Begin refinance discussion","-")))))</f>
        <v>-</v>
      </c>
    </row>
    <row r="42" customFormat="false" ht="19.5" hidden="false" customHeight="true" outlineLevel="0" collapsed="false">
      <c r="A42" s="633" t="n">
        <f aca="false">IFERROR('Facility Master'!A43,"")</f>
        <v>39</v>
      </c>
      <c r="B42" s="356" t="s">
        <v>167</v>
      </c>
      <c r="C42" s="357" t="str">
        <f aca="false">IFERROR('Facility Master'!C43,"")</f>
        <v>WCDL (sub of LC)</v>
      </c>
      <c r="D42" s="639" t="n">
        <f aca="false">IFERROR('Facility Master'!AA43,"")</f>
        <v>46107</v>
      </c>
      <c r="E42" s="639" t="n">
        <f aca="false">IFERROR(IF('Facility Master'!D43="FB-Term",'Facility Master'!Z43,'Facility Master'!AB43),"")</f>
        <v>46265</v>
      </c>
      <c r="F42" s="373" t="n">
        <f aca="false">IFERROR(IF('Facility Master'!D43="FB-Term",IF('Facility Master'!Z43="","-",'Facility Master'!Z43-AsOfDate),IF('Facility Master'!AB43="","-",'Facility Master'!AB43-AsOfDate)),"-")</f>
        <v>111</v>
      </c>
      <c r="G42" s="900" t="str">
        <f aca="false">IFERROR(IF('Facility Master'!D43="FB-Term",IF('Facility Master'!Z43="","No Maturity",IF(F42&lt;=180,"Maturing &lt;=180d",IF(F42&lt;=365,"Maturing &lt;=1yr","Term Loan — On Schedule"))),IF('Facility Master'!AB43="","No Validity Date",IF(F42&lt;0,"Validity passed — confirm renewal",IF(F42&lt;=30,"Expiring &lt;=30d",IF(F42&lt;=60,"Due &lt;=60d","Valid"))))),"")</f>
        <v>Valid</v>
      </c>
      <c r="H42" s="935" t="str">
        <f aca="false">IF(G42="Validity passed — confirm renewal","Confirm renewal with RM immediately",IF(LEFT(G42,8)="Expiring","Initiate renewal — 30 days",IF(G42="Due &lt;=60d","Begin renewal preparation",IF(G42="Maturing &lt;=180d","Plan refinance",IF(G42="Maturing &lt;=1yr","Begin refinance discussion","-")))))</f>
        <v>-</v>
      </c>
    </row>
    <row r="43" customFormat="false" ht="19.5" hidden="false" customHeight="true" outlineLevel="0" collapsed="false">
      <c r="A43" s="764" t="n">
        <f aca="false">IFERROR('Facility Master'!A44,"")</f>
        <v>40</v>
      </c>
      <c r="B43" s="765" t="s">
        <v>167</v>
      </c>
      <c r="C43" s="766" t="str">
        <f aca="false">IFERROR('Facility Master'!C44,"")</f>
        <v>FD-OD (FD-Backed)</v>
      </c>
      <c r="D43" s="942" t="n">
        <f aca="false">IFERROR('Facility Master'!AA44,"")</f>
        <v>46107</v>
      </c>
      <c r="E43" s="942" t="n">
        <f aca="false">IFERROR(IF('Facility Master'!D44="FB-Term",'Facility Master'!Z44,'Facility Master'!AB44),"")</f>
        <v>46265</v>
      </c>
      <c r="F43" s="827" t="n">
        <f aca="false">IFERROR(IF('Facility Master'!D44="FB-Term",IF('Facility Master'!Z44="","-",'Facility Master'!Z44-AsOfDate),IF('Facility Master'!AB44="","-",'Facility Master'!AB44-AsOfDate)),"-")</f>
        <v>111</v>
      </c>
      <c r="G43" s="900" t="str">
        <f aca="false">IFERROR(IF('Facility Master'!D44="FB-Term",IF('Facility Master'!Z44="","No Maturity",IF(F43&lt;=180,"Maturing &lt;=180d",IF(F43&lt;=365,"Maturing &lt;=1yr","Term Loan — On Schedule"))),IF('Facility Master'!AB44="","No Validity Date",IF(F43&lt;0,"Validity passed — confirm renewal",IF(F43&lt;=30,"Expiring &lt;=30d",IF(F43&lt;=60,"Due &lt;=60d","Valid"))))),"")</f>
        <v>Valid</v>
      </c>
      <c r="H43" s="943" t="str">
        <f aca="false">IF(G43="Validity passed — confirm renewal","Confirm renewal with RM immediately",IF(LEFT(G43,8)="Expiring","Initiate renewal — 30 days",IF(G43="Due &lt;=60d","Begin renewal preparation",IF(G43="Maturing &lt;=180d","Plan refinance",IF(G43="Maturing &lt;=1yr","Begin refinance discussion","-")))))</f>
        <v>-</v>
      </c>
    </row>
    <row r="44" customFormat="false" ht="19.5" hidden="false" customHeight="true" outlineLevel="0" collapsed="false">
      <c r="A44" s="633" t="n">
        <f aca="false">IFERROR('Facility Master'!A45,"")</f>
        <v>41</v>
      </c>
      <c r="B44" s="356" t="s">
        <v>167</v>
      </c>
      <c r="C44" s="357" t="str">
        <f aca="false">IFERROR('Facility Master'!C45,"")</f>
        <v>BG (sub of FD-OD)</v>
      </c>
      <c r="D44" s="639" t="n">
        <f aca="false">IFERROR('Facility Master'!AA45,"")</f>
        <v>46107</v>
      </c>
      <c r="E44" s="639" t="n">
        <f aca="false">IFERROR(IF('Facility Master'!D45="FB-Term",'Facility Master'!Z45,'Facility Master'!AB45),"")</f>
        <v>46265</v>
      </c>
      <c r="F44" s="373" t="n">
        <f aca="false">IFERROR(IF('Facility Master'!D45="FB-Term",IF('Facility Master'!Z45="","-",'Facility Master'!Z45-AsOfDate),IF('Facility Master'!AB45="","-",'Facility Master'!AB45-AsOfDate)),"-")</f>
        <v>111</v>
      </c>
      <c r="G44" s="900" t="str">
        <f aca="false">IFERROR(IF('Facility Master'!D45="FB-Term",IF('Facility Master'!Z45="","No Maturity",IF(F44&lt;=180,"Maturing &lt;=180d",IF(F44&lt;=365,"Maturing &lt;=1yr","Term Loan — On Schedule"))),IF('Facility Master'!AB45="","No Validity Date",IF(F44&lt;0,"Validity passed — confirm renewal",IF(F44&lt;=30,"Expiring &lt;=30d",IF(F44&lt;=60,"Due &lt;=60d","Valid"))))),"")</f>
        <v>Valid</v>
      </c>
      <c r="H44" s="935" t="str">
        <f aca="false">IF(G44="Validity passed — confirm renewal","Confirm renewal with RM immediately",IF(LEFT(G44,8)="Expiring","Initiate renewal — 30 days",IF(G44="Due &lt;=60d","Begin renewal preparation",IF(G44="Maturing &lt;=180d","Plan refinance",IF(G44="Maturing &lt;=1yr","Begin refinance discussion","-")))))</f>
        <v>-</v>
      </c>
    </row>
    <row r="45" customFormat="false" ht="19.5" hidden="false" customHeight="true" outlineLevel="0" collapsed="false">
      <c r="A45" s="613" t="n">
        <f aca="false">IFERROR('Facility Master'!A46,"")</f>
        <v>42</v>
      </c>
      <c r="B45" s="614" t="str">
        <f aca="false">IFERROR('Facility Master'!B46,"")</f>
        <v>ICICI Bank (TL)</v>
      </c>
      <c r="C45" s="615" t="str">
        <f aca="false">IFERROR('Facility Master'!C46,"")</f>
        <v>Term Loan — TAKEOVER of disbursed consortium</v>
      </c>
      <c r="D45" s="622" t="n">
        <f aca="false">IFERROR('Facility Master'!AA46,"")</f>
        <v>46108</v>
      </c>
      <c r="E45" s="622" t="n">
        <f aca="false">IFERROR(IF('Facility Master'!D46="FB-Term",'Facility Master'!Z46,'Facility Master'!AB46),"")</f>
        <v>50860</v>
      </c>
      <c r="F45" s="947" t="n">
        <f aca="false">IFERROR(IF('Facility Master'!D46="FB-Term",IF('Facility Master'!Z46="","-",'Facility Master'!Z46-AsOfDate),IF('Facility Master'!AB46="","-",'Facility Master'!AB46-AsOfDate)),"-")</f>
        <v>4706</v>
      </c>
      <c r="G45" s="709" t="str">
        <f aca="false">IFERROR(IF('Facility Master'!D46="FB-Term",IF('Facility Master'!Z46="","No Maturity",IF(F45&lt;=180,"Maturing &lt;=180d",IF(F45&lt;=365,"Maturing &lt;=1yr","Term Loan — On Schedule"))),IF('Facility Master'!AB46="","No Validity Date",IF(F45&lt;0,"Validity passed — confirm renewal",IF(F45&lt;=30,"Expiring &lt;=30d",IF(F45&lt;=60,"Due &lt;=60d","Valid"))))),"")</f>
        <v>Term Loan — On Schedule</v>
      </c>
      <c r="H45" s="940" t="str">
        <f aca="false">IF(G45="Validity passed — confirm renewal","Confirm renewal with RM immediately",IF(LEFT(G45,8)="Expiring","Initiate renewal — 30 days",IF(G45="Due &lt;=60d","Begin renewal preparation",IF(G45="Maturing &lt;=180d","Plan refinance",IF(G45="Maturing &lt;=1yr","Begin refinance discussion","-")))))</f>
        <v>-</v>
      </c>
    </row>
    <row r="46" customFormat="false" ht="19.5" hidden="false" customHeight="true" outlineLevel="0" collapsed="false">
      <c r="A46" s="633" t="n">
        <f aca="false">IFERROR('Facility Master'!A47,"")</f>
        <v>43</v>
      </c>
      <c r="B46" s="356" t="s">
        <v>167</v>
      </c>
      <c r="C46" s="357" t="str">
        <f aca="false">IFERROR('Facility Master'!C47,"")</f>
        <v>BG Financial (sub of RTL)</v>
      </c>
      <c r="D46" s="639" t="n">
        <f aca="false">IFERROR('Facility Master'!AA47,"")</f>
        <v>46108</v>
      </c>
      <c r="E46" s="639" t="n">
        <f aca="false">IFERROR(IF('Facility Master'!D47="FB-Term",'Facility Master'!Z47,'Facility Master'!AB47),"")</f>
        <v>47204</v>
      </c>
      <c r="F46" s="907" t="n">
        <f aca="false">IFERROR(IF('Facility Master'!D47="FB-Term",IF('Facility Master'!Z47="","-",'Facility Master'!Z47-AsOfDate),IF('Facility Master'!AB47="","-",'Facility Master'!AB47-AsOfDate)),"-")</f>
        <v>1050</v>
      </c>
      <c r="G46" s="908" t="str">
        <f aca="false">IFERROR(IF('Facility Master'!D47="FB-Term",IF('Facility Master'!Z47="","No Maturity",IF(F46&lt;=180,"Maturing &lt;=180d",IF(F46&lt;=365,"Maturing &lt;=1yr","Term Loan — On Schedule"))),IF('Facility Master'!AB47="","No Validity Date",IF(F46&lt;0,"Validity passed — confirm renewal",IF(F46&lt;=30,"Expiring &lt;=30d",IF(F46&lt;=60,"Due &lt;=60d","Valid"))))),"")</f>
        <v>Valid</v>
      </c>
      <c r="H46" s="941" t="str">
        <f aca="false">IF(G46="Validity passed — confirm renewal","Confirm renewal with RM immediately",IF(LEFT(G46,8)="Expiring","Initiate renewal — 30 days",IF(G46="Due &lt;=60d","Begin renewal preparation",IF(G46="Maturing &lt;=180d","Plan refinance",IF(G46="Maturing &lt;=1yr","Begin refinance discussion","-")))))</f>
        <v>-</v>
      </c>
    </row>
    <row r="47" customFormat="false" ht="19.5" hidden="false" customHeight="true" outlineLevel="0" collapsed="false">
      <c r="A47" s="613" t="n">
        <f aca="false">IFERROR('Facility Master'!A48,"")</f>
        <v>44</v>
      </c>
      <c r="B47" s="672" t="s">
        <v>167</v>
      </c>
      <c r="C47" s="615" t="str">
        <f aca="false">IFERROR('Facility Master'!C48,"")</f>
        <v>SBLC Buyers Credit (sub of RTL)</v>
      </c>
      <c r="D47" s="622" t="n">
        <f aca="false">IFERROR('Facility Master'!AA48,"")</f>
        <v>46108</v>
      </c>
      <c r="E47" s="622" t="n">
        <f aca="false">IFERROR(IF('Facility Master'!D48="FB-Term",'Facility Master'!Z48,'Facility Master'!AB48),"")</f>
        <v>47204</v>
      </c>
      <c r="F47" s="916" t="n">
        <f aca="false">IFERROR(IF('Facility Master'!D48="FB-Term",IF('Facility Master'!Z48="","-",'Facility Master'!Z48-AsOfDate),IF('Facility Master'!AB48="","-",'Facility Master'!AB48-AsOfDate)),"-")</f>
        <v>1050</v>
      </c>
      <c r="G47" s="908" t="str">
        <f aca="false">IFERROR(IF('Facility Master'!D48="FB-Term",IF('Facility Master'!Z48="","No Maturity",IF(F47&lt;=180,"Maturing &lt;=180d",IF(F47&lt;=365,"Maturing &lt;=1yr","Term Loan — On Schedule"))),IF('Facility Master'!AB48="","No Validity Date",IF(F47&lt;0,"Validity passed — confirm renewal",IF(F47&lt;=30,"Expiring &lt;=30d",IF(F47&lt;=60,"Due &lt;=60d","Valid"))))),"")</f>
        <v>Valid</v>
      </c>
      <c r="H47" s="939" t="str">
        <f aca="false">IF(G47="Validity passed — confirm renewal","Confirm renewal with RM immediately",IF(LEFT(G47,8)="Expiring","Initiate renewal — 30 days",IF(G47="Due &lt;=60d","Begin renewal preparation",IF(G47="Maturing &lt;=180d","Plan refinance",IF(G47="Maturing &lt;=1yr","Begin refinance discussion","-")))))</f>
        <v>-</v>
      </c>
    </row>
    <row r="48" customFormat="false" ht="6" hidden="false" customHeight="true" outlineLevel="0" collapsed="false">
      <c r="A48" s="437"/>
      <c r="B48" s="437"/>
      <c r="C48" s="437"/>
      <c r="D48" s="437"/>
      <c r="E48" s="437"/>
      <c r="F48" s="437"/>
      <c r="G48" s="437"/>
      <c r="H48" s="437"/>
    </row>
    <row r="49" customFormat="false" ht="24" hidden="false" customHeight="true" outlineLevel="0" collapsed="false">
      <c r="A49" s="948" t="s">
        <v>839</v>
      </c>
      <c r="B49" s="948"/>
      <c r="C49" s="948"/>
      <c r="D49" s="948"/>
      <c r="E49" s="948"/>
      <c r="F49" s="948"/>
      <c r="G49" s="948"/>
      <c r="H49" s="948"/>
    </row>
    <row r="50" customFormat="false" ht="19.5" hidden="false" customHeight="true" outlineLevel="0" collapsed="false">
      <c r="A50" s="949" t="str">
        <f aca="false">IF(COUNTIF(F4:F47, "Validity passed*")=0, "✅ No urgent renewals at this time.", "See rows above for facilities with negative days remaining.")</f>
        <v>✅ No urgent renewals at this time.</v>
      </c>
      <c r="E50" s="950"/>
      <c r="F50" s="950"/>
      <c r="G50" s="950"/>
      <c r="H50" s="950"/>
    </row>
    <row r="51" customFormat="false" ht="19.5" hidden="false" customHeight="true" outlineLevel="0" collapsed="false">
      <c r="E51" s="950"/>
      <c r="F51" s="950"/>
      <c r="G51" s="950"/>
      <c r="H51" s="950"/>
    </row>
    <row r="52" customFormat="false" ht="19.5" hidden="false" customHeight="true" outlineLevel="0" collapsed="false">
      <c r="E52" s="950"/>
      <c r="F52" s="950"/>
      <c r="G52" s="950"/>
      <c r="H52" s="950"/>
    </row>
    <row r="53" customFormat="false" ht="19.5" hidden="false" customHeight="true" outlineLevel="0" collapsed="false">
      <c r="A53" s="920" t="s">
        <v>840</v>
      </c>
      <c r="B53" s="920"/>
      <c r="C53" s="920"/>
      <c r="D53" s="920"/>
      <c r="E53" s="920"/>
      <c r="F53" s="920"/>
      <c r="G53" s="920"/>
      <c r="H53" s="920"/>
    </row>
    <row r="54" customFormat="false" ht="7.5" hidden="false" customHeight="true" outlineLevel="0" collapsed="false"/>
    <row r="55" customFormat="false" ht="21.75" hidden="false" customHeight="true" outlineLevel="0" collapsed="false">
      <c r="A55" s="951" t="s">
        <v>823</v>
      </c>
      <c r="B55" s="951"/>
      <c r="C55" s="951"/>
      <c r="D55" s="951"/>
      <c r="E55" s="951"/>
      <c r="F55" s="951"/>
      <c r="G55" s="951"/>
      <c r="H55" s="951"/>
    </row>
    <row r="56" customFormat="false" ht="19.5" hidden="false" customHeight="true" outlineLevel="0" collapsed="false">
      <c r="A56" s="917" t="s">
        <v>841</v>
      </c>
      <c r="B56" s="918" t="s">
        <v>842</v>
      </c>
    </row>
    <row r="57" customFormat="false" ht="19.5" hidden="false" customHeight="true" outlineLevel="0" collapsed="false">
      <c r="A57" s="920" t="s">
        <v>843</v>
      </c>
      <c r="B57" s="921" t="s">
        <v>844</v>
      </c>
    </row>
    <row r="58" customFormat="false" ht="19.5" hidden="false" customHeight="true" outlineLevel="0" collapsed="false">
      <c r="A58" s="922" t="s">
        <v>845</v>
      </c>
      <c r="B58" s="923" t="s">
        <v>846</v>
      </c>
    </row>
    <row r="59" customFormat="false" ht="19.5" hidden="false" customHeight="true" outlineLevel="0" collapsed="false">
      <c r="A59" s="924" t="s">
        <v>847</v>
      </c>
      <c r="B59" s="925" t="s">
        <v>848</v>
      </c>
    </row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28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pane xSplit="1" ySplit="1" topLeftCell="C7" activePane="bottomRight" state="frozen"/>
      <selection pane="topLeft" activeCell="B5" activeCellId="0" sqref="B5"/>
      <selection pane="topRight" activeCell="C5" activeCellId="0" sqref="C5"/>
      <selection pane="bottomLeft" activeCell="B7" activeCellId="0" sqref="B7"/>
      <selection pane="bottomRight" activeCell="F12" activeCellId="0" sqref="F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35"/>
    <col collapsed="false" customWidth="true" hidden="false" outlineLevel="0" max="5" min="5" style="1" width="60"/>
    <col collapsed="false" customWidth="true" hidden="false" outlineLevel="0" max="6" min="6" style="1" width="35"/>
    <col collapsed="false" customWidth="true" hidden="false" outlineLevel="0" max="7" min="7" style="1" width="50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952" t="s">
        <v>849</v>
      </c>
      <c r="B1" s="298"/>
      <c r="C1" s="298"/>
      <c r="D1" s="298"/>
      <c r="E1" s="298"/>
      <c r="F1" s="298"/>
      <c r="G1" s="298"/>
      <c r="H1" s="298"/>
      <c r="I1" s="298"/>
    </row>
    <row r="2" customFormat="false" ht="15" hidden="false" customHeight="true" outlineLevel="0" collapsed="false">
      <c r="A2" s="953" t="s">
        <v>850</v>
      </c>
      <c r="B2" s="298"/>
      <c r="C2" s="298"/>
      <c r="D2" s="298"/>
      <c r="E2" s="298"/>
      <c r="F2" s="298"/>
      <c r="G2" s="298"/>
      <c r="H2" s="298"/>
      <c r="I2" s="298"/>
    </row>
    <row r="3" customFormat="false" ht="15" hidden="false" customHeight="true" outlineLevel="0" collapsed="false">
      <c r="A3" s="298"/>
      <c r="B3" s="298"/>
      <c r="C3" s="298"/>
      <c r="D3" s="298"/>
      <c r="E3" s="298"/>
      <c r="F3" s="298"/>
      <c r="G3" s="298"/>
      <c r="H3" s="298"/>
      <c r="I3" s="298"/>
    </row>
    <row r="4" customFormat="false" ht="15" hidden="false" customHeight="true" outlineLevel="0" collapsed="false">
      <c r="A4" s="954" t="s">
        <v>851</v>
      </c>
      <c r="B4" s="954" t="s">
        <v>852</v>
      </c>
      <c r="C4" s="954" t="s">
        <v>119</v>
      </c>
      <c r="D4" s="954" t="s">
        <v>853</v>
      </c>
      <c r="E4" s="954" t="s">
        <v>742</v>
      </c>
      <c r="F4" s="954" t="s">
        <v>854</v>
      </c>
      <c r="G4" s="954" t="s">
        <v>838</v>
      </c>
      <c r="H4" s="954" t="s">
        <v>855</v>
      </c>
      <c r="I4" s="954" t="s">
        <v>158</v>
      </c>
    </row>
    <row r="5" customFormat="false" ht="54.75" hidden="false" customHeight="true" outlineLevel="0" collapsed="false">
      <c r="A5" s="955" t="s">
        <v>856</v>
      </c>
      <c r="B5" s="955" t="s">
        <v>857</v>
      </c>
      <c r="C5" s="955" t="s">
        <v>858</v>
      </c>
      <c r="D5" s="955" t="s">
        <v>859</v>
      </c>
      <c r="E5" s="955" t="s">
        <v>860</v>
      </c>
      <c r="F5" s="955" t="s">
        <v>861</v>
      </c>
      <c r="G5" s="955" t="s">
        <v>862</v>
      </c>
      <c r="H5" s="955" t="s">
        <v>863</v>
      </c>
      <c r="I5" s="956" t="s">
        <v>864</v>
      </c>
    </row>
    <row r="6" customFormat="false" ht="54.75" hidden="false" customHeight="true" outlineLevel="0" collapsed="false">
      <c r="A6" s="955" t="s">
        <v>865</v>
      </c>
      <c r="B6" s="955" t="s">
        <v>857</v>
      </c>
      <c r="C6" s="955" t="s">
        <v>866</v>
      </c>
      <c r="D6" s="955" t="s">
        <v>867</v>
      </c>
      <c r="E6" s="955" t="s">
        <v>868</v>
      </c>
      <c r="F6" s="955" t="s">
        <v>869</v>
      </c>
      <c r="G6" s="955" t="s">
        <v>870</v>
      </c>
      <c r="H6" s="955" t="s">
        <v>863</v>
      </c>
      <c r="I6" s="956" t="s">
        <v>864</v>
      </c>
    </row>
    <row r="7" customFormat="false" ht="54.75" hidden="false" customHeight="true" outlineLevel="0" collapsed="false">
      <c r="A7" s="957" t="s">
        <v>871</v>
      </c>
      <c r="B7" s="957" t="s">
        <v>872</v>
      </c>
      <c r="C7" s="957" t="s">
        <v>873</v>
      </c>
      <c r="D7" s="957" t="s">
        <v>874</v>
      </c>
      <c r="E7" s="957" t="s">
        <v>875</v>
      </c>
      <c r="F7" s="957" t="s">
        <v>876</v>
      </c>
      <c r="G7" s="957" t="s">
        <v>877</v>
      </c>
      <c r="H7" s="957" t="s">
        <v>863</v>
      </c>
      <c r="I7" s="958" t="s">
        <v>878</v>
      </c>
    </row>
    <row r="8" customFormat="false" ht="54.75" hidden="false" customHeight="true" outlineLevel="0" collapsed="false">
      <c r="A8" s="959" t="s">
        <v>879</v>
      </c>
      <c r="B8" s="959" t="s">
        <v>880</v>
      </c>
      <c r="C8" s="959" t="s">
        <v>881</v>
      </c>
      <c r="D8" s="959" t="s">
        <v>882</v>
      </c>
      <c r="E8" s="959" t="s">
        <v>883</v>
      </c>
      <c r="F8" s="959" t="s">
        <v>884</v>
      </c>
      <c r="G8" s="959" t="s">
        <v>885</v>
      </c>
      <c r="H8" s="959" t="s">
        <v>226</v>
      </c>
      <c r="I8" s="956" t="s">
        <v>864</v>
      </c>
    </row>
    <row r="9" customFormat="false" ht="54.75" hidden="false" customHeight="true" outlineLevel="0" collapsed="false">
      <c r="A9" s="959" t="s">
        <v>886</v>
      </c>
      <c r="B9" s="959" t="s">
        <v>872</v>
      </c>
      <c r="C9" s="959" t="s">
        <v>887</v>
      </c>
      <c r="D9" s="959" t="s">
        <v>888</v>
      </c>
      <c r="E9" s="959" t="s">
        <v>889</v>
      </c>
      <c r="F9" s="959" t="s">
        <v>890</v>
      </c>
      <c r="G9" s="959" t="s">
        <v>891</v>
      </c>
      <c r="H9" s="959" t="s">
        <v>863</v>
      </c>
      <c r="I9" s="956" t="s">
        <v>864</v>
      </c>
    </row>
    <row r="10" customFormat="false" ht="54.75" hidden="false" customHeight="true" outlineLevel="0" collapsed="false">
      <c r="A10" s="959" t="s">
        <v>892</v>
      </c>
      <c r="B10" s="959" t="s">
        <v>880</v>
      </c>
      <c r="C10" s="959" t="s">
        <v>893</v>
      </c>
      <c r="D10" s="959" t="s">
        <v>894</v>
      </c>
      <c r="E10" s="959" t="s">
        <v>895</v>
      </c>
      <c r="F10" s="959" t="s">
        <v>896</v>
      </c>
      <c r="G10" s="959" t="s">
        <v>897</v>
      </c>
      <c r="H10" s="959" t="s">
        <v>863</v>
      </c>
      <c r="I10" s="956" t="s">
        <v>864</v>
      </c>
    </row>
    <row r="11" customFormat="false" ht="54.75" hidden="false" customHeight="true" outlineLevel="0" collapsed="false">
      <c r="A11" s="955" t="s">
        <v>898</v>
      </c>
      <c r="B11" s="955" t="s">
        <v>857</v>
      </c>
      <c r="C11" s="955" t="s">
        <v>899</v>
      </c>
      <c r="D11" s="955" t="s">
        <v>900</v>
      </c>
      <c r="E11" s="955" t="s">
        <v>901</v>
      </c>
      <c r="F11" s="955" t="s">
        <v>902</v>
      </c>
      <c r="G11" s="955" t="s">
        <v>903</v>
      </c>
      <c r="H11" s="955" t="s">
        <v>863</v>
      </c>
      <c r="I11" s="956" t="s">
        <v>864</v>
      </c>
    </row>
    <row r="12" customFormat="false" ht="54.75" hidden="false" customHeight="true" outlineLevel="0" collapsed="false">
      <c r="A12" s="959" t="s">
        <v>904</v>
      </c>
      <c r="B12" s="959" t="s">
        <v>872</v>
      </c>
      <c r="C12" s="959" t="s">
        <v>905</v>
      </c>
      <c r="D12" s="959" t="s">
        <v>906</v>
      </c>
      <c r="E12" s="959" t="s">
        <v>907</v>
      </c>
      <c r="F12" s="959" t="s">
        <v>908</v>
      </c>
      <c r="G12" s="959" t="s">
        <v>909</v>
      </c>
      <c r="H12" s="959" t="s">
        <v>863</v>
      </c>
      <c r="I12" s="956" t="s">
        <v>864</v>
      </c>
    </row>
    <row r="13" customFormat="false" ht="54.75" hidden="false" customHeight="true" outlineLevel="0" collapsed="false">
      <c r="A13" s="960" t="s">
        <v>910</v>
      </c>
      <c r="B13" s="960" t="s">
        <v>880</v>
      </c>
      <c r="C13" s="960" t="s">
        <v>911</v>
      </c>
      <c r="D13" s="960" t="s">
        <v>912</v>
      </c>
      <c r="E13" s="960" t="s">
        <v>913</v>
      </c>
      <c r="F13" s="960" t="s">
        <v>914</v>
      </c>
      <c r="G13" s="960" t="s">
        <v>915</v>
      </c>
      <c r="H13" s="960" t="s">
        <v>863</v>
      </c>
      <c r="I13" s="961" t="s">
        <v>916</v>
      </c>
    </row>
    <row r="14" customFormat="false" ht="54.75" hidden="false" customHeight="true" outlineLevel="0" collapsed="false">
      <c r="A14" s="960" t="s">
        <v>917</v>
      </c>
      <c r="B14" s="960" t="s">
        <v>880</v>
      </c>
      <c r="C14" s="960" t="s">
        <v>918</v>
      </c>
      <c r="D14" s="960" t="s">
        <v>919</v>
      </c>
      <c r="E14" s="960" t="s">
        <v>920</v>
      </c>
      <c r="F14" s="960" t="s">
        <v>921</v>
      </c>
      <c r="G14" s="960" t="s">
        <v>922</v>
      </c>
      <c r="H14" s="960" t="s">
        <v>923</v>
      </c>
      <c r="I14" s="961" t="s">
        <v>916</v>
      </c>
    </row>
    <row r="15" customFormat="false" ht="54.75" hidden="false" customHeight="true" outlineLevel="0" collapsed="false">
      <c r="A15" s="959" t="s">
        <v>924</v>
      </c>
      <c r="B15" s="959" t="s">
        <v>872</v>
      </c>
      <c r="C15" s="959" t="s">
        <v>858</v>
      </c>
      <c r="D15" s="959" t="s">
        <v>925</v>
      </c>
      <c r="E15" s="959" t="s">
        <v>926</v>
      </c>
      <c r="F15" s="959" t="s">
        <v>927</v>
      </c>
      <c r="G15" s="959" t="s">
        <v>927</v>
      </c>
      <c r="H15" s="959" t="s">
        <v>863</v>
      </c>
      <c r="I15" s="959" t="s">
        <v>928</v>
      </c>
    </row>
    <row r="16" customFormat="false" ht="54.75" hidden="false" customHeight="true" outlineLevel="0" collapsed="false">
      <c r="A16" s="959" t="s">
        <v>929</v>
      </c>
      <c r="B16" s="959" t="s">
        <v>872</v>
      </c>
      <c r="C16" s="959" t="s">
        <v>930</v>
      </c>
      <c r="D16" s="959" t="s">
        <v>931</v>
      </c>
      <c r="E16" s="959" t="s">
        <v>932</v>
      </c>
      <c r="F16" s="959" t="s">
        <v>933</v>
      </c>
      <c r="G16" s="959" t="s">
        <v>934</v>
      </c>
      <c r="H16" s="959" t="s">
        <v>863</v>
      </c>
      <c r="I16" s="956" t="s">
        <v>864</v>
      </c>
    </row>
    <row r="17" customFormat="false" ht="54.75" hidden="false" customHeight="true" outlineLevel="0" collapsed="false">
      <c r="A17" s="959" t="s">
        <v>935</v>
      </c>
      <c r="B17" s="959" t="s">
        <v>872</v>
      </c>
      <c r="C17" s="959" t="s">
        <v>936</v>
      </c>
      <c r="D17" s="959" t="s">
        <v>937</v>
      </c>
      <c r="E17" s="959" t="s">
        <v>938</v>
      </c>
      <c r="F17" s="959" t="s">
        <v>939</v>
      </c>
      <c r="G17" s="959" t="s">
        <v>940</v>
      </c>
      <c r="H17" s="959" t="s">
        <v>863</v>
      </c>
      <c r="I17" s="956" t="s">
        <v>864</v>
      </c>
    </row>
    <row r="18" customFormat="false" ht="54.75" hidden="false" customHeight="true" outlineLevel="0" collapsed="false">
      <c r="A18" s="957" t="s">
        <v>941</v>
      </c>
      <c r="B18" s="957" t="s">
        <v>880</v>
      </c>
      <c r="C18" s="957" t="s">
        <v>942</v>
      </c>
      <c r="D18" s="957" t="s">
        <v>943</v>
      </c>
      <c r="E18" s="957" t="s">
        <v>944</v>
      </c>
      <c r="F18" s="957" t="s">
        <v>945</v>
      </c>
      <c r="G18" s="957" t="s">
        <v>946</v>
      </c>
      <c r="H18" s="957" t="s">
        <v>947</v>
      </c>
      <c r="I18" s="958" t="s">
        <v>878</v>
      </c>
    </row>
    <row r="19" customFormat="false" ht="54.75" hidden="false" customHeight="true" outlineLevel="0" collapsed="false">
      <c r="A19" s="955" t="s">
        <v>948</v>
      </c>
      <c r="B19" s="955" t="s">
        <v>857</v>
      </c>
      <c r="C19" s="955" t="s">
        <v>949</v>
      </c>
      <c r="D19" s="955" t="s">
        <v>950</v>
      </c>
      <c r="E19" s="955" t="s">
        <v>951</v>
      </c>
      <c r="F19" s="955" t="s">
        <v>952</v>
      </c>
      <c r="G19" s="955" t="s">
        <v>953</v>
      </c>
      <c r="H19" s="955" t="s">
        <v>863</v>
      </c>
      <c r="I19" s="956" t="s">
        <v>864</v>
      </c>
    </row>
    <row r="20" customFormat="false" ht="15" hidden="false" customHeight="true" outlineLevel="0" collapsed="false">
      <c r="A20" s="298" t="s">
        <v>954</v>
      </c>
      <c r="B20" s="298" t="s">
        <v>872</v>
      </c>
      <c r="C20" s="298" t="s">
        <v>955</v>
      </c>
      <c r="D20" s="298" t="s">
        <v>956</v>
      </c>
      <c r="E20" s="298" t="s">
        <v>957</v>
      </c>
      <c r="F20" s="298" t="s">
        <v>958</v>
      </c>
      <c r="G20" s="298" t="s">
        <v>959</v>
      </c>
      <c r="H20" s="298" t="s">
        <v>863</v>
      </c>
      <c r="I20" s="298" t="s">
        <v>864</v>
      </c>
    </row>
    <row r="21" customFormat="false" ht="15" hidden="false" customHeight="true" outlineLevel="0" collapsed="false">
      <c r="A21" s="298" t="s">
        <v>960</v>
      </c>
      <c r="B21" s="298" t="s">
        <v>872</v>
      </c>
      <c r="C21" s="298" t="s">
        <v>961</v>
      </c>
      <c r="D21" s="298" t="s">
        <v>962</v>
      </c>
      <c r="E21" s="298" t="s">
        <v>963</v>
      </c>
      <c r="F21" s="298" t="s">
        <v>964</v>
      </c>
      <c r="G21" s="298" t="s">
        <v>965</v>
      </c>
      <c r="H21" s="298" t="s">
        <v>966</v>
      </c>
      <c r="I21" s="298" t="s">
        <v>864</v>
      </c>
    </row>
    <row r="22" customFormat="false" ht="15" hidden="false" customHeight="true" outlineLevel="0" collapsed="false">
      <c r="A22" s="298" t="s">
        <v>967</v>
      </c>
      <c r="B22" s="298" t="s">
        <v>872</v>
      </c>
      <c r="C22" s="298" t="s">
        <v>968</v>
      </c>
      <c r="D22" s="298" t="s">
        <v>969</v>
      </c>
      <c r="E22" s="298" t="s">
        <v>970</v>
      </c>
      <c r="F22" s="298" t="s">
        <v>971</v>
      </c>
      <c r="G22" s="298" t="s">
        <v>972</v>
      </c>
      <c r="H22" s="298" t="s">
        <v>973</v>
      </c>
      <c r="I22" s="298" t="s">
        <v>864</v>
      </c>
    </row>
    <row r="23" customFormat="false" ht="15" hidden="false" customHeight="true" outlineLevel="0" collapsed="false">
      <c r="A23" s="962" t="s">
        <v>218</v>
      </c>
      <c r="B23" s="298"/>
      <c r="C23" s="298"/>
      <c r="D23" s="298"/>
      <c r="E23" s="298"/>
      <c r="F23" s="298"/>
      <c r="G23" s="298"/>
      <c r="H23" s="298"/>
      <c r="I23" s="298"/>
    </row>
    <row r="24" customFormat="false" ht="15" hidden="false" customHeight="true" outlineLevel="0" collapsed="false">
      <c r="A24" s="298" t="s">
        <v>974</v>
      </c>
      <c r="B24" s="298" t="n">
        <f aca="false">COUNTA(A5:A22)</f>
        <v>18</v>
      </c>
      <c r="C24" s="298"/>
      <c r="D24" s="298"/>
      <c r="E24" s="298"/>
      <c r="F24" s="298"/>
      <c r="G24" s="298"/>
      <c r="H24" s="298"/>
      <c r="I24" s="298"/>
    </row>
    <row r="25" customFormat="false" ht="15" hidden="false" customHeight="true" outlineLevel="0" collapsed="false">
      <c r="A25" s="298" t="s">
        <v>864</v>
      </c>
      <c r="B25" s="298" t="n">
        <f aca="false">COUNTIF(I5:I22,"Open")</f>
        <v>13</v>
      </c>
      <c r="C25" s="298"/>
      <c r="D25" s="298"/>
      <c r="E25" s="298"/>
      <c r="F25" s="298"/>
      <c r="G25" s="298"/>
      <c r="H25" s="298"/>
      <c r="I25" s="298"/>
    </row>
    <row r="26" customFormat="false" ht="15" hidden="false" customHeight="true" outlineLevel="0" collapsed="false">
      <c r="A26" s="298" t="s">
        <v>975</v>
      </c>
      <c r="B26" s="298" t="n">
        <f aca="false">COUNTIF(I5:I22,"Open (linked*")</f>
        <v>1</v>
      </c>
      <c r="C26" s="298"/>
      <c r="D26" s="298"/>
      <c r="E26" s="298"/>
      <c r="F26" s="298"/>
      <c r="G26" s="298"/>
      <c r="H26" s="298"/>
      <c r="I26" s="298"/>
    </row>
    <row r="27" customFormat="false" ht="15" hidden="false" customHeight="true" outlineLevel="0" collapsed="false">
      <c r="A27" s="298" t="s">
        <v>976</v>
      </c>
      <c r="B27" s="298" t="n">
        <f aca="false">COUNTIF(I5:I22,"Closed")+COUNTIF(I5:I22,"Verified")</f>
        <v>2</v>
      </c>
      <c r="C27" s="298"/>
      <c r="D27" s="298"/>
      <c r="E27" s="298"/>
      <c r="F27" s="298"/>
      <c r="G27" s="298"/>
      <c r="H27" s="298"/>
      <c r="I27" s="298"/>
    </row>
    <row r="28" customFormat="false" ht="15" hidden="false" customHeight="true" outlineLevel="0" collapsed="false">
      <c r="A28" s="298" t="s">
        <v>916</v>
      </c>
      <c r="B28" s="298" t="n">
        <f aca="false">COUNTIF(I5:I22,"Acceptable*")</f>
        <v>2</v>
      </c>
      <c r="C28" s="298"/>
      <c r="D28" s="298"/>
      <c r="E28" s="298"/>
      <c r="F28" s="298"/>
      <c r="G28" s="298"/>
      <c r="H28" s="298"/>
      <c r="I28" s="298"/>
    </row>
  </sheetData>
  <printOptions headings="false" gridLines="false" gridLinesSet="true" horizontalCentered="tru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JFL Debt Model v11 | CONFIDENTIAL | Management Flags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4"/>
    <col collapsed="false" customWidth="true" hidden="false" outlineLevel="0" max="5" min="3" style="1" width="16"/>
  </cols>
  <sheetData>
    <row r="1" customFormat="false" ht="27.75" hidden="false" customHeight="true" outlineLevel="0" collapsed="false">
      <c r="A1" s="963" t="s">
        <v>977</v>
      </c>
      <c r="B1" s="963"/>
      <c r="C1" s="963"/>
      <c r="D1" s="963"/>
      <c r="E1" s="963"/>
    </row>
    <row r="2" customFormat="false" ht="23.25" hidden="false" customHeight="true" outlineLevel="0" collapsed="false">
      <c r="A2" s="964" t="s">
        <v>978</v>
      </c>
      <c r="B2" s="964"/>
      <c r="C2" s="964"/>
      <c r="D2" s="964"/>
      <c r="E2" s="964"/>
    </row>
    <row r="3" customFormat="false" ht="15" hidden="false" customHeight="true" outlineLevel="0" collapsed="false">
      <c r="A3" s="298"/>
      <c r="B3" s="298"/>
      <c r="C3" s="298"/>
      <c r="D3" s="298"/>
      <c r="E3" s="298"/>
    </row>
    <row r="4" customFormat="false" ht="15" hidden="false" customHeight="true" outlineLevel="0" collapsed="false">
      <c r="A4" s="438" t="s">
        <v>979</v>
      </c>
      <c r="B4" s="438"/>
      <c r="C4" s="438"/>
      <c r="D4" s="438"/>
      <c r="E4" s="438"/>
    </row>
    <row r="5" customFormat="false" ht="15" hidden="false" customHeight="true" outlineLevel="0" collapsed="false">
      <c r="A5" s="965" t="s">
        <v>980</v>
      </c>
      <c r="B5" s="965"/>
      <c r="C5" s="965" t="s">
        <v>981</v>
      </c>
      <c r="D5" s="965" t="s">
        <v>982</v>
      </c>
      <c r="E5" s="965" t="s">
        <v>983</v>
      </c>
    </row>
    <row r="6" customFormat="false" ht="15" hidden="false" customHeight="true" outlineLevel="0" collapsed="false">
      <c r="A6" s="966" t="s">
        <v>984</v>
      </c>
      <c r="B6" s="298"/>
      <c r="C6" s="967" t="n">
        <v>0</v>
      </c>
      <c r="D6" s="967" t="n">
        <v>0.01</v>
      </c>
      <c r="E6" s="967" t="n">
        <v>0.02</v>
      </c>
    </row>
    <row r="7" customFormat="false" ht="15" hidden="false" customHeight="true" outlineLevel="0" collapsed="false">
      <c r="A7" s="966" t="s">
        <v>985</v>
      </c>
      <c r="B7" s="298"/>
      <c r="C7" s="967" t="n">
        <v>0</v>
      </c>
      <c r="D7" s="967" t="n">
        <v>0.0025</v>
      </c>
      <c r="E7" s="967" t="n">
        <v>0.005</v>
      </c>
    </row>
    <row r="8" customFormat="false" ht="15" hidden="false" customHeight="true" outlineLevel="0" collapsed="false">
      <c r="A8" s="966" t="s">
        <v>986</v>
      </c>
      <c r="B8" s="298"/>
      <c r="C8" s="967" t="n">
        <v>0</v>
      </c>
      <c r="D8" s="967" t="n">
        <v>0.1</v>
      </c>
      <c r="E8" s="967" t="n">
        <v>0.2</v>
      </c>
    </row>
    <row r="9" customFormat="false" ht="15" hidden="false" customHeight="true" outlineLevel="0" collapsed="false">
      <c r="A9" s="966" t="s">
        <v>987</v>
      </c>
      <c r="B9" s="298"/>
      <c r="C9" s="967" t="n">
        <v>0</v>
      </c>
      <c r="D9" s="967" t="n">
        <v>-0.15</v>
      </c>
      <c r="E9" s="967" t="n">
        <v>-0.3</v>
      </c>
    </row>
    <row r="10" customFormat="false" ht="15" hidden="false" customHeight="true" outlineLevel="0" collapsed="false">
      <c r="A10" s="966" t="s">
        <v>988</v>
      </c>
      <c r="B10" s="298"/>
      <c r="C10" s="967" t="n">
        <v>0</v>
      </c>
      <c r="D10" s="967" t="n">
        <v>0.1</v>
      </c>
      <c r="E10" s="967" t="n">
        <v>0.25</v>
      </c>
    </row>
    <row r="11" customFormat="false" ht="15" hidden="false" customHeight="true" outlineLevel="0" collapsed="false">
      <c r="A11" s="298"/>
      <c r="B11" s="298"/>
      <c r="C11" s="298"/>
      <c r="D11" s="298"/>
      <c r="E11" s="298"/>
    </row>
    <row r="12" customFormat="false" ht="15" hidden="false" customHeight="true" outlineLevel="0" collapsed="false">
      <c r="A12" s="438" t="s">
        <v>989</v>
      </c>
      <c r="B12" s="438"/>
      <c r="C12" s="438"/>
      <c r="D12" s="438"/>
      <c r="E12" s="438"/>
    </row>
    <row r="13" customFormat="false" ht="15" hidden="false" customHeight="true" outlineLevel="0" collapsed="false">
      <c r="A13" s="965" t="s">
        <v>990</v>
      </c>
      <c r="B13" s="965"/>
      <c r="C13" s="965" t="s">
        <v>981</v>
      </c>
      <c r="D13" s="965" t="s">
        <v>982</v>
      </c>
      <c r="E13" s="965" t="s">
        <v>983</v>
      </c>
    </row>
    <row r="14" customFormat="false" ht="15" hidden="false" customHeight="true" outlineLevel="0" collapsed="false">
      <c r="A14" s="966" t="s">
        <v>991</v>
      </c>
      <c r="B14" s="298"/>
      <c r="C14" s="968" t="n">
        <f aca="false" t="array" ref="C14:C14">IFERROR(SUMPRODUCT(--('Facility Master'!H5:H48=1),'Facility Master'!K5:K48*(1+C8)*('Facility Master'!R5:R48+C6+C7)),0)</f>
        <v>376.611</v>
      </c>
      <c r="D14" s="968" t="n">
        <f aca="false" t="array" ref="D14:D14">IFERROR(SUMPRODUCT(--('Facility Master'!H5:H48=1),'Facility Master'!K5:K48*(1+D8)*('Facility Master'!R5:R48+D6+D7)),0)</f>
        <v>470.8671</v>
      </c>
      <c r="E14" s="968" t="n">
        <f aca="false" t="array" ref="E14:E14">IFERROR(SUMPRODUCT(--('Facility Master'!H5:H48=1),'Facility Master'!K5:K48*(1+E8)*('Facility Master'!R5:R48+E6+E7)),0)</f>
        <v>575.4132</v>
      </c>
    </row>
    <row r="15" customFormat="false" ht="23.25" hidden="false" customHeight="true" outlineLevel="0" collapsed="false">
      <c r="A15" s="966" t="s">
        <v>992</v>
      </c>
      <c r="B15" s="298"/>
      <c r="C15" s="969" t="n">
        <f aca="false">IFERROR(('TEV Inputs'!I8-'TEV Inputs'!I11-'TEV Inputs'!I14)/(C14+'TEV Inputs'!I40),0)</f>
        <v>1.50364946584183</v>
      </c>
      <c r="D15" s="969" t="n">
        <f aca="false">IFERROR(('TEV Inputs'!I8*(1+D9)-'TEV Inputs'!I14)/(D14+'TEV Inputs'!I40),0)</f>
        <v>1.09916920262002</v>
      </c>
      <c r="E15" s="969" t="n">
        <f aca="false">IFERROR(('TEV Inputs'!I8*(1+E9)-'TEV Inputs'!I14)/(E14+'TEV Inputs'!I40),0)</f>
        <v>0.749205014502231</v>
      </c>
    </row>
    <row r="16" customFormat="false" ht="15" hidden="false" customHeight="true" outlineLevel="0" collapsed="false">
      <c r="A16" s="966" t="s">
        <v>993</v>
      </c>
      <c r="B16" s="298"/>
      <c r="C16" s="969" t="n">
        <f aca="false">IFERROR(('TEV Inputs'!I21+'TEV Inputs'!I23)/'TEV Inputs'!I8,0)</f>
        <v>2.81477403357777</v>
      </c>
      <c r="D16" s="969" t="n">
        <f aca="false">IFERROR(('TEV Inputs'!I21+'TEV Inputs'!I23)*(1+D10)/('TEV Inputs'!I8*(1+D9)),0)</f>
        <v>3.64264874933593</v>
      </c>
      <c r="E16" s="969" t="n">
        <f aca="false">IFERROR(('TEV Inputs'!I21+'TEV Inputs'!I23)*(1+E10)/('TEV Inputs'!I8*(1+E9)),0)</f>
        <v>5.02638220281744</v>
      </c>
    </row>
    <row r="17" customFormat="false" ht="15" hidden="false" customHeight="true" outlineLevel="0" collapsed="false">
      <c r="A17" s="966" t="s">
        <v>994</v>
      </c>
      <c r="B17" s="298"/>
      <c r="C17" s="969" t="n">
        <f aca="false">IFERROR('TEV Inputs'!I8/C14,0)</f>
        <v>2.54204546024744</v>
      </c>
      <c r="D17" s="969" t="n">
        <f aca="false">IFERROR('TEV Inputs'!I8*(1+D9)/D14,0)</f>
        <v>1.72821150682403</v>
      </c>
      <c r="E17" s="969" t="n">
        <f aca="false">IFERROR('TEV Inputs'!I8*(1+E9)/E14,0)</f>
        <v>1.16464759233969</v>
      </c>
    </row>
    <row r="18" customFormat="false" ht="15" hidden="false" customHeight="true" outlineLevel="0" collapsed="false">
      <c r="A18" s="298"/>
      <c r="B18" s="298"/>
      <c r="C18" s="298"/>
      <c r="D18" s="298"/>
      <c r="E18" s="298"/>
    </row>
    <row r="19" customFormat="false" ht="39.75" hidden="false" customHeight="true" outlineLevel="0" collapsed="false">
      <c r="A19" s="970" t="s">
        <v>995</v>
      </c>
      <c r="B19" s="970"/>
      <c r="C19" s="970"/>
      <c r="D19" s="970"/>
      <c r="E19" s="970"/>
    </row>
    <row r="20" customFormat="false" ht="15" hidden="false" customHeight="true" outlineLevel="0" collapsed="false">
      <c r="A20" s="298"/>
      <c r="B20" s="298"/>
      <c r="C20" s="298"/>
      <c r="D20" s="298"/>
      <c r="E20" s="298"/>
    </row>
    <row r="21" customFormat="false" ht="15" hidden="false" customHeight="true" outlineLevel="0" collapsed="false">
      <c r="A21" s="438" t="s">
        <v>996</v>
      </c>
      <c r="B21" s="438"/>
      <c r="C21" s="438"/>
      <c r="D21" s="438"/>
      <c r="E21" s="438"/>
    </row>
    <row r="22" customFormat="false" ht="26.25" hidden="false" customHeight="true" outlineLevel="0" collapsed="false">
      <c r="A22" s="965" t="s">
        <v>382</v>
      </c>
      <c r="B22" s="965"/>
      <c r="C22" s="965" t="s">
        <v>997</v>
      </c>
      <c r="D22" s="965"/>
      <c r="E22" s="965"/>
    </row>
    <row r="23" customFormat="false" ht="15" hidden="false" customHeight="true" outlineLevel="0" collapsed="false">
      <c r="A23" s="971" t="s">
        <v>405</v>
      </c>
      <c r="B23" s="298"/>
      <c r="C23" s="968" t="n">
        <f aca="false">SUMIFS('Facility Master'!M:M,'Facility Master'!H:H,1,'Facility Master'!P:P,"1Y MCLR (UBI)")*0.01</f>
        <v>11.25</v>
      </c>
      <c r="D23" s="972"/>
      <c r="E23" s="972"/>
    </row>
    <row r="24" customFormat="false" ht="15" hidden="false" customHeight="true" outlineLevel="0" collapsed="false">
      <c r="A24" s="971" t="s">
        <v>439</v>
      </c>
      <c r="B24" s="298"/>
      <c r="C24" s="968" t="n">
        <f aca="false">SUMIFS('Facility Master'!M:M,'Facility Master'!H:H,1,'Facility Master'!P:P,"1Y MCLR (Indian Bank)")*0.01</f>
        <v>2.35</v>
      </c>
      <c r="D24" s="972"/>
      <c r="E24" s="972"/>
    </row>
    <row r="25" customFormat="false" ht="15" hidden="false" customHeight="true" outlineLevel="0" collapsed="false">
      <c r="A25" s="971" t="s">
        <v>463</v>
      </c>
      <c r="B25" s="298"/>
      <c r="C25" s="968" t="n">
        <f aca="false">SUMIFS('Facility Master'!M:M,'Facility Master'!H:H,1,'Facility Master'!P:P,"EBLR (YES Bank)")*0.01</f>
        <v>6.5</v>
      </c>
      <c r="D25" s="972"/>
      <c r="E25" s="972"/>
    </row>
    <row r="26" customFormat="false" ht="15" hidden="false" customHeight="true" outlineLevel="0" collapsed="false">
      <c r="A26" s="971" t="s">
        <v>473</v>
      </c>
      <c r="B26" s="298"/>
      <c r="C26" s="968" t="n">
        <f aca="false">SUMIFS('Facility Master'!M:M,'Facility Master'!H:H,1,'Facility Master'!P:P,"EBLR (IDFC First)")*0.01</f>
        <v>5.3</v>
      </c>
      <c r="D26" s="972"/>
      <c r="E26" s="972"/>
    </row>
    <row r="27" customFormat="false" ht="15" hidden="false" customHeight="true" outlineLevel="0" collapsed="false">
      <c r="A27" s="971" t="s">
        <v>573</v>
      </c>
      <c r="B27" s="298"/>
      <c r="C27" s="968" t="n">
        <f aca="false">SUMIFS('Facility Master'!M:M,'Facility Master'!H:H,1,'Facility Master'!P:P,"3M I-MCLR (ICICI)")*0.01</f>
        <v>8.4</v>
      </c>
      <c r="D27" s="972"/>
      <c r="E27" s="972"/>
    </row>
    <row r="28" customFormat="false" ht="15" hidden="false" customHeight="true" outlineLevel="0" collapsed="false">
      <c r="A28" s="971" t="s">
        <v>486</v>
      </c>
      <c r="B28" s="298"/>
      <c r="C28" s="968" t="n">
        <f aca="false">SUMIFS('Facility Master'!M:M,'Facility Master'!H:H,1,'Facility Master'!P:P,"6M I-MCLR (ICICI)")*0.01</f>
        <v>1</v>
      </c>
      <c r="D28" s="972"/>
      <c r="E28" s="972"/>
    </row>
    <row r="29" customFormat="false" ht="15" hidden="false" customHeight="true" outlineLevel="0" collapsed="false">
      <c r="A29" s="971" t="s">
        <v>492</v>
      </c>
      <c r="B29" s="298"/>
      <c r="C29" s="968" t="n">
        <f aca="false">SUMIFS('Facility Master'!M:M,'Facility Master'!H:H,1,'Facility Master'!P:P,"Repo Rate")*0.01</f>
        <v>0</v>
      </c>
      <c r="D29" s="972"/>
      <c r="E29" s="972"/>
    </row>
    <row r="30" customFormat="false" ht="15" hidden="false" customHeight="true" outlineLevel="0" collapsed="false">
      <c r="A30" s="971" t="s">
        <v>559</v>
      </c>
      <c r="B30" s="298"/>
      <c r="C30" s="968" t="n">
        <f aca="false">SUMIFS('Facility Master'!M:M,'Facility Master'!H:H,1,'Facility Master'!P:P,"14-day Repo (HDFC)")*0.01</f>
        <v>0</v>
      </c>
      <c r="D30" s="972"/>
      <c r="E30" s="972"/>
    </row>
    <row r="31" customFormat="false" ht="15" hidden="false" customHeight="true" outlineLevel="0" collapsed="false">
      <c r="A31" s="971" t="s">
        <v>564</v>
      </c>
      <c r="B31" s="298"/>
      <c r="C31" s="968" t="n">
        <f aca="false">SUMIFS('Facility Master'!M:M,'Facility Master'!H:H,1,'Facility Master'!P:P,"FD Rate (HDFC)")*0.01</f>
        <v>0</v>
      </c>
      <c r="D31" s="972"/>
      <c r="E31" s="972"/>
    </row>
    <row r="32" customFormat="false" ht="15" hidden="false" customHeight="true" outlineLevel="0" collapsed="false">
      <c r="A32" s="971" t="s">
        <v>998</v>
      </c>
      <c r="B32" s="298"/>
      <c r="C32" s="968" t="n">
        <f aca="false">SUMIFS('Facility Master'!M:M,'Facility Master'!H:H,1,'Facility Master'!P:P,"Term SOFR (USD) 3M")*0.01</f>
        <v>0</v>
      </c>
      <c r="D32" s="972"/>
      <c r="E32" s="972"/>
    </row>
    <row r="33" customFormat="false" ht="15" hidden="false" customHeight="true" outlineLevel="0" collapsed="false">
      <c r="A33" s="410" t="s">
        <v>999</v>
      </c>
      <c r="B33" s="298"/>
      <c r="C33" s="973" t="n">
        <f aca="false">SUM(C23:C32)</f>
        <v>34.8</v>
      </c>
      <c r="D33" s="298"/>
      <c r="E33" s="298"/>
    </row>
  </sheetData>
  <mergeCells count="6">
    <mergeCell ref="A1:E1"/>
    <mergeCell ref="A2:E2"/>
    <mergeCell ref="A4:E4"/>
    <mergeCell ref="A12:E12"/>
    <mergeCell ref="A19:E19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18" min="3" style="1" width="10"/>
  </cols>
  <sheetData>
    <row r="1" customFormat="false" ht="15" hidden="false" customHeight="true" outlineLevel="0" collapsed="false">
      <c r="A1" s="974" t="s">
        <v>1000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</row>
    <row r="2" customFormat="false" ht="34.5" hidden="false" customHeight="true" outlineLevel="0" collapsed="false">
      <c r="A2" s="975" t="s">
        <v>1001</v>
      </c>
      <c r="B2" s="975"/>
      <c r="C2" s="975"/>
      <c r="D2" s="975"/>
      <c r="E2" s="975"/>
      <c r="F2" s="975"/>
      <c r="G2" s="975"/>
      <c r="H2" s="975"/>
      <c r="I2" s="975"/>
      <c r="J2" s="975"/>
      <c r="K2" s="975"/>
      <c r="L2" s="975"/>
      <c r="M2" s="975"/>
      <c r="N2" s="975"/>
      <c r="O2" s="975"/>
      <c r="P2" s="975"/>
      <c r="Q2" s="975"/>
      <c r="R2" s="975"/>
    </row>
    <row r="3" customFormat="false" ht="15" hidden="false" customHeight="true" outlineLevel="0" collapsed="false">
      <c r="A3" s="298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</row>
    <row r="4" customFormat="false" ht="15" hidden="false" customHeight="true" outlineLevel="0" collapsed="false">
      <c r="A4" s="976" t="s">
        <v>1002</v>
      </c>
      <c r="B4" s="976" t="s">
        <v>1003</v>
      </c>
      <c r="C4" s="976" t="s">
        <v>1004</v>
      </c>
      <c r="D4" s="976" t="s">
        <v>101</v>
      </c>
      <c r="E4" s="976" t="s">
        <v>102</v>
      </c>
      <c r="F4" s="976" t="s">
        <v>103</v>
      </c>
      <c r="G4" s="976" t="s">
        <v>104</v>
      </c>
      <c r="H4" s="976" t="s">
        <v>105</v>
      </c>
      <c r="I4" s="976" t="s">
        <v>106</v>
      </c>
      <c r="J4" s="976" t="s">
        <v>107</v>
      </c>
      <c r="K4" s="976" t="s">
        <v>108</v>
      </c>
      <c r="L4" s="976" t="s">
        <v>109</v>
      </c>
      <c r="M4" s="976" t="s">
        <v>110</v>
      </c>
      <c r="N4" s="976" t="s">
        <v>111</v>
      </c>
      <c r="O4" s="976" t="s">
        <v>112</v>
      </c>
      <c r="P4" s="976" t="s">
        <v>113</v>
      </c>
      <c r="Q4" s="976" t="s">
        <v>114</v>
      </c>
      <c r="R4" s="976" t="s">
        <v>115</v>
      </c>
    </row>
    <row r="5" customFormat="false" ht="15" hidden="false" customHeight="true" outlineLevel="0" collapsed="false">
      <c r="A5" s="977" t="s">
        <v>1005</v>
      </c>
      <c r="B5" s="977"/>
      <c r="C5" s="977"/>
      <c r="D5" s="977"/>
      <c r="E5" s="977"/>
      <c r="F5" s="977"/>
      <c r="G5" s="977"/>
      <c r="H5" s="977"/>
      <c r="I5" s="977"/>
      <c r="J5" s="977"/>
      <c r="K5" s="977"/>
      <c r="L5" s="977"/>
      <c r="M5" s="977"/>
      <c r="N5" s="977"/>
      <c r="O5" s="977"/>
      <c r="P5" s="977"/>
      <c r="Q5" s="977"/>
      <c r="R5" s="977"/>
    </row>
    <row r="6" customFormat="false" ht="15" hidden="false" customHeight="true" outlineLevel="0" collapsed="false">
      <c r="A6" s="978" t="s">
        <v>22</v>
      </c>
      <c r="B6" s="979" t="s">
        <v>1006</v>
      </c>
      <c r="C6" s="980" t="n">
        <v>0</v>
      </c>
      <c r="D6" s="980" t="n">
        <v>0.2032</v>
      </c>
      <c r="E6" s="980" t="n">
        <v>0</v>
      </c>
      <c r="F6" s="980" t="n">
        <v>0</v>
      </c>
      <c r="G6" s="980" t="n">
        <v>6598.40508177665</v>
      </c>
      <c r="H6" s="980" t="n">
        <v>6598.40508177665</v>
      </c>
      <c r="I6" s="980" t="n">
        <v>7541.03437917332</v>
      </c>
      <c r="J6" s="980" t="n">
        <v>7541.03437917332</v>
      </c>
      <c r="K6" s="980" t="n">
        <v>7541.03437917332</v>
      </c>
      <c r="L6" s="980" t="n">
        <v>7541.03437917332</v>
      </c>
      <c r="M6" s="980" t="n">
        <v>7541.03437917332</v>
      </c>
      <c r="N6" s="980" t="n">
        <v>7541.03437917332</v>
      </c>
      <c r="O6" s="980" t="n">
        <v>7541.03437917332</v>
      </c>
      <c r="P6" s="980" t="n">
        <v>7541.03437917332</v>
      </c>
      <c r="Q6" s="980" t="n">
        <v>7541.03437917332</v>
      </c>
      <c r="R6" s="980" t="n">
        <v>7541.03437917332</v>
      </c>
    </row>
    <row r="7" customFormat="false" ht="15" hidden="false" customHeight="true" outlineLevel="0" collapsed="false">
      <c r="A7" s="978" t="s">
        <v>1007</v>
      </c>
      <c r="B7" s="979" t="s">
        <v>1008</v>
      </c>
      <c r="C7" s="980" t="n">
        <v>0.0622</v>
      </c>
      <c r="D7" s="980" t="n">
        <v>0.1957</v>
      </c>
      <c r="E7" s="980" t="n">
        <v>0</v>
      </c>
      <c r="F7" s="980" t="n">
        <v>0</v>
      </c>
      <c r="G7" s="980" t="n">
        <v>5776.04500669031</v>
      </c>
      <c r="H7" s="980" t="n">
        <v>5780.99158734374</v>
      </c>
      <c r="I7" s="980" t="n">
        <v>6583.67209634407</v>
      </c>
      <c r="J7" s="980" t="n">
        <v>6583.57731422564</v>
      </c>
      <c r="K7" s="980" t="n">
        <v>6583.57731422564</v>
      </c>
      <c r="L7" s="980" t="n">
        <v>6583.57731422564</v>
      </c>
      <c r="M7" s="980" t="n">
        <v>6583.57731422564</v>
      </c>
      <c r="N7" s="980" t="n">
        <v>6583.57731422564</v>
      </c>
      <c r="O7" s="980" t="n">
        <v>6583.57731422564</v>
      </c>
      <c r="P7" s="980" t="n">
        <v>6583.57731422564</v>
      </c>
      <c r="Q7" s="980" t="n">
        <v>6583.57731422564</v>
      </c>
      <c r="R7" s="980" t="n">
        <v>6583.57731422564</v>
      </c>
    </row>
    <row r="8" customFormat="false" ht="15" hidden="false" customHeight="true" outlineLevel="0" collapsed="false">
      <c r="A8" s="978" t="s">
        <v>25</v>
      </c>
      <c r="B8" s="979" t="s">
        <v>1009</v>
      </c>
      <c r="C8" s="980" t="n">
        <v>-0.0622</v>
      </c>
      <c r="D8" s="980" t="n">
        <v>0</v>
      </c>
      <c r="E8" s="980" t="n">
        <v>0</v>
      </c>
      <c r="F8" s="980" t="n">
        <v>0</v>
      </c>
      <c r="G8" s="980" t="n">
        <v>822.360075086344</v>
      </c>
      <c r="H8" s="980" t="n">
        <v>817.41349443291</v>
      </c>
      <c r="I8" s="980" t="n">
        <v>957.36228282925</v>
      </c>
      <c r="J8" s="980" t="n">
        <v>957.457064947679</v>
      </c>
      <c r="K8" s="980" t="n">
        <v>957.457064947679</v>
      </c>
      <c r="L8" s="980" t="n">
        <v>957.457064947679</v>
      </c>
      <c r="M8" s="980" t="n">
        <v>957.457064947679</v>
      </c>
      <c r="N8" s="980" t="n">
        <v>957.457064947679</v>
      </c>
      <c r="O8" s="980" t="n">
        <v>957.457064947679</v>
      </c>
      <c r="P8" s="980" t="n">
        <v>957.457064947679</v>
      </c>
      <c r="Q8" s="980" t="n">
        <v>957.457064947679</v>
      </c>
      <c r="R8" s="980" t="n">
        <v>957.457064947679</v>
      </c>
    </row>
    <row r="9" customFormat="false" ht="15" hidden="false" customHeight="true" outlineLevel="0" collapsed="false">
      <c r="A9" s="978" t="s">
        <v>1010</v>
      </c>
      <c r="B9" s="979" t="s">
        <v>1011</v>
      </c>
      <c r="C9" s="980" t="n">
        <v>0</v>
      </c>
      <c r="D9" s="980" t="n">
        <v>0</v>
      </c>
      <c r="E9" s="980" t="n">
        <v>0</v>
      </c>
      <c r="F9" s="980" t="n">
        <v>0</v>
      </c>
      <c r="G9" s="980" t="n">
        <v>222.967263494203</v>
      </c>
      <c r="H9" s="980" t="n">
        <v>227.337674392537</v>
      </c>
      <c r="I9" s="980" t="n">
        <v>231.708085290872</v>
      </c>
      <c r="J9" s="980" t="n">
        <v>236.078496189207</v>
      </c>
      <c r="K9" s="980" t="n">
        <v>240.448907087542</v>
      </c>
      <c r="L9" s="980" t="n">
        <v>244.819317985876</v>
      </c>
      <c r="M9" s="980" t="n">
        <v>245.048257190027</v>
      </c>
      <c r="N9" s="980" t="n">
        <v>227.650848057468</v>
      </c>
      <c r="O9" s="980" t="n">
        <v>209.202841662155</v>
      </c>
      <c r="P9" s="980" t="n">
        <v>189.384472261172</v>
      </c>
      <c r="Q9" s="980" t="n">
        <v>193.754883159506</v>
      </c>
      <c r="R9" s="980" t="n">
        <v>198.125294057841</v>
      </c>
    </row>
    <row r="10" customFormat="false" ht="15" hidden="false" customHeight="true" outlineLevel="0" collapsed="false">
      <c r="A10" s="978" t="s">
        <v>1012</v>
      </c>
      <c r="B10" s="979" t="s">
        <v>1013</v>
      </c>
      <c r="C10" s="980" t="n">
        <v>-0.0622</v>
      </c>
      <c r="D10" s="980" t="n">
        <v>0</v>
      </c>
      <c r="E10" s="980" t="n">
        <v>0</v>
      </c>
      <c r="F10" s="980" t="n">
        <v>0</v>
      </c>
      <c r="G10" s="980" t="n">
        <v>599.392811592142</v>
      </c>
      <c r="H10" s="980" t="n">
        <v>590.075820040373</v>
      </c>
      <c r="I10" s="980" t="n">
        <v>725.654197538378</v>
      </c>
      <c r="J10" s="980" t="n">
        <v>721.378568758472</v>
      </c>
      <c r="K10" s="980" t="n">
        <v>717.008157860138</v>
      </c>
      <c r="L10" s="980" t="n">
        <v>712.637746961803</v>
      </c>
      <c r="M10" s="980" t="n">
        <v>712.408807757653</v>
      </c>
      <c r="N10" s="980" t="n">
        <v>729.806216890211</v>
      </c>
      <c r="O10" s="980" t="n">
        <v>748.254223285524</v>
      </c>
      <c r="P10" s="980" t="n">
        <v>768.072592686508</v>
      </c>
      <c r="Q10" s="980" t="n">
        <v>763.702181788173</v>
      </c>
      <c r="R10" s="980" t="n">
        <v>759.331770889838</v>
      </c>
    </row>
    <row r="11" customFormat="false" ht="15" hidden="false" customHeight="true" outlineLevel="0" collapsed="false">
      <c r="A11" s="978" t="s">
        <v>1014</v>
      </c>
      <c r="B11" s="979" t="s">
        <v>1015</v>
      </c>
      <c r="C11" s="980" t="n">
        <v>0</v>
      </c>
      <c r="D11" s="980" t="n">
        <v>0</v>
      </c>
      <c r="E11" s="980" t="n">
        <v>0</v>
      </c>
      <c r="F11" s="980" t="n">
        <v>0</v>
      </c>
      <c r="G11" s="980" t="n">
        <v>25.2232264686205</v>
      </c>
      <c r="H11" s="980" t="n">
        <v>25.3157249862216</v>
      </c>
      <c r="I11" s="980" t="n">
        <v>28.8301449268435</v>
      </c>
      <c r="J11" s="980" t="n">
        <v>28.8311308370162</v>
      </c>
      <c r="K11" s="980" t="n">
        <v>28.8311308370162</v>
      </c>
      <c r="L11" s="980" t="n">
        <v>28.8311308370162</v>
      </c>
      <c r="M11" s="980" t="n">
        <v>28.8311308370162</v>
      </c>
      <c r="N11" s="980" t="n">
        <v>28.8311308370162</v>
      </c>
      <c r="O11" s="980" t="n">
        <v>28.8311308370162</v>
      </c>
      <c r="P11" s="980" t="n">
        <v>28.8311308370162</v>
      </c>
      <c r="Q11" s="980" t="n">
        <v>28.8311308370162</v>
      </c>
      <c r="R11" s="980" t="n">
        <v>28.8311308370162</v>
      </c>
    </row>
    <row r="12" customFormat="false" ht="15" hidden="false" customHeight="true" outlineLevel="0" collapsed="false">
      <c r="A12" s="978" t="s">
        <v>1016</v>
      </c>
      <c r="B12" s="979" t="s">
        <v>1017</v>
      </c>
      <c r="C12" s="980" t="n">
        <v>0</v>
      </c>
      <c r="D12" s="980" t="n">
        <v>0</v>
      </c>
      <c r="E12" s="980" t="n">
        <v>0</v>
      </c>
      <c r="F12" s="980" t="n">
        <v>0</v>
      </c>
      <c r="G12" s="980" t="n">
        <v>255.41470996875</v>
      </c>
      <c r="H12" s="980" t="n">
        <v>246.22137925</v>
      </c>
      <c r="I12" s="980" t="n">
        <v>233.110890225</v>
      </c>
      <c r="J12" s="980" t="n">
        <v>212.96550465</v>
      </c>
      <c r="K12" s="980" t="n">
        <v>189.94220685</v>
      </c>
      <c r="L12" s="980" t="n">
        <v>166.91890905</v>
      </c>
      <c r="M12" s="980" t="n">
        <v>143.89561125</v>
      </c>
      <c r="N12" s="980" t="n">
        <v>120.87231345</v>
      </c>
      <c r="O12" s="980" t="n">
        <v>97.8490156499998</v>
      </c>
      <c r="P12" s="980" t="n">
        <v>74.8257178499998</v>
      </c>
      <c r="Q12" s="980" t="n">
        <v>51.8024200499998</v>
      </c>
      <c r="R12" s="980" t="n">
        <v>28.7791222499998</v>
      </c>
    </row>
    <row r="13" customFormat="false" ht="15" hidden="false" customHeight="true" outlineLevel="0" collapsed="false">
      <c r="A13" s="978" t="s">
        <v>1018</v>
      </c>
      <c r="B13" s="979" t="s">
        <v>1019</v>
      </c>
      <c r="C13" s="980" t="n">
        <v>-0.0622</v>
      </c>
      <c r="D13" s="980" t="n">
        <v>0</v>
      </c>
      <c r="E13" s="980" t="n">
        <v>0</v>
      </c>
      <c r="F13" s="980" t="n">
        <v>0</v>
      </c>
      <c r="G13" s="980" t="n">
        <v>318.754875154771</v>
      </c>
      <c r="H13" s="980" t="n">
        <v>318.538715804151</v>
      </c>
      <c r="I13" s="980" t="n">
        <v>463.713162386535</v>
      </c>
      <c r="J13" s="980" t="n">
        <v>479.581933271456</v>
      </c>
      <c r="K13" s="980" t="n">
        <v>498.234820173121</v>
      </c>
      <c r="L13" s="980" t="n">
        <v>516.887707074787</v>
      </c>
      <c r="M13" s="980" t="n">
        <v>539.682065670637</v>
      </c>
      <c r="N13" s="980" t="n">
        <v>580.102772603195</v>
      </c>
      <c r="O13" s="980" t="n">
        <v>621.574076798508</v>
      </c>
      <c r="P13" s="980" t="n">
        <v>664.415743999492</v>
      </c>
      <c r="Q13" s="980" t="n">
        <v>683.068630901157</v>
      </c>
      <c r="R13" s="980" t="n">
        <v>701.721517802822</v>
      </c>
    </row>
    <row r="14" customFormat="false" ht="15" hidden="false" customHeight="true" outlineLevel="0" collapsed="false">
      <c r="A14" s="978" t="s">
        <v>1020</v>
      </c>
      <c r="B14" s="979" t="s">
        <v>1021</v>
      </c>
      <c r="C14" s="980" t="n">
        <v>0</v>
      </c>
      <c r="D14" s="980" t="n">
        <v>0</v>
      </c>
      <c r="E14" s="980" t="n">
        <v>0</v>
      </c>
      <c r="F14" s="980" t="n">
        <v>0</v>
      </c>
      <c r="G14" s="980" t="n">
        <v>80.2168340864559</v>
      </c>
      <c r="H14" s="980" t="n">
        <v>80.1761947679048</v>
      </c>
      <c r="I14" s="980" t="n">
        <v>116.716602972691</v>
      </c>
      <c r="J14" s="980" t="n">
        <v>120.710772604426</v>
      </c>
      <c r="K14" s="980" t="n">
        <v>125.405704237575</v>
      </c>
      <c r="L14" s="980" t="n">
        <v>130.100635870724</v>
      </c>
      <c r="M14" s="980" t="n">
        <v>135.837975929299</v>
      </c>
      <c r="N14" s="980" t="n">
        <v>146.011867864224</v>
      </c>
      <c r="O14" s="980" t="n">
        <v>156.450195130185</v>
      </c>
      <c r="P14" s="980" t="n">
        <v>167.233442764672</v>
      </c>
      <c r="Q14" s="980" t="n">
        <v>171.928374397821</v>
      </c>
      <c r="R14" s="980" t="n">
        <v>176.62330603097</v>
      </c>
    </row>
    <row r="15" customFormat="false" ht="15" hidden="false" customHeight="true" outlineLevel="0" collapsed="false">
      <c r="A15" s="978" t="s">
        <v>32</v>
      </c>
      <c r="B15" s="979" t="s">
        <v>1022</v>
      </c>
      <c r="C15" s="980" t="n">
        <v>-0.0622</v>
      </c>
      <c r="D15" s="980" t="n">
        <v>0</v>
      </c>
      <c r="E15" s="980" t="n">
        <v>0</v>
      </c>
      <c r="F15" s="980" t="n">
        <v>0</v>
      </c>
      <c r="G15" s="980" t="n">
        <v>238.538041068315</v>
      </c>
      <c r="H15" s="980" t="n">
        <v>238.362521036246</v>
      </c>
      <c r="I15" s="980" t="n">
        <v>346.996559413844</v>
      </c>
      <c r="J15" s="980" t="n">
        <v>358.871160667031</v>
      </c>
      <c r="K15" s="980" t="n">
        <v>372.829115935547</v>
      </c>
      <c r="L15" s="980" t="n">
        <v>386.787071204063</v>
      </c>
      <c r="M15" s="980" t="n">
        <v>403.844089741337</v>
      </c>
      <c r="N15" s="980" t="n">
        <v>434.090904738971</v>
      </c>
      <c r="O15" s="980" t="n">
        <v>465.123881668324</v>
      </c>
      <c r="P15" s="980" t="n">
        <v>497.18230123482</v>
      </c>
      <c r="Q15" s="980" t="n">
        <v>511.140256503336</v>
      </c>
      <c r="R15" s="980" t="n">
        <v>525.098211771852</v>
      </c>
    </row>
    <row r="16" customFormat="false" ht="15" hidden="false" customHeight="true" outlineLevel="0" collapsed="false">
      <c r="A16" s="298"/>
      <c r="B16" s="298"/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8"/>
    </row>
    <row r="17" customFormat="false" ht="15" hidden="false" customHeight="true" outlineLevel="0" collapsed="false">
      <c r="A17" s="977" t="s">
        <v>1023</v>
      </c>
      <c r="B17" s="977"/>
      <c r="C17" s="977"/>
      <c r="D17" s="977"/>
      <c r="E17" s="977"/>
      <c r="F17" s="977"/>
      <c r="G17" s="977"/>
      <c r="H17" s="977"/>
      <c r="I17" s="977"/>
      <c r="J17" s="977"/>
      <c r="K17" s="977"/>
      <c r="L17" s="977"/>
      <c r="M17" s="977"/>
      <c r="N17" s="977"/>
      <c r="O17" s="977"/>
      <c r="P17" s="977"/>
      <c r="Q17" s="977"/>
      <c r="R17" s="977"/>
    </row>
    <row r="18" customFormat="false" ht="15" hidden="false" customHeight="true" outlineLevel="0" collapsed="false">
      <c r="A18" s="978" t="s">
        <v>1024</v>
      </c>
      <c r="B18" s="979" t="s">
        <v>1025</v>
      </c>
      <c r="C18" s="980" t="n">
        <v>309</v>
      </c>
      <c r="D18" s="980" t="n">
        <v>875.06</v>
      </c>
      <c r="E18" s="980" t="n">
        <v>1362.50905259431</v>
      </c>
      <c r="F18" s="980" t="n">
        <v>1362.50905259431</v>
      </c>
      <c r="G18" s="980" t="n">
        <v>1362.50905259431</v>
      </c>
      <c r="H18" s="980" t="n">
        <v>1362.50905259431</v>
      </c>
      <c r="I18" s="980" t="n">
        <v>1362.50905259431</v>
      </c>
      <c r="J18" s="980" t="n">
        <v>1362.50905259431</v>
      </c>
      <c r="K18" s="980" t="n">
        <v>1362.50905259431</v>
      </c>
      <c r="L18" s="980" t="n">
        <v>1362.50905259431</v>
      </c>
      <c r="M18" s="980" t="n">
        <v>1362.50905259431</v>
      </c>
      <c r="N18" s="980" t="n">
        <v>1362.50905259431</v>
      </c>
      <c r="O18" s="980" t="n">
        <v>1362.50905259431</v>
      </c>
      <c r="P18" s="980" t="n">
        <v>1362.50905259431</v>
      </c>
      <c r="Q18" s="980" t="n">
        <v>1362.50905259431</v>
      </c>
      <c r="R18" s="980" t="n">
        <v>1362.50905259431</v>
      </c>
    </row>
    <row r="19" customFormat="false" ht="15" hidden="false" customHeight="true" outlineLevel="0" collapsed="false">
      <c r="A19" s="978" t="s">
        <v>1026</v>
      </c>
      <c r="B19" s="979" t="s">
        <v>1027</v>
      </c>
      <c r="C19" s="980" t="n">
        <v>0</v>
      </c>
      <c r="D19" s="980" t="n">
        <v>-0.0622</v>
      </c>
      <c r="E19" s="980" t="n">
        <v>-0.0546999999999999</v>
      </c>
      <c r="F19" s="980" t="n">
        <v>-0.0546999999999999</v>
      </c>
      <c r="G19" s="980" t="n">
        <v>238.483341068315</v>
      </c>
      <c r="H19" s="980" t="n">
        <v>476.845862104561</v>
      </c>
      <c r="I19" s="980" t="n">
        <v>823.842421518405</v>
      </c>
      <c r="J19" s="980" t="n">
        <v>1182.71358218544</v>
      </c>
      <c r="K19" s="980" t="n">
        <v>1555.54269812098</v>
      </c>
      <c r="L19" s="980" t="n">
        <v>1942.32976932505</v>
      </c>
      <c r="M19" s="980" t="n">
        <v>2346.17385906638</v>
      </c>
      <c r="N19" s="980" t="n">
        <v>2780.26476380535</v>
      </c>
      <c r="O19" s="980" t="n">
        <v>3245.38864547368</v>
      </c>
      <c r="P19" s="980" t="n">
        <v>3742.5709467085</v>
      </c>
      <c r="Q19" s="980" t="n">
        <v>4253.71120321183</v>
      </c>
      <c r="R19" s="980" t="n">
        <v>4778.80941498368</v>
      </c>
    </row>
    <row r="20" customFormat="false" ht="15" hidden="false" customHeight="true" outlineLevel="0" collapsed="false">
      <c r="A20" s="978" t="s">
        <v>1028</v>
      </c>
      <c r="B20" s="979" t="s">
        <v>1029</v>
      </c>
      <c r="C20" s="980" t="n">
        <v>309</v>
      </c>
      <c r="D20" s="980" t="n">
        <v>874.9978</v>
      </c>
      <c r="E20" s="980" t="n">
        <v>1362.45435259431</v>
      </c>
      <c r="F20" s="980" t="n">
        <v>1362.45435259431</v>
      </c>
      <c r="G20" s="980" t="n">
        <v>1600.99239366263</v>
      </c>
      <c r="H20" s="980" t="n">
        <v>1839.35491469887</v>
      </c>
      <c r="I20" s="980" t="n">
        <v>2186.35147411272</v>
      </c>
      <c r="J20" s="980" t="n">
        <v>2545.22263477975</v>
      </c>
      <c r="K20" s="980" t="n">
        <v>2918.05175071529</v>
      </c>
      <c r="L20" s="980" t="n">
        <v>3304.83882191936</v>
      </c>
      <c r="M20" s="980" t="n">
        <v>3708.68291166069</v>
      </c>
      <c r="N20" s="980" t="n">
        <v>4142.77381639966</v>
      </c>
      <c r="O20" s="980" t="n">
        <v>4607.89769806799</v>
      </c>
      <c r="P20" s="980" t="n">
        <v>5105.07999930281</v>
      </c>
      <c r="Q20" s="980" t="n">
        <v>5616.22025580614</v>
      </c>
      <c r="R20" s="980" t="n">
        <v>6141.31846757799</v>
      </c>
    </row>
    <row r="21" customFormat="false" ht="15" hidden="false" customHeight="true" outlineLevel="0" collapsed="false">
      <c r="A21" s="978" t="s">
        <v>1030</v>
      </c>
      <c r="B21" s="979" t="s">
        <v>1031</v>
      </c>
      <c r="C21" s="980" t="n">
        <v>472</v>
      </c>
      <c r="D21" s="980" t="n">
        <v>1174.76</v>
      </c>
      <c r="E21" s="980" t="n">
        <v>1927.91</v>
      </c>
      <c r="F21" s="980" t="n">
        <v>2721.43</v>
      </c>
      <c r="G21" s="980" t="n">
        <v>2687.412125</v>
      </c>
      <c r="H21" s="980" t="n">
        <v>2551.340625</v>
      </c>
      <c r="I21" s="980" t="n">
        <v>2388.054825</v>
      </c>
      <c r="J21" s="980" t="n">
        <v>2143.126125</v>
      </c>
      <c r="K21" s="980" t="n">
        <v>1898.197425</v>
      </c>
      <c r="L21" s="980" t="n">
        <v>1653.268725</v>
      </c>
      <c r="M21" s="980" t="n">
        <v>1408.340025</v>
      </c>
      <c r="N21" s="980" t="n">
        <v>1163.411325</v>
      </c>
      <c r="O21" s="980" t="n">
        <v>918.482625</v>
      </c>
      <c r="P21" s="980" t="n">
        <v>673.553925</v>
      </c>
      <c r="Q21" s="980" t="n">
        <v>428.625225</v>
      </c>
      <c r="R21" s="980" t="n">
        <v>183.696525</v>
      </c>
    </row>
    <row r="22" customFormat="false" ht="15" hidden="false" customHeight="true" outlineLevel="0" collapsed="false">
      <c r="A22" s="978" t="s">
        <v>1032</v>
      </c>
      <c r="B22" s="979" t="s">
        <v>1033</v>
      </c>
      <c r="C22" s="980" t="n">
        <v>0</v>
      </c>
      <c r="D22" s="980" t="n">
        <v>0</v>
      </c>
      <c r="E22" s="980" t="n">
        <v>0</v>
      </c>
      <c r="F22" s="980" t="n">
        <v>0</v>
      </c>
      <c r="G22" s="980" t="n">
        <v>80.2168340864559</v>
      </c>
      <c r="H22" s="980" t="n">
        <v>160.393028854361</v>
      </c>
      <c r="I22" s="980" t="n">
        <v>253.29524433013</v>
      </c>
      <c r="J22" s="980" t="n">
        <v>297.243139642032</v>
      </c>
      <c r="K22" s="980" t="n">
        <v>326.746020499591</v>
      </c>
      <c r="L22" s="980" t="n">
        <v>344.249761546386</v>
      </c>
      <c r="M22" s="980" t="n">
        <v>352.758764054331</v>
      </c>
      <c r="N22" s="980" t="n">
        <v>358.290120245459</v>
      </c>
      <c r="O22" s="980" t="n">
        <v>362.386896753188</v>
      </c>
      <c r="P22" s="980" t="n">
        <v>366.432713029515</v>
      </c>
      <c r="Q22" s="980" t="n">
        <v>365.186479274413</v>
      </c>
      <c r="R22" s="980" t="n">
        <v>359.341978354998</v>
      </c>
    </row>
    <row r="23" customFormat="false" ht="15" hidden="false" customHeight="true" outlineLevel="0" collapsed="false">
      <c r="A23" s="978" t="s">
        <v>1034</v>
      </c>
      <c r="B23" s="979" t="s">
        <v>1035</v>
      </c>
      <c r="C23" s="980" t="n">
        <v>0</v>
      </c>
      <c r="D23" s="980" t="n">
        <v>0</v>
      </c>
      <c r="E23" s="980" t="n">
        <v>0</v>
      </c>
      <c r="F23" s="980" t="n">
        <v>0</v>
      </c>
      <c r="G23" s="980" t="n">
        <v>268.332196474686</v>
      </c>
      <c r="H23" s="980" t="n">
        <v>269.316223257676</v>
      </c>
      <c r="I23" s="980" t="n">
        <v>306.703669434505</v>
      </c>
      <c r="J23" s="980" t="n">
        <v>306.714157840597</v>
      </c>
      <c r="K23" s="980" t="n">
        <v>306.714157840597</v>
      </c>
      <c r="L23" s="980" t="n">
        <v>306.714157840597</v>
      </c>
      <c r="M23" s="980" t="n">
        <v>306.714157840597</v>
      </c>
      <c r="N23" s="980" t="n">
        <v>306.714157840597</v>
      </c>
      <c r="O23" s="980" t="n">
        <v>306.714157840597</v>
      </c>
      <c r="P23" s="980" t="n">
        <v>306.714157840597</v>
      </c>
      <c r="Q23" s="980" t="n">
        <v>306.714157840597</v>
      </c>
      <c r="R23" s="980" t="n">
        <v>306.714157840597</v>
      </c>
    </row>
    <row r="24" customFormat="false" ht="15" hidden="false" customHeight="true" outlineLevel="0" collapsed="false">
      <c r="A24" s="978" t="s">
        <v>1036</v>
      </c>
      <c r="B24" s="979" t="s">
        <v>1037</v>
      </c>
      <c r="C24" s="980" t="n">
        <v>0</v>
      </c>
      <c r="D24" s="980" t="n">
        <v>0</v>
      </c>
      <c r="E24" s="980" t="n">
        <v>0</v>
      </c>
      <c r="F24" s="980" t="n">
        <v>0</v>
      </c>
      <c r="G24" s="980" t="n">
        <v>937.327172789052</v>
      </c>
      <c r="H24" s="980" t="n">
        <v>935.375316172683</v>
      </c>
      <c r="I24" s="980" t="n">
        <v>1069.29911490394</v>
      </c>
      <c r="J24" s="980" t="n">
        <v>1069.29911490394</v>
      </c>
      <c r="K24" s="980" t="n">
        <v>1069.29911490394</v>
      </c>
      <c r="L24" s="980" t="n">
        <v>1069.29911490394</v>
      </c>
      <c r="M24" s="980" t="n">
        <v>1069.29911490394</v>
      </c>
      <c r="N24" s="980" t="n">
        <v>1069.29911490394</v>
      </c>
      <c r="O24" s="980" t="n">
        <v>1069.29911490394</v>
      </c>
      <c r="P24" s="980" t="n">
        <v>1069.29911490394</v>
      </c>
      <c r="Q24" s="980" t="n">
        <v>1069.29911490394</v>
      </c>
      <c r="R24" s="980" t="n">
        <v>1069.29911490394</v>
      </c>
    </row>
    <row r="25" customFormat="false" ht="15" hidden="false" customHeight="true" outlineLevel="0" collapsed="false">
      <c r="A25" s="978" t="s">
        <v>1038</v>
      </c>
      <c r="B25" s="979" t="s">
        <v>1039</v>
      </c>
      <c r="C25" s="980" t="n">
        <v>0</v>
      </c>
      <c r="D25" s="980" t="n">
        <v>308.733392402426</v>
      </c>
      <c r="E25" s="980" t="n">
        <v>193.868483459592</v>
      </c>
      <c r="F25" s="980" t="n">
        <v>0</v>
      </c>
      <c r="G25" s="980" t="n">
        <v>1205.65936926374</v>
      </c>
      <c r="H25" s="980" t="n">
        <v>1204.69153943036</v>
      </c>
      <c r="I25" s="980" t="n">
        <v>1376.00278433844</v>
      </c>
      <c r="J25" s="980" t="n">
        <v>1376.01327274454</v>
      </c>
      <c r="K25" s="980" t="n">
        <v>1376.01327274454</v>
      </c>
      <c r="L25" s="980" t="n">
        <v>1376.01327274454</v>
      </c>
      <c r="M25" s="980" t="n">
        <v>1376.01327274454</v>
      </c>
      <c r="N25" s="980" t="n">
        <v>1376.01327274454</v>
      </c>
      <c r="O25" s="980" t="n">
        <v>1376.01327274454</v>
      </c>
      <c r="P25" s="980" t="n">
        <v>1376.01327274454</v>
      </c>
      <c r="Q25" s="980" t="n">
        <v>1376.01327274454</v>
      </c>
      <c r="R25" s="980" t="n">
        <v>1376.01327274454</v>
      </c>
    </row>
    <row r="26" customFormat="false" ht="15" hidden="false" customHeight="true" outlineLevel="0" collapsed="false">
      <c r="A26" s="978" t="s">
        <v>1040</v>
      </c>
      <c r="B26" s="979" t="s">
        <v>1041</v>
      </c>
      <c r="C26" s="980" t="n">
        <v>781</v>
      </c>
      <c r="D26" s="980" t="n">
        <v>2358.49119240243</v>
      </c>
      <c r="E26" s="980" t="n">
        <v>3484.2328360539</v>
      </c>
      <c r="F26" s="980" t="n">
        <v>4083.88435259431</v>
      </c>
      <c r="G26" s="980" t="n">
        <v>5574.28072201282</v>
      </c>
      <c r="H26" s="980" t="n">
        <v>5755.78010798359</v>
      </c>
      <c r="I26" s="980" t="n">
        <v>6203.70432778129</v>
      </c>
      <c r="J26" s="980" t="n">
        <v>6361.60517216631</v>
      </c>
      <c r="K26" s="980" t="n">
        <v>6519.00846895942</v>
      </c>
      <c r="L26" s="980" t="n">
        <v>6678.37058121028</v>
      </c>
      <c r="M26" s="980" t="n">
        <v>6845.79497345956</v>
      </c>
      <c r="N26" s="980" t="n">
        <v>7040.48853438966</v>
      </c>
      <c r="O26" s="980" t="n">
        <v>7264.78049256571</v>
      </c>
      <c r="P26" s="980" t="n">
        <v>7521.07991007686</v>
      </c>
      <c r="Q26" s="980" t="n">
        <v>7786.04523282509</v>
      </c>
      <c r="R26" s="980" t="n">
        <v>8060.37024367753</v>
      </c>
    </row>
    <row r="27" customFormat="false" ht="15" hidden="false" customHeight="true" outlineLevel="0" collapsed="false">
      <c r="A27" s="978" t="s">
        <v>1042</v>
      </c>
      <c r="B27" s="979" t="s">
        <v>1043</v>
      </c>
      <c r="C27" s="980" t="n">
        <v>0</v>
      </c>
      <c r="D27" s="980" t="n">
        <v>0</v>
      </c>
      <c r="E27" s="980" t="n">
        <v>0</v>
      </c>
      <c r="F27" s="980" t="n">
        <v>0</v>
      </c>
      <c r="G27" s="980" t="n">
        <v>4092.11704072493</v>
      </c>
      <c r="H27" s="980" t="n">
        <v>4190.06710327476</v>
      </c>
      <c r="I27" s="980" t="n">
        <v>4288.0171658246</v>
      </c>
      <c r="J27" s="980" t="n">
        <v>4385.96722837444</v>
      </c>
      <c r="K27" s="980" t="n">
        <v>4483.91729092428</v>
      </c>
      <c r="L27" s="980" t="n">
        <v>4581.86735347412</v>
      </c>
      <c r="M27" s="980" t="n">
        <v>4679.81741602396</v>
      </c>
      <c r="N27" s="980" t="n">
        <v>4777.7674785738</v>
      </c>
      <c r="O27" s="980" t="n">
        <v>4875.71754112364</v>
      </c>
      <c r="P27" s="980" t="n">
        <v>4973.66760367348</v>
      </c>
      <c r="Q27" s="980" t="n">
        <v>5071.61766622332</v>
      </c>
      <c r="R27" s="980" t="n">
        <v>5169.56772877316</v>
      </c>
    </row>
    <row r="28" customFormat="false" ht="15" hidden="false" customHeight="true" outlineLevel="0" collapsed="false">
      <c r="A28" s="978" t="s">
        <v>1044</v>
      </c>
      <c r="B28" s="979" t="s">
        <v>1045</v>
      </c>
      <c r="C28" s="980" t="n">
        <v>0</v>
      </c>
      <c r="D28" s="980" t="n">
        <v>0</v>
      </c>
      <c r="E28" s="980" t="n">
        <v>0</v>
      </c>
      <c r="F28" s="980" t="n">
        <v>0</v>
      </c>
      <c r="G28" s="980" t="n">
        <v>222.967263494203</v>
      </c>
      <c r="H28" s="980" t="n">
        <v>450.30493788674</v>
      </c>
      <c r="I28" s="980" t="n">
        <v>682.013023177612</v>
      </c>
      <c r="J28" s="980" t="n">
        <v>918.091519366819</v>
      </c>
      <c r="K28" s="980" t="n">
        <v>1158.54042645436</v>
      </c>
      <c r="L28" s="980" t="n">
        <v>1403.35974444024</v>
      </c>
      <c r="M28" s="980" t="n">
        <v>1648.40800163026</v>
      </c>
      <c r="N28" s="980" t="n">
        <v>1876.05884968773</v>
      </c>
      <c r="O28" s="980" t="n">
        <v>2085.26169134989</v>
      </c>
      <c r="P28" s="980" t="n">
        <v>2274.64616361106</v>
      </c>
      <c r="Q28" s="980" t="n">
        <v>2468.40104677057</v>
      </c>
      <c r="R28" s="980" t="n">
        <v>2666.52634082841</v>
      </c>
    </row>
    <row r="29" customFormat="false" ht="15" hidden="false" customHeight="true" outlineLevel="0" collapsed="false">
      <c r="A29" s="978" t="s">
        <v>1046</v>
      </c>
      <c r="B29" s="979" t="s">
        <v>1047</v>
      </c>
      <c r="C29" s="980" t="n">
        <v>0</v>
      </c>
      <c r="D29" s="980" t="n">
        <v>0</v>
      </c>
      <c r="E29" s="980" t="n">
        <v>0</v>
      </c>
      <c r="F29" s="980" t="n">
        <v>0</v>
      </c>
      <c r="G29" s="980" t="n">
        <v>3869.14977723072</v>
      </c>
      <c r="H29" s="980" t="n">
        <v>3739.76216538802</v>
      </c>
      <c r="I29" s="980" t="n">
        <v>3606.00414264699</v>
      </c>
      <c r="J29" s="980" t="n">
        <v>3467.87570900762</v>
      </c>
      <c r="K29" s="980" t="n">
        <v>3325.37686446992</v>
      </c>
      <c r="L29" s="980" t="n">
        <v>3178.50760903388</v>
      </c>
      <c r="M29" s="980" t="n">
        <v>3031.4094143937</v>
      </c>
      <c r="N29" s="980" t="n">
        <v>2901.70862888607</v>
      </c>
      <c r="O29" s="980" t="n">
        <v>2790.45584977375</v>
      </c>
      <c r="P29" s="980" t="n">
        <v>2699.02144006242</v>
      </c>
      <c r="Q29" s="980" t="n">
        <v>2603.21661945275</v>
      </c>
      <c r="R29" s="980" t="n">
        <v>2503.04138794475</v>
      </c>
    </row>
    <row r="30" customFormat="false" ht="15" hidden="false" customHeight="true" outlineLevel="0" collapsed="false">
      <c r="A30" s="978" t="s">
        <v>1048</v>
      </c>
      <c r="B30" s="979" t="s">
        <v>1049</v>
      </c>
      <c r="C30" s="980" t="n">
        <v>464.526760248345</v>
      </c>
      <c r="D30" s="980" t="n">
        <v>2358.55339240243</v>
      </c>
      <c r="E30" s="980" t="n">
        <v>3484.2875360539</v>
      </c>
      <c r="F30" s="980" t="n">
        <v>3994.16697817509</v>
      </c>
      <c r="G30" s="980" t="n">
        <v>0</v>
      </c>
      <c r="H30" s="980" t="n">
        <v>0</v>
      </c>
      <c r="I30" s="980" t="n">
        <v>0</v>
      </c>
      <c r="J30" s="980" t="n">
        <v>0</v>
      </c>
      <c r="K30" s="980" t="n">
        <v>0</v>
      </c>
      <c r="L30" s="980" t="n">
        <v>0</v>
      </c>
      <c r="M30" s="980" t="n">
        <v>0</v>
      </c>
      <c r="N30" s="980" t="n">
        <v>0</v>
      </c>
      <c r="O30" s="980" t="n">
        <v>0</v>
      </c>
      <c r="P30" s="980" t="n">
        <v>0</v>
      </c>
      <c r="Q30" s="980" t="n">
        <v>0</v>
      </c>
      <c r="R30" s="980" t="n">
        <v>0</v>
      </c>
    </row>
    <row r="31" customFormat="false" ht="15" hidden="false" customHeight="true" outlineLevel="0" collapsed="false">
      <c r="A31" s="978" t="s">
        <v>1050</v>
      </c>
      <c r="B31" s="979" t="s">
        <v>1051</v>
      </c>
      <c r="C31" s="980" t="n">
        <v>316.473239751655</v>
      </c>
      <c r="D31" s="980" t="n">
        <v>-0.0621999999997343</v>
      </c>
      <c r="E31" s="980" t="n">
        <v>-0.0546999999997979</v>
      </c>
      <c r="F31" s="980" t="n">
        <v>89.7173744192256</v>
      </c>
      <c r="G31" s="980" t="n">
        <v>410.027510026797</v>
      </c>
      <c r="H31" s="980" t="n">
        <v>721.554328745983</v>
      </c>
      <c r="I31" s="980" t="n">
        <v>1119.46284431769</v>
      </c>
      <c r="J31" s="980" t="n">
        <v>1415.47813780062</v>
      </c>
      <c r="K31" s="980" t="n">
        <v>1715.38027913143</v>
      </c>
      <c r="L31" s="980" t="n">
        <v>2021.61164681832</v>
      </c>
      <c r="M31" s="980" t="n">
        <v>2336.13423370779</v>
      </c>
      <c r="N31" s="980" t="n">
        <v>2660.52858014552</v>
      </c>
      <c r="O31" s="980" t="n">
        <v>2996.07331743389</v>
      </c>
      <c r="P31" s="980" t="n">
        <v>3343.80714465637</v>
      </c>
      <c r="Q31" s="980" t="n">
        <v>3704.57728801427</v>
      </c>
      <c r="R31" s="980" t="n">
        <v>4079.07753037471</v>
      </c>
    </row>
    <row r="32" customFormat="false" ht="15" hidden="false" customHeight="true" outlineLevel="0" collapsed="false">
      <c r="A32" s="978" t="s">
        <v>1052</v>
      </c>
      <c r="B32" s="979" t="s">
        <v>1053</v>
      </c>
      <c r="C32" s="980" t="n">
        <v>0</v>
      </c>
      <c r="D32" s="980" t="n">
        <v>0</v>
      </c>
      <c r="E32" s="980" t="n">
        <v>0</v>
      </c>
      <c r="F32" s="980" t="n">
        <v>0</v>
      </c>
      <c r="G32" s="980" t="n">
        <v>752.768770499685</v>
      </c>
      <c r="H32" s="980" t="n">
        <v>752.12894959397</v>
      </c>
      <c r="I32" s="980" t="n">
        <v>858.426295953052</v>
      </c>
      <c r="J32" s="980" t="n">
        <v>858.440280494508</v>
      </c>
      <c r="K32" s="980" t="n">
        <v>858.440280494508</v>
      </c>
      <c r="L32" s="980" t="n">
        <v>858.440280494508</v>
      </c>
      <c r="M32" s="980" t="n">
        <v>858.440280494508</v>
      </c>
      <c r="N32" s="980" t="n">
        <v>858.440280494508</v>
      </c>
      <c r="O32" s="980" t="n">
        <v>858.440280494508</v>
      </c>
      <c r="P32" s="980" t="n">
        <v>858.440280494508</v>
      </c>
      <c r="Q32" s="980" t="n">
        <v>858.440280494508</v>
      </c>
      <c r="R32" s="980" t="n">
        <v>858.440280494508</v>
      </c>
    </row>
    <row r="33" customFormat="false" ht="15" hidden="false" customHeight="true" outlineLevel="0" collapsed="false">
      <c r="A33" s="978" t="s">
        <v>1054</v>
      </c>
      <c r="B33" s="979" t="s">
        <v>1055</v>
      </c>
      <c r="C33" s="980" t="n">
        <v>0</v>
      </c>
      <c r="D33" s="980" t="n">
        <v>0</v>
      </c>
      <c r="E33" s="980" t="n">
        <v>0</v>
      </c>
      <c r="F33" s="980" t="n">
        <v>0</v>
      </c>
      <c r="G33" s="980" t="n">
        <v>542.334664255615</v>
      </c>
      <c r="H33" s="980" t="n">
        <v>542.334664255615</v>
      </c>
      <c r="I33" s="980" t="n">
        <v>619.81104486356</v>
      </c>
      <c r="J33" s="980" t="n">
        <v>619.81104486356</v>
      </c>
      <c r="K33" s="980" t="n">
        <v>619.81104486356</v>
      </c>
      <c r="L33" s="980" t="n">
        <v>619.81104486356</v>
      </c>
      <c r="M33" s="980" t="n">
        <v>619.81104486356</v>
      </c>
      <c r="N33" s="980" t="n">
        <v>619.81104486356</v>
      </c>
      <c r="O33" s="980" t="n">
        <v>619.81104486356</v>
      </c>
      <c r="P33" s="980" t="n">
        <v>619.81104486356</v>
      </c>
      <c r="Q33" s="980" t="n">
        <v>619.81104486356</v>
      </c>
      <c r="R33" s="980" t="n">
        <v>619.81104486356</v>
      </c>
    </row>
    <row r="34" customFormat="false" ht="15" hidden="false" customHeight="true" outlineLevel="0" collapsed="false">
      <c r="A34" s="978" t="s">
        <v>1056</v>
      </c>
      <c r="B34" s="979" t="s">
        <v>1057</v>
      </c>
      <c r="C34" s="980" t="n">
        <v>316.473239751655</v>
      </c>
      <c r="D34" s="980" t="n">
        <v>-0.0621999999997343</v>
      </c>
      <c r="E34" s="980" t="n">
        <v>-0.0546999999997979</v>
      </c>
      <c r="F34" s="980" t="n">
        <v>89.7173744192256</v>
      </c>
      <c r="G34" s="980" t="n">
        <v>1705.1309447821</v>
      </c>
      <c r="H34" s="980" t="n">
        <v>2016.01794259557</v>
      </c>
      <c r="I34" s="980" t="n">
        <v>2597.7001851343</v>
      </c>
      <c r="J34" s="980" t="n">
        <v>2893.72946315869</v>
      </c>
      <c r="K34" s="980" t="n">
        <v>3193.6316044895</v>
      </c>
      <c r="L34" s="980" t="n">
        <v>3499.86297217639</v>
      </c>
      <c r="M34" s="980" t="n">
        <v>3814.38555906586</v>
      </c>
      <c r="N34" s="980" t="n">
        <v>4138.77990550359</v>
      </c>
      <c r="O34" s="980" t="n">
        <v>4474.32464279196</v>
      </c>
      <c r="P34" s="980" t="n">
        <v>4822.05847001444</v>
      </c>
      <c r="Q34" s="980" t="n">
        <v>5182.82861337234</v>
      </c>
      <c r="R34" s="980" t="n">
        <v>5557.32885573278</v>
      </c>
    </row>
    <row r="35" customFormat="false" ht="15" hidden="false" customHeight="true" outlineLevel="0" collapsed="false">
      <c r="A35" s="978" t="s">
        <v>1058</v>
      </c>
      <c r="B35" s="979" t="s">
        <v>1059</v>
      </c>
      <c r="C35" s="980" t="n">
        <v>781</v>
      </c>
      <c r="D35" s="980" t="n">
        <v>2358.49119240243</v>
      </c>
      <c r="E35" s="980" t="n">
        <v>3484.2328360539</v>
      </c>
      <c r="F35" s="980" t="n">
        <v>4083.88435259431</v>
      </c>
      <c r="G35" s="980" t="n">
        <v>5574.28072201282</v>
      </c>
      <c r="H35" s="980" t="n">
        <v>5755.78010798359</v>
      </c>
      <c r="I35" s="980" t="n">
        <v>6203.70432778129</v>
      </c>
      <c r="J35" s="980" t="n">
        <v>6361.60517216631</v>
      </c>
      <c r="K35" s="980" t="n">
        <v>6519.00846895942</v>
      </c>
      <c r="L35" s="980" t="n">
        <v>6678.37058121028</v>
      </c>
      <c r="M35" s="980" t="n">
        <v>6845.79497345956</v>
      </c>
      <c r="N35" s="980" t="n">
        <v>7040.48853438966</v>
      </c>
      <c r="O35" s="980" t="n">
        <v>7264.78049256571</v>
      </c>
      <c r="P35" s="980" t="n">
        <v>7521.07991007686</v>
      </c>
      <c r="Q35" s="980" t="n">
        <v>7786.04523282509</v>
      </c>
      <c r="R35" s="980" t="n">
        <v>8060.37024367753</v>
      </c>
    </row>
    <row r="36" customFormat="false" ht="15" hidden="false" customHeight="true" outlineLevel="0" collapsed="false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</row>
    <row r="37" customFormat="false" ht="15" hidden="false" customHeight="true" outlineLevel="0" collapsed="false">
      <c r="A37" s="977" t="s">
        <v>1060</v>
      </c>
      <c r="B37" s="977"/>
      <c r="C37" s="977"/>
      <c r="D37" s="977"/>
      <c r="E37" s="977"/>
      <c r="F37" s="977"/>
      <c r="G37" s="977"/>
      <c r="H37" s="977"/>
      <c r="I37" s="977"/>
      <c r="J37" s="977"/>
      <c r="K37" s="977"/>
      <c r="L37" s="977"/>
      <c r="M37" s="977"/>
      <c r="N37" s="977"/>
      <c r="O37" s="977"/>
      <c r="P37" s="977"/>
      <c r="Q37" s="977"/>
      <c r="R37" s="977"/>
    </row>
    <row r="38" customFormat="false" ht="15" hidden="false" customHeight="true" outlineLevel="0" collapsed="false">
      <c r="A38" s="978" t="s">
        <v>1061</v>
      </c>
      <c r="B38" s="979" t="s">
        <v>1062</v>
      </c>
      <c r="C38" s="980" t="n">
        <v>0</v>
      </c>
      <c r="D38" s="980" t="n">
        <v>472</v>
      </c>
      <c r="E38" s="980" t="n">
        <v>1174.76</v>
      </c>
      <c r="F38" s="980" t="n">
        <v>1927.91</v>
      </c>
      <c r="G38" s="980" t="n">
        <v>2721.43</v>
      </c>
      <c r="H38" s="980" t="n">
        <v>2687.412125</v>
      </c>
      <c r="I38" s="980" t="n">
        <v>2551.340625</v>
      </c>
      <c r="J38" s="980" t="n">
        <v>2388.054825</v>
      </c>
      <c r="K38" s="980" t="n">
        <v>2143.126125</v>
      </c>
      <c r="L38" s="980" t="n">
        <v>1898.197425</v>
      </c>
      <c r="M38" s="980" t="n">
        <v>1653.268725</v>
      </c>
      <c r="N38" s="980" t="n">
        <v>1408.340025</v>
      </c>
      <c r="O38" s="980" t="n">
        <v>1163.411325</v>
      </c>
      <c r="P38" s="980" t="n">
        <v>918.482625</v>
      </c>
      <c r="Q38" s="980" t="n">
        <v>673.553925</v>
      </c>
      <c r="R38" s="980" t="n">
        <v>428.625225</v>
      </c>
    </row>
    <row r="39" customFormat="false" ht="15" hidden="false" customHeight="true" outlineLevel="0" collapsed="false">
      <c r="A39" s="978" t="s">
        <v>1063</v>
      </c>
      <c r="B39" s="979" t="s">
        <v>1064</v>
      </c>
      <c r="C39" s="980" t="n">
        <v>472</v>
      </c>
      <c r="D39" s="980" t="n">
        <v>702.76</v>
      </c>
      <c r="E39" s="980" t="n">
        <v>753.15</v>
      </c>
      <c r="F39" s="980" t="n">
        <v>793.52</v>
      </c>
      <c r="G39" s="980" t="n">
        <v>0</v>
      </c>
      <c r="H39" s="980" t="n">
        <v>0</v>
      </c>
      <c r="I39" s="980" t="n">
        <v>0</v>
      </c>
      <c r="J39" s="980" t="n">
        <v>0</v>
      </c>
      <c r="K39" s="980" t="n">
        <v>0</v>
      </c>
      <c r="L39" s="980" t="n">
        <v>0</v>
      </c>
      <c r="M39" s="980" t="n">
        <v>0</v>
      </c>
      <c r="N39" s="980" t="n">
        <v>0</v>
      </c>
      <c r="O39" s="980" t="n">
        <v>0</v>
      </c>
      <c r="P39" s="980" t="n">
        <v>0</v>
      </c>
      <c r="Q39" s="980" t="n">
        <v>0</v>
      </c>
      <c r="R39" s="980" t="n">
        <v>0</v>
      </c>
    </row>
    <row r="40" customFormat="false" ht="15" hidden="false" customHeight="true" outlineLevel="0" collapsed="false">
      <c r="A40" s="978" t="s">
        <v>1065</v>
      </c>
      <c r="B40" s="979" t="s">
        <v>1066</v>
      </c>
      <c r="C40" s="980" t="n">
        <v>0</v>
      </c>
      <c r="D40" s="980" t="n">
        <v>0</v>
      </c>
      <c r="E40" s="980" t="n">
        <v>0</v>
      </c>
      <c r="F40" s="980" t="n">
        <v>0</v>
      </c>
      <c r="G40" s="980" t="n">
        <v>34.017875</v>
      </c>
      <c r="H40" s="980" t="n">
        <v>136.0715</v>
      </c>
      <c r="I40" s="980" t="n">
        <v>163.2858</v>
      </c>
      <c r="J40" s="980" t="n">
        <v>244.9287</v>
      </c>
      <c r="K40" s="980" t="n">
        <v>244.9287</v>
      </c>
      <c r="L40" s="980" t="n">
        <v>244.9287</v>
      </c>
      <c r="M40" s="980" t="n">
        <v>244.9287</v>
      </c>
      <c r="N40" s="980" t="n">
        <v>244.9287</v>
      </c>
      <c r="O40" s="980" t="n">
        <v>244.9287</v>
      </c>
      <c r="P40" s="980" t="n">
        <v>244.9287</v>
      </c>
      <c r="Q40" s="980" t="n">
        <v>244.9287</v>
      </c>
      <c r="R40" s="980" t="n">
        <v>244.9287</v>
      </c>
    </row>
    <row r="41" customFormat="false" ht="15" hidden="false" customHeight="true" outlineLevel="0" collapsed="false">
      <c r="A41" s="978" t="s">
        <v>1067</v>
      </c>
      <c r="B41" s="979" t="s">
        <v>1068</v>
      </c>
      <c r="C41" s="980" t="n">
        <v>472</v>
      </c>
      <c r="D41" s="980" t="n">
        <v>1174.76</v>
      </c>
      <c r="E41" s="980" t="n">
        <v>1927.91</v>
      </c>
      <c r="F41" s="980" t="n">
        <v>2721.43</v>
      </c>
      <c r="G41" s="980" t="n">
        <v>2687.412125</v>
      </c>
      <c r="H41" s="980" t="n">
        <v>2551.340625</v>
      </c>
      <c r="I41" s="980" t="n">
        <v>2388.054825</v>
      </c>
      <c r="J41" s="980" t="n">
        <v>2143.126125</v>
      </c>
      <c r="K41" s="980" t="n">
        <v>1898.197425</v>
      </c>
      <c r="L41" s="980" t="n">
        <v>1653.268725</v>
      </c>
      <c r="M41" s="980" t="n">
        <v>1408.340025</v>
      </c>
      <c r="N41" s="980" t="n">
        <v>1163.411325</v>
      </c>
      <c r="O41" s="980" t="n">
        <v>918.482625</v>
      </c>
      <c r="P41" s="980" t="n">
        <v>673.553925</v>
      </c>
      <c r="Q41" s="980" t="n">
        <v>428.625225</v>
      </c>
      <c r="R41" s="980" t="n">
        <v>183.696525</v>
      </c>
    </row>
    <row r="42" customFormat="false" ht="15" hidden="false" customHeight="true" outlineLevel="0" collapsed="false">
      <c r="A42" s="978" t="s">
        <v>1069</v>
      </c>
      <c r="B42" s="979" t="s">
        <v>1070</v>
      </c>
      <c r="C42" s="980" t="n">
        <v>0</v>
      </c>
      <c r="D42" s="980" t="n">
        <v>52.613445</v>
      </c>
      <c r="E42" s="980" t="n">
        <v>125.0384475</v>
      </c>
      <c r="F42" s="980" t="n">
        <v>210.31842</v>
      </c>
      <c r="G42" s="980" t="n">
        <v>0</v>
      </c>
      <c r="H42" s="980" t="n">
        <v>0</v>
      </c>
      <c r="I42" s="980" t="n">
        <v>0</v>
      </c>
      <c r="J42" s="980" t="n">
        <v>0</v>
      </c>
      <c r="K42" s="980" t="n">
        <v>0</v>
      </c>
      <c r="L42" s="980" t="n">
        <v>0</v>
      </c>
      <c r="M42" s="980" t="n">
        <v>0</v>
      </c>
      <c r="N42" s="980" t="n">
        <v>0</v>
      </c>
      <c r="O42" s="980" t="n">
        <v>0</v>
      </c>
      <c r="P42" s="980" t="n">
        <v>0</v>
      </c>
      <c r="Q42" s="980" t="n">
        <v>0</v>
      </c>
      <c r="R42" s="980" t="n">
        <v>0</v>
      </c>
    </row>
    <row r="43" customFormat="false" ht="15" hidden="false" customHeight="true" outlineLevel="0" collapsed="false">
      <c r="A43" s="978" t="s">
        <v>1071</v>
      </c>
      <c r="B43" s="979" t="s">
        <v>1072</v>
      </c>
      <c r="C43" s="980" t="n">
        <v>0</v>
      </c>
      <c r="D43" s="980" t="n">
        <v>0</v>
      </c>
      <c r="E43" s="980" t="n">
        <v>0</v>
      </c>
      <c r="F43" s="980" t="n">
        <v>0</v>
      </c>
      <c r="G43" s="980" t="n">
        <v>255.41470996875</v>
      </c>
      <c r="H43" s="980" t="n">
        <v>246.22137925</v>
      </c>
      <c r="I43" s="980" t="n">
        <v>233.110890225</v>
      </c>
      <c r="J43" s="980" t="n">
        <v>212.96550465</v>
      </c>
      <c r="K43" s="980" t="n">
        <v>189.94220685</v>
      </c>
      <c r="L43" s="980" t="n">
        <v>166.91890905</v>
      </c>
      <c r="M43" s="980" t="n">
        <v>143.89561125</v>
      </c>
      <c r="N43" s="980" t="n">
        <v>120.87231345</v>
      </c>
      <c r="O43" s="980" t="n">
        <v>97.8490156499998</v>
      </c>
      <c r="P43" s="980" t="n">
        <v>74.8257178499998</v>
      </c>
      <c r="Q43" s="980" t="n">
        <v>51.8024200499998</v>
      </c>
      <c r="R43" s="980" t="n">
        <v>28.7791222499998</v>
      </c>
    </row>
    <row r="44" customFormat="false" ht="15" hidden="false" customHeight="true" outlineLevel="0" collapsed="false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</row>
    <row r="45" customFormat="false" ht="15" hidden="false" customHeight="true" outlineLevel="0" collapsed="false">
      <c r="A45" s="977" t="s">
        <v>1073</v>
      </c>
      <c r="B45" s="977"/>
      <c r="C45" s="977"/>
      <c r="D45" s="977"/>
      <c r="E45" s="977"/>
      <c r="F45" s="977"/>
      <c r="G45" s="977"/>
      <c r="H45" s="977"/>
      <c r="I45" s="977"/>
      <c r="J45" s="977"/>
      <c r="K45" s="977"/>
      <c r="L45" s="977"/>
      <c r="M45" s="977"/>
      <c r="N45" s="977"/>
      <c r="O45" s="977"/>
      <c r="P45" s="977"/>
      <c r="Q45" s="977"/>
      <c r="R45" s="977"/>
    </row>
    <row r="46" customFormat="false" ht="15" hidden="false" customHeight="true" outlineLevel="0" collapsed="false">
      <c r="A46" s="978" t="s">
        <v>1074</v>
      </c>
      <c r="B46" s="979" t="s">
        <v>1075</v>
      </c>
      <c r="C46" s="981" t="n">
        <v>0</v>
      </c>
      <c r="D46" s="981" t="n">
        <v>0</v>
      </c>
      <c r="E46" s="981" t="n">
        <v>0</v>
      </c>
      <c r="F46" s="981" t="n">
        <v>0</v>
      </c>
      <c r="G46" s="981" t="n">
        <v>2.13856346564523</v>
      </c>
      <c r="H46" s="981" t="n">
        <v>1.6060239294372</v>
      </c>
      <c r="I46" s="981" t="n">
        <v>1.80088656132491</v>
      </c>
      <c r="J46" s="981" t="n">
        <v>1.55050029405608</v>
      </c>
      <c r="K46" s="981" t="n">
        <v>1.62179202198624</v>
      </c>
      <c r="L46" s="981" t="n">
        <v>1.70105451699987</v>
      </c>
      <c r="M46" s="981" t="n">
        <v>1.78702276459449</v>
      </c>
      <c r="N46" s="981" t="n">
        <v>1.87168427238429</v>
      </c>
      <c r="O46" s="981" t="n">
        <v>1.96694722453624</v>
      </c>
      <c r="P46" s="981" t="n">
        <v>2.07484992156505</v>
      </c>
      <c r="Q46" s="981" t="n">
        <v>2.22001486413694</v>
      </c>
      <c r="R46" s="981" t="n">
        <v>2.3896012914547</v>
      </c>
    </row>
    <row r="47" customFormat="false" ht="15" hidden="false" customHeight="true" outlineLevel="0" collapsed="false">
      <c r="A47" s="978" t="s">
        <v>1076</v>
      </c>
      <c r="B47" s="979" t="s">
        <v>1077</v>
      </c>
      <c r="C47" s="981" t="n">
        <v>0</v>
      </c>
      <c r="D47" s="981" t="n">
        <v>0</v>
      </c>
      <c r="E47" s="981" t="n">
        <v>0</v>
      </c>
      <c r="F47" s="981" t="n">
        <v>0</v>
      </c>
      <c r="G47" s="981" t="n">
        <v>2.93032398087729</v>
      </c>
      <c r="H47" s="981" t="n">
        <v>3.01031970099308</v>
      </c>
      <c r="I47" s="981" t="n">
        <v>3.65487706908649</v>
      </c>
      <c r="J47" s="981" t="n">
        <v>3.95976173539062</v>
      </c>
      <c r="K47" s="981" t="n">
        <v>4.37647967101662</v>
      </c>
      <c r="L47" s="981" t="n">
        <v>4.89122283448989</v>
      </c>
      <c r="M47" s="981" t="n">
        <v>5.54318951066265</v>
      </c>
      <c r="N47" s="981" t="n">
        <v>6.39569162558487</v>
      </c>
      <c r="O47" s="981" t="n">
        <v>7.55806723862459</v>
      </c>
      <c r="P47" s="981" t="n">
        <v>9.23679503163992</v>
      </c>
      <c r="Q47" s="981" t="n">
        <v>11.8741771187687</v>
      </c>
      <c r="R47" s="981" t="n">
        <v>16.619560124159</v>
      </c>
    </row>
    <row r="48" customFormat="false" ht="15" hidden="false" customHeight="true" outlineLevel="0" collapsed="false">
      <c r="A48" s="978" t="s">
        <v>1078</v>
      </c>
      <c r="B48" s="979" t="s">
        <v>1079</v>
      </c>
      <c r="C48" s="981" t="n">
        <v>0</v>
      </c>
      <c r="D48" s="981" t="n">
        <v>0</v>
      </c>
      <c r="E48" s="981" t="n">
        <v>0</v>
      </c>
      <c r="F48" s="981" t="n">
        <v>0</v>
      </c>
      <c r="G48" s="981" t="n">
        <v>1.43973071388547</v>
      </c>
      <c r="H48" s="981" t="n">
        <v>1.46580277393891</v>
      </c>
      <c r="I48" s="981" t="n">
        <v>1.51001731823598</v>
      </c>
      <c r="J48" s="981" t="n">
        <v>1.6181388806539</v>
      </c>
      <c r="K48" s="981" t="n">
        <v>1.75186038115605</v>
      </c>
      <c r="L48" s="981" t="n">
        <v>1.92255957000208</v>
      </c>
      <c r="M48" s="981" t="n">
        <v>2.15246983014184</v>
      </c>
      <c r="N48" s="981" t="n">
        <v>2.49413820076581</v>
      </c>
      <c r="O48" s="981" t="n">
        <v>3.03811501036697</v>
      </c>
      <c r="P48" s="981" t="n">
        <v>4.00713490024191</v>
      </c>
      <c r="Q48" s="981" t="n">
        <v>6.07340974729789</v>
      </c>
      <c r="R48" s="981" t="n">
        <v>13.6259593802591</v>
      </c>
    </row>
    <row r="49" customFormat="false" ht="15" hidden="false" customHeight="true" outlineLevel="0" collapsed="false">
      <c r="A49" s="978" t="s">
        <v>1080</v>
      </c>
      <c r="B49" s="979" t="s">
        <v>1081</v>
      </c>
      <c r="C49" s="981" t="n">
        <v>0</v>
      </c>
      <c r="D49" s="981" t="n">
        <v>0</v>
      </c>
      <c r="E49" s="981" t="n">
        <v>0</v>
      </c>
      <c r="F49" s="981" t="n">
        <v>0</v>
      </c>
      <c r="G49" s="981" t="n">
        <v>3.26792630918741</v>
      </c>
      <c r="H49" s="981" t="n">
        <v>3.12123624380586</v>
      </c>
      <c r="I49" s="981" t="n">
        <v>2.49441080751864</v>
      </c>
      <c r="J49" s="981" t="n">
        <v>2.23835219714746</v>
      </c>
      <c r="K49" s="981" t="n">
        <v>1.98254051747347</v>
      </c>
      <c r="L49" s="981" t="n">
        <v>1.72672883779947</v>
      </c>
      <c r="M49" s="981" t="n">
        <v>1.47091715812548</v>
      </c>
      <c r="N49" s="981" t="n">
        <v>1.21510547845148</v>
      </c>
      <c r="O49" s="981" t="n">
        <v>0.959293798777485</v>
      </c>
      <c r="P49" s="981" t="n">
        <v>0.703482119103489</v>
      </c>
      <c r="Q49" s="981" t="n">
        <v>0.447670439429493</v>
      </c>
      <c r="R49" s="981" t="n">
        <v>0.191858759755497</v>
      </c>
    </row>
    <row r="50" customFormat="false" ht="15" hidden="false" customHeight="true" outlineLevel="0" collapsed="false">
      <c r="A50" s="978" t="s">
        <v>1082</v>
      </c>
      <c r="B50" s="979" t="s">
        <v>1083</v>
      </c>
      <c r="C50" s="981" t="n">
        <v>0</v>
      </c>
      <c r="D50" s="981" t="n">
        <v>0</v>
      </c>
      <c r="E50" s="981" t="n">
        <v>0</v>
      </c>
      <c r="F50" s="981" t="n">
        <v>1.99744673633873</v>
      </c>
      <c r="G50" s="981" t="n">
        <v>1.67859143843398</v>
      </c>
      <c r="H50" s="981" t="n">
        <v>1.38708446347762</v>
      </c>
      <c r="I50" s="981" t="n">
        <v>1.09225568408169</v>
      </c>
      <c r="J50" s="981" t="n">
        <v>0.842019120730261</v>
      </c>
      <c r="K50" s="981" t="n">
        <v>0.650501631622777</v>
      </c>
      <c r="L50" s="981" t="n">
        <v>0.500256991062526</v>
      </c>
      <c r="M50" s="981" t="n">
        <v>0.379741287822681</v>
      </c>
      <c r="N50" s="981" t="n">
        <v>0.28082907167041</v>
      </c>
      <c r="O50" s="981" t="n">
        <v>0.199327911595152</v>
      </c>
      <c r="P50" s="981" t="n">
        <v>0.131937976504185</v>
      </c>
      <c r="Q50" s="981" t="n">
        <v>0.0763191622616439</v>
      </c>
      <c r="R50" s="981" t="n">
        <v>0.0299115777776049</v>
      </c>
    </row>
    <row r="51" customFormat="false" ht="15" hidden="false" customHeight="true" outlineLevel="0" collapsed="false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</row>
    <row r="52" customFormat="false" ht="69.75" hidden="false" customHeight="true" outlineLevel="0" collapsed="false">
      <c r="A52" s="982" t="s">
        <v>1084</v>
      </c>
      <c r="B52" s="982"/>
      <c r="C52" s="982"/>
      <c r="D52" s="982"/>
      <c r="E52" s="982"/>
      <c r="F52" s="982"/>
      <c r="G52" s="982"/>
      <c r="H52" s="982"/>
      <c r="I52" s="982"/>
      <c r="J52" s="982"/>
      <c r="K52" s="982"/>
      <c r="L52" s="982"/>
      <c r="M52" s="982"/>
      <c r="N52" s="982"/>
      <c r="O52" s="982"/>
      <c r="P52" s="982"/>
      <c r="Q52" s="982"/>
      <c r="R52" s="982"/>
    </row>
  </sheetData>
  <mergeCells count="7">
    <mergeCell ref="A1:R1"/>
    <mergeCell ref="A2:R2"/>
    <mergeCell ref="A5:R5"/>
    <mergeCell ref="A17:R17"/>
    <mergeCell ref="A37:R37"/>
    <mergeCell ref="A45:R45"/>
    <mergeCell ref="A52:R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200"/>
  <sheetViews>
    <sheetView showFormulas="false" showGridLines="false" showRowColHeaders="true" showZeros="true" rightToLeft="false" tabSelected="false" showOutlineSymbols="true" defaultGridColor="true" view="normal" topLeftCell="A1" colorId="64" zoomScale="109" zoomScaleNormal="109" zoomScalePageLayoutView="100" workbookViewId="0">
      <pane xSplit="0" ySplit="2" topLeftCell="A3" activePane="bottomLeft" state="frozen"/>
      <selection pane="topLeft" activeCell="A1" activeCellId="0" sqref="A1"/>
      <selection pane="bottomLeft" activeCell="D45" activeCellId="0" sqref="D4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0.77"/>
    <col collapsed="false" customWidth="true" hidden="false" outlineLevel="0" max="2" min="2" style="1" width="17.56"/>
    <col collapsed="false" customWidth="true" hidden="false" outlineLevel="0" max="3" min="3" style="1" width="22.22"/>
    <col collapsed="false" customWidth="true" hidden="false" outlineLevel="0" max="4" min="4" style="1" width="35.22"/>
    <col collapsed="false" customWidth="true" hidden="true" outlineLevel="0" max="6" min="5" style="1" width="11.53"/>
  </cols>
  <sheetData>
    <row r="1" customFormat="false" ht="27.75" hidden="false" customHeight="true" outlineLevel="0" collapsed="false">
      <c r="A1" s="983" t="s">
        <v>1085</v>
      </c>
      <c r="B1" s="983"/>
      <c r="C1" s="983"/>
      <c r="D1" s="983"/>
      <c r="E1" s="984"/>
      <c r="F1" s="984"/>
    </row>
    <row r="2" customFormat="false" ht="19.5" hidden="false" customHeight="true" outlineLevel="0" collapsed="false">
      <c r="A2" s="985" t="s">
        <v>1086</v>
      </c>
      <c r="B2" s="985"/>
      <c r="C2" s="985"/>
      <c r="D2" s="985"/>
      <c r="E2" s="986"/>
      <c r="F2" s="986"/>
    </row>
    <row r="3" customFormat="false" ht="21.75" hidden="false" customHeight="true" outlineLevel="0" collapsed="false">
      <c r="A3" s="987" t="s">
        <v>1087</v>
      </c>
      <c r="B3" s="987"/>
      <c r="C3" s="987"/>
      <c r="D3" s="987"/>
      <c r="E3" s="988"/>
      <c r="F3" s="988"/>
    </row>
    <row r="4" customFormat="false" ht="19.5" hidden="false" customHeight="true" outlineLevel="0" collapsed="false">
      <c r="A4" s="989" t="s">
        <v>586</v>
      </c>
      <c r="B4" s="989" t="s">
        <v>21</v>
      </c>
      <c r="C4" s="989" t="s">
        <v>1088</v>
      </c>
      <c r="D4" s="989" t="s">
        <v>744</v>
      </c>
      <c r="E4" s="990"/>
      <c r="F4" s="990"/>
    </row>
    <row r="5" customFormat="false" ht="19.5" hidden="false" customHeight="true" outlineLevel="0" collapsed="false">
      <c r="A5" s="991" t="s">
        <v>1089</v>
      </c>
      <c r="B5" s="992" t="n">
        <v>46154</v>
      </c>
      <c r="C5" s="361" t="s">
        <v>1090</v>
      </c>
      <c r="D5" s="993" t="s">
        <v>1091</v>
      </c>
      <c r="E5" s="446"/>
      <c r="F5" s="446"/>
    </row>
    <row r="6" customFormat="false" ht="19.5" hidden="false" customHeight="true" outlineLevel="0" collapsed="false">
      <c r="A6" s="994" t="s">
        <v>1092</v>
      </c>
      <c r="B6" s="995" t="n">
        <v>84.5</v>
      </c>
      <c r="C6" s="996" t="s">
        <v>1093</v>
      </c>
      <c r="D6" s="997" t="s">
        <v>1094</v>
      </c>
      <c r="E6" s="998"/>
      <c r="F6" s="998"/>
    </row>
    <row r="7" customFormat="false" ht="19.5" hidden="false" customHeight="true" outlineLevel="0" collapsed="false">
      <c r="A7" s="991" t="s">
        <v>1095</v>
      </c>
      <c r="B7" s="999" t="b">
        <f aca="false">TRUE()</f>
        <v>1</v>
      </c>
      <c r="C7" s="361" t="s">
        <v>1096</v>
      </c>
      <c r="D7" s="993" t="s">
        <v>1097</v>
      </c>
      <c r="E7" s="446"/>
      <c r="F7" s="446"/>
    </row>
    <row r="8" customFormat="false" ht="19.5" hidden="false" customHeight="true" outlineLevel="0" collapsed="false">
      <c r="A8" s="994" t="s">
        <v>1098</v>
      </c>
      <c r="B8" s="1000" t="n">
        <v>365</v>
      </c>
      <c r="C8" s="996" t="s">
        <v>1099</v>
      </c>
      <c r="D8" s="997" t="s">
        <v>1100</v>
      </c>
      <c r="E8" s="998"/>
      <c r="F8" s="998"/>
    </row>
    <row r="9" customFormat="false" ht="19.5" hidden="false" customHeight="true" outlineLevel="0" collapsed="false">
      <c r="A9" s="991" t="s">
        <v>1101</v>
      </c>
      <c r="B9" s="1001" t="s">
        <v>1102</v>
      </c>
      <c r="C9" s="361" t="s">
        <v>1103</v>
      </c>
      <c r="D9" s="993" t="s">
        <v>1104</v>
      </c>
      <c r="E9" s="446"/>
      <c r="F9" s="446"/>
    </row>
    <row r="10" customFormat="false" ht="19.5" hidden="false" customHeight="true" outlineLevel="0" collapsed="false">
      <c r="A10" s="994" t="s">
        <v>1105</v>
      </c>
      <c r="B10" s="992" t="n">
        <v>46113</v>
      </c>
      <c r="C10" s="996" t="s">
        <v>1090</v>
      </c>
      <c r="D10" s="997" t="s">
        <v>1106</v>
      </c>
      <c r="E10" s="998"/>
      <c r="F10" s="998"/>
    </row>
    <row r="11" customFormat="false" ht="3.75" hidden="false" customHeight="true" outlineLevel="0" collapsed="false">
      <c r="A11" s="1002"/>
      <c r="B11" s="1003"/>
      <c r="C11" s="1004"/>
      <c r="D11" s="1005"/>
      <c r="E11" s="1006"/>
      <c r="F11" s="1006"/>
    </row>
    <row r="12" customFormat="false" ht="21.75" hidden="false" customHeight="true" outlineLevel="0" collapsed="false">
      <c r="A12" s="987" t="s">
        <v>1107</v>
      </c>
      <c r="B12" s="987"/>
      <c r="C12" s="987"/>
      <c r="D12" s="987"/>
      <c r="E12" s="988"/>
      <c r="F12" s="988"/>
    </row>
    <row r="13" customFormat="false" ht="19.5" hidden="false" customHeight="true" outlineLevel="0" collapsed="false">
      <c r="A13" s="989" t="s">
        <v>382</v>
      </c>
      <c r="B13" s="989" t="s">
        <v>1108</v>
      </c>
      <c r="C13" s="989" t="s">
        <v>1088</v>
      </c>
      <c r="D13" s="989" t="s">
        <v>1109</v>
      </c>
      <c r="E13" s="990"/>
      <c r="F13" s="990"/>
    </row>
    <row r="14" customFormat="false" ht="19.5" hidden="false" customHeight="true" outlineLevel="0" collapsed="false">
      <c r="A14" s="994" t="s">
        <v>405</v>
      </c>
      <c r="B14" s="1007" t="n">
        <v>0.089</v>
      </c>
      <c r="C14" s="996" t="s">
        <v>1110</v>
      </c>
      <c r="D14" s="997" t="s">
        <v>1111</v>
      </c>
      <c r="E14" s="998"/>
      <c r="F14" s="998"/>
    </row>
    <row r="15" customFormat="false" ht="19.5" hidden="false" customHeight="true" outlineLevel="0" collapsed="false">
      <c r="A15" s="991" t="s">
        <v>463</v>
      </c>
      <c r="B15" s="1007" t="n">
        <v>0.061</v>
      </c>
      <c r="C15" s="361" t="s">
        <v>1110</v>
      </c>
      <c r="D15" s="993" t="s">
        <v>1112</v>
      </c>
      <c r="E15" s="446"/>
      <c r="F15" s="446"/>
    </row>
    <row r="16" customFormat="false" ht="19.5" hidden="false" customHeight="true" outlineLevel="0" collapsed="false">
      <c r="A16" s="994" t="s">
        <v>473</v>
      </c>
      <c r="B16" s="1007" t="n">
        <v>0.0775</v>
      </c>
      <c r="C16" s="996" t="s">
        <v>1110</v>
      </c>
      <c r="D16" s="997" t="s">
        <v>1113</v>
      </c>
      <c r="E16" s="998"/>
      <c r="F16" s="998"/>
    </row>
    <row r="17" customFormat="false" ht="19.5" hidden="false" customHeight="true" outlineLevel="0" collapsed="false">
      <c r="A17" s="991" t="s">
        <v>573</v>
      </c>
      <c r="B17" s="1007" t="n">
        <v>0.081</v>
      </c>
      <c r="C17" s="361" t="s">
        <v>1110</v>
      </c>
      <c r="D17" s="993" t="s">
        <v>1114</v>
      </c>
      <c r="E17" s="446"/>
      <c r="F17" s="446"/>
    </row>
    <row r="18" customFormat="false" ht="19.5" hidden="false" customHeight="true" outlineLevel="0" collapsed="false">
      <c r="A18" s="994" t="s">
        <v>486</v>
      </c>
      <c r="B18" s="1007" t="n">
        <v>0.083</v>
      </c>
      <c r="C18" s="996" t="s">
        <v>1110</v>
      </c>
      <c r="D18" s="997" t="s">
        <v>1115</v>
      </c>
      <c r="E18" s="998"/>
      <c r="F18" s="998"/>
    </row>
    <row r="19" customFormat="false" ht="19.5" hidden="false" customHeight="true" outlineLevel="0" collapsed="false">
      <c r="A19" s="991" t="s">
        <v>559</v>
      </c>
      <c r="B19" s="1007" t="n">
        <v>0.0815</v>
      </c>
      <c r="C19" s="361" t="s">
        <v>1110</v>
      </c>
      <c r="D19" s="993" t="s">
        <v>1116</v>
      </c>
      <c r="E19" s="446"/>
      <c r="F19" s="446"/>
    </row>
    <row r="20" customFormat="false" ht="19.5" hidden="false" customHeight="true" outlineLevel="0" collapsed="false">
      <c r="A20" s="994" t="s">
        <v>492</v>
      </c>
      <c r="B20" s="1007" t="n">
        <v>0.0525</v>
      </c>
      <c r="C20" s="996" t="s">
        <v>1110</v>
      </c>
      <c r="D20" s="997" t="s">
        <v>1117</v>
      </c>
      <c r="E20" s="998"/>
      <c r="F20" s="998"/>
    </row>
    <row r="21" customFormat="false" ht="19.5" hidden="false" customHeight="true" outlineLevel="0" collapsed="false">
      <c r="A21" s="991" t="s">
        <v>564</v>
      </c>
      <c r="B21" s="1007" t="n">
        <v>0.07</v>
      </c>
      <c r="C21" s="361" t="s">
        <v>1110</v>
      </c>
      <c r="D21" s="993" t="s">
        <v>1118</v>
      </c>
      <c r="E21" s="446"/>
      <c r="F21" s="446"/>
    </row>
    <row r="22" customFormat="false" ht="19.5" hidden="false" customHeight="true" outlineLevel="0" collapsed="false">
      <c r="A22" s="994" t="s">
        <v>998</v>
      </c>
      <c r="B22" s="1007" t="n">
        <v>0.043</v>
      </c>
      <c r="C22" s="996" t="s">
        <v>1110</v>
      </c>
      <c r="D22" s="997" t="s">
        <v>1119</v>
      </c>
      <c r="E22" s="998"/>
      <c r="F22" s="998"/>
    </row>
    <row r="23" customFormat="false" ht="19.5" hidden="false" customHeight="true" outlineLevel="0" collapsed="false">
      <c r="A23" s="991" t="s">
        <v>445</v>
      </c>
      <c r="B23" s="1007" t="n">
        <v>0.095</v>
      </c>
      <c r="C23" s="361" t="s">
        <v>1110</v>
      </c>
      <c r="D23" s="993" t="s">
        <v>1120</v>
      </c>
      <c r="E23" s="446"/>
      <c r="F23" s="446"/>
    </row>
    <row r="24" customFormat="false" ht="19.5" hidden="false" customHeight="true" outlineLevel="0" collapsed="false">
      <c r="A24" s="994" t="s">
        <v>503</v>
      </c>
      <c r="B24" s="1007" t="n">
        <v>0.09</v>
      </c>
      <c r="C24" s="996" t="s">
        <v>1110</v>
      </c>
      <c r="D24" s="997" t="s">
        <v>1121</v>
      </c>
      <c r="E24" s="998"/>
      <c r="F24" s="998"/>
    </row>
    <row r="25" customFormat="false" ht="19.5" hidden="false" customHeight="true" outlineLevel="0" collapsed="false">
      <c r="A25" s="991" t="s">
        <v>433</v>
      </c>
      <c r="B25" s="1008" t="n">
        <v>0</v>
      </c>
      <c r="C25" s="361" t="s">
        <v>1110</v>
      </c>
      <c r="D25" s="993" t="s">
        <v>1122</v>
      </c>
      <c r="E25" s="446"/>
      <c r="F25" s="446"/>
    </row>
    <row r="26" customFormat="false" ht="19.5" hidden="false" customHeight="true" outlineLevel="0" collapsed="false">
      <c r="A26" s="994" t="s">
        <v>413</v>
      </c>
      <c r="B26" s="1007" t="n">
        <v>0.086</v>
      </c>
      <c r="C26" s="996" t="s">
        <v>1110</v>
      </c>
      <c r="D26" s="997" t="s">
        <v>1123</v>
      </c>
      <c r="E26" s="998"/>
      <c r="F26" s="998"/>
    </row>
    <row r="27" customFormat="false" ht="3.75" hidden="false" customHeight="true" outlineLevel="0" collapsed="false">
      <c r="A27" s="1009" t="s">
        <v>439</v>
      </c>
      <c r="B27" s="1010" t="n">
        <v>0.089</v>
      </c>
      <c r="C27" s="1004" t="s">
        <v>1110</v>
      </c>
      <c r="D27" s="1004" t="s">
        <v>1124</v>
      </c>
      <c r="E27" s="1006"/>
      <c r="F27" s="1006"/>
    </row>
    <row r="28" customFormat="false" ht="21.75" hidden="false" customHeight="true" outlineLevel="0" collapsed="false">
      <c r="A28" s="987" t="s">
        <v>1125</v>
      </c>
      <c r="B28" s="987"/>
      <c r="C28" s="987"/>
      <c r="D28" s="987"/>
      <c r="E28" s="988"/>
      <c r="F28" s="988"/>
    </row>
    <row r="29" customFormat="false" ht="19.5" hidden="false" customHeight="true" outlineLevel="0" collapsed="false">
      <c r="A29" s="1011" t="s">
        <v>1126</v>
      </c>
      <c r="B29" s="1012" t="s">
        <v>1127</v>
      </c>
      <c r="C29" s="1011" t="s">
        <v>1128</v>
      </c>
      <c r="D29" s="1013" t="s">
        <v>1129</v>
      </c>
      <c r="E29" s="990"/>
      <c r="F29" s="990"/>
    </row>
    <row r="30" customFormat="false" ht="19.5" hidden="false" customHeight="true" outlineLevel="0" collapsed="false">
      <c r="A30" s="1014" t="s">
        <v>25</v>
      </c>
      <c r="B30" s="1015" t="n">
        <v>-5.45</v>
      </c>
      <c r="C30" s="1016" t="s">
        <v>1130</v>
      </c>
      <c r="D30" s="997" t="s">
        <v>1131</v>
      </c>
      <c r="E30" s="998"/>
      <c r="F30" s="998"/>
    </row>
    <row r="31" customFormat="false" ht="19.5" hidden="false" customHeight="true" outlineLevel="0" collapsed="false">
      <c r="A31" s="1017" t="s">
        <v>1132</v>
      </c>
      <c r="B31" s="1015" t="n">
        <v>2514.42</v>
      </c>
      <c r="C31" s="1018" t="s">
        <v>1133</v>
      </c>
      <c r="D31" s="993" t="s">
        <v>1134</v>
      </c>
      <c r="E31" s="446"/>
      <c r="F31" s="446"/>
    </row>
    <row r="32" customFormat="false" ht="19.5" hidden="false" customHeight="true" outlineLevel="0" collapsed="false">
      <c r="A32" s="1014" t="s">
        <v>1135</v>
      </c>
      <c r="B32" s="1015" t="n">
        <v>1679.1</v>
      </c>
      <c r="C32" s="1016" t="s">
        <v>1136</v>
      </c>
      <c r="D32" s="997" t="s">
        <v>1137</v>
      </c>
      <c r="E32" s="998"/>
      <c r="F32" s="998"/>
    </row>
    <row r="33" customFormat="false" ht="19.5" hidden="false" customHeight="true" outlineLevel="0" collapsed="false">
      <c r="A33" s="1017" t="s">
        <v>1138</v>
      </c>
      <c r="B33" s="1015" t="n">
        <v>993.45</v>
      </c>
      <c r="C33" s="1018" t="s">
        <v>1139</v>
      </c>
      <c r="D33" s="993" t="s">
        <v>1140</v>
      </c>
      <c r="E33" s="446"/>
      <c r="F33" s="446"/>
    </row>
    <row r="34" customFormat="false" ht="19.5" hidden="false" customHeight="true" outlineLevel="0" collapsed="false">
      <c r="A34" s="1014" t="s">
        <v>1141</v>
      </c>
      <c r="B34" s="1015" t="n">
        <v>993.45</v>
      </c>
      <c r="C34" s="1016" t="s">
        <v>1142</v>
      </c>
      <c r="D34" s="997" t="s">
        <v>1143</v>
      </c>
      <c r="E34" s="998"/>
      <c r="F34" s="998"/>
    </row>
    <row r="35" customFormat="false" ht="19.5" hidden="false" customHeight="true" outlineLevel="0" collapsed="false">
      <c r="A35" s="1017" t="s">
        <v>1144</v>
      </c>
      <c r="B35" s="1015" t="n">
        <v>555.63</v>
      </c>
      <c r="C35" s="1018" t="s">
        <v>1145</v>
      </c>
      <c r="D35" s="993" t="s">
        <v>1146</v>
      </c>
      <c r="E35" s="446"/>
      <c r="F35" s="446"/>
    </row>
    <row r="36" customFormat="false" ht="19.5" hidden="false" customHeight="true" outlineLevel="0" collapsed="false">
      <c r="A36" s="1014" t="s">
        <v>1147</v>
      </c>
      <c r="B36" s="1015" t="n">
        <v>1127.26</v>
      </c>
      <c r="C36" s="1016" t="s">
        <v>1145</v>
      </c>
      <c r="D36" s="997" t="s">
        <v>1148</v>
      </c>
      <c r="E36" s="998"/>
      <c r="F36" s="998"/>
    </row>
    <row r="37" customFormat="false" ht="19.5" hidden="false" customHeight="true" outlineLevel="0" collapsed="false">
      <c r="A37" s="1017" t="s">
        <v>1149</v>
      </c>
      <c r="B37" s="1015" t="n">
        <v>2935.01</v>
      </c>
      <c r="C37" s="1018" t="s">
        <v>1150</v>
      </c>
      <c r="D37" s="993" t="s">
        <v>1151</v>
      </c>
      <c r="E37" s="446"/>
      <c r="F37" s="446"/>
    </row>
    <row r="38" customFormat="false" ht="19.5" hidden="false" customHeight="true" outlineLevel="0" collapsed="false">
      <c r="A38" s="1014" t="s">
        <v>1152</v>
      </c>
      <c r="B38" s="1015" t="n">
        <v>182.96</v>
      </c>
      <c r="C38" s="1016" t="s">
        <v>1153</v>
      </c>
      <c r="D38" s="997" t="s">
        <v>1154</v>
      </c>
      <c r="E38" s="998"/>
      <c r="F38" s="998"/>
    </row>
    <row r="39" customFormat="false" ht="19.5" hidden="false" customHeight="true" outlineLevel="0" collapsed="false">
      <c r="A39" s="1017" t="s">
        <v>1046</v>
      </c>
      <c r="B39" s="1015" t="n">
        <v>3080.15</v>
      </c>
      <c r="C39" s="1018" t="s">
        <v>1155</v>
      </c>
      <c r="D39" s="993" t="s">
        <v>1156</v>
      </c>
      <c r="E39" s="446"/>
      <c r="F39" s="446"/>
    </row>
    <row r="40" customFormat="false" ht="19.5" hidden="false" customHeight="true" outlineLevel="0" collapsed="false">
      <c r="A40" s="1014" t="s">
        <v>1157</v>
      </c>
      <c r="B40" s="1015" t="n">
        <v>1679.1</v>
      </c>
      <c r="C40" s="1016" t="s">
        <v>1136</v>
      </c>
      <c r="D40" s="997" t="s">
        <v>1158</v>
      </c>
      <c r="E40" s="998"/>
      <c r="F40" s="998"/>
    </row>
    <row r="41" customFormat="false" ht="19.5" hidden="false" customHeight="true" outlineLevel="0" collapsed="false">
      <c r="A41" s="1019" t="s">
        <v>1159</v>
      </c>
      <c r="B41" s="1020" t="s">
        <v>1160</v>
      </c>
      <c r="C41" s="1021" t="s">
        <v>1161</v>
      </c>
      <c r="D41" s="1022" t="s">
        <v>1162</v>
      </c>
      <c r="E41" s="477"/>
      <c r="F41" s="477"/>
    </row>
    <row r="42" customFormat="false" ht="19.5" hidden="false" customHeight="true" outlineLevel="0" collapsed="false">
      <c r="A42" s="1014" t="s">
        <v>1163</v>
      </c>
      <c r="B42" s="1023" t="n">
        <v>1</v>
      </c>
      <c r="C42" s="1016" t="s">
        <v>1164</v>
      </c>
      <c r="D42" s="997" t="s">
        <v>1165</v>
      </c>
      <c r="E42" s="998"/>
      <c r="F42" s="998"/>
    </row>
    <row r="43" customFormat="false" ht="19.5" hidden="false" customHeight="true" outlineLevel="0" collapsed="false">
      <c r="A43" s="1017" t="s">
        <v>1166</v>
      </c>
      <c r="B43" s="1015" t="n">
        <v>0</v>
      </c>
      <c r="C43" s="1018" t="s">
        <v>1136</v>
      </c>
      <c r="D43" s="993" t="s">
        <v>1167</v>
      </c>
      <c r="E43" s="446"/>
      <c r="F43" s="446"/>
    </row>
    <row r="44" customFormat="false" ht="19.5" hidden="false" customHeight="true" outlineLevel="0" collapsed="false">
      <c r="A44" s="1014" t="s">
        <v>1168</v>
      </c>
      <c r="B44" s="1015" t="n">
        <v>2.88</v>
      </c>
      <c r="C44" s="1016" t="s">
        <v>1169</v>
      </c>
      <c r="D44" s="997" t="s">
        <v>1170</v>
      </c>
      <c r="E44" s="998"/>
      <c r="F44" s="998"/>
    </row>
    <row r="45" customFormat="false" ht="19.5" hidden="false" customHeight="true" outlineLevel="0" collapsed="false">
      <c r="A45" s="1017" t="s">
        <v>1171</v>
      </c>
      <c r="B45" s="1015" t="n">
        <v>0</v>
      </c>
      <c r="C45" s="1018" t="s">
        <v>1136</v>
      </c>
      <c r="D45" s="993" t="s">
        <v>1172</v>
      </c>
      <c r="E45" s="446"/>
      <c r="F45" s="446"/>
    </row>
    <row r="46" customFormat="false" ht="3.75" hidden="false" customHeight="true" outlineLevel="0" collapsed="false">
      <c r="A46" s="1024"/>
      <c r="B46" s="1024"/>
      <c r="C46" s="1024"/>
      <c r="D46" s="1024"/>
      <c r="E46" s="1025"/>
      <c r="F46" s="1025"/>
    </row>
    <row r="47" customFormat="false" ht="21.75" hidden="false" customHeight="true" outlineLevel="0" collapsed="false">
      <c r="A47" s="987" t="s">
        <v>1173</v>
      </c>
      <c r="B47" s="987"/>
      <c r="C47" s="987"/>
      <c r="D47" s="987"/>
      <c r="E47" s="988"/>
      <c r="F47" s="988"/>
    </row>
    <row r="48" customFormat="false" ht="19.5" hidden="false" customHeight="true" outlineLevel="0" collapsed="false">
      <c r="A48" s="989" t="s">
        <v>1174</v>
      </c>
      <c r="B48" s="989" t="s">
        <v>83</v>
      </c>
      <c r="C48" s="989"/>
      <c r="D48" s="989"/>
      <c r="E48" s="990"/>
      <c r="F48" s="990"/>
    </row>
    <row r="49" customFormat="false" ht="19.5" hidden="false" customHeight="true" outlineLevel="0" collapsed="false">
      <c r="A49" s="991" t="s">
        <v>1175</v>
      </c>
      <c r="B49" s="1026" t="n">
        <v>1361</v>
      </c>
      <c r="C49" s="1027"/>
      <c r="D49" s="1027"/>
      <c r="E49" s="446"/>
      <c r="F49" s="446"/>
    </row>
    <row r="50" customFormat="false" ht="19.5" hidden="false" customHeight="true" outlineLevel="0" collapsed="false">
      <c r="A50" s="994" t="s">
        <v>1176</v>
      </c>
      <c r="B50" s="1026" t="n">
        <v>762.5</v>
      </c>
      <c r="C50" s="1028"/>
      <c r="D50" s="1028"/>
      <c r="E50" s="998"/>
      <c r="F50" s="998"/>
    </row>
    <row r="51" customFormat="false" ht="19.5" hidden="false" customHeight="true" outlineLevel="0" collapsed="false">
      <c r="A51" s="991" t="s">
        <v>1177</v>
      </c>
      <c r="B51" s="1026" t="n">
        <v>235</v>
      </c>
      <c r="C51" s="1027"/>
      <c r="D51" s="1027"/>
      <c r="E51" s="446"/>
      <c r="F51" s="446"/>
    </row>
    <row r="52" customFormat="false" ht="19.5" hidden="false" customHeight="true" outlineLevel="0" collapsed="false">
      <c r="A52" s="994" t="s">
        <v>1178</v>
      </c>
      <c r="B52" s="1026" t="n">
        <v>300</v>
      </c>
      <c r="C52" s="1028"/>
      <c r="D52" s="1028"/>
      <c r="E52" s="998"/>
      <c r="F52" s="998"/>
    </row>
    <row r="53" customFormat="false" ht="19.5" hidden="false" customHeight="true" outlineLevel="0" collapsed="false">
      <c r="A53" s="991" t="s">
        <v>1179</v>
      </c>
      <c r="B53" s="1026" t="n">
        <v>650</v>
      </c>
      <c r="C53" s="1027"/>
      <c r="D53" s="1027"/>
      <c r="E53" s="446"/>
      <c r="F53" s="446"/>
    </row>
    <row r="54" customFormat="false" ht="19.5" hidden="false" customHeight="true" outlineLevel="0" collapsed="false">
      <c r="A54" s="994" t="s">
        <v>1180</v>
      </c>
      <c r="B54" s="1026" t="n">
        <v>530</v>
      </c>
      <c r="C54" s="1028"/>
      <c r="D54" s="1028"/>
      <c r="E54" s="998"/>
      <c r="F54" s="998"/>
    </row>
    <row r="55" customFormat="false" ht="19.5" hidden="false" customHeight="true" outlineLevel="0" collapsed="false">
      <c r="A55" s="991" t="s">
        <v>1181</v>
      </c>
      <c r="B55" s="1026" t="n">
        <v>400</v>
      </c>
      <c r="C55" s="1027"/>
      <c r="D55" s="1027"/>
      <c r="E55" s="446"/>
      <c r="F55" s="446"/>
    </row>
    <row r="56" customFormat="false" ht="19.5" hidden="false" customHeight="true" outlineLevel="0" collapsed="false">
      <c r="A56" s="994" t="s">
        <v>1182</v>
      </c>
      <c r="B56" s="1026" t="n">
        <v>400</v>
      </c>
      <c r="C56" s="1028"/>
      <c r="D56" s="1028"/>
      <c r="E56" s="998"/>
      <c r="F56" s="998"/>
    </row>
    <row r="57" customFormat="false" ht="19.5" hidden="false" customHeight="true" outlineLevel="0" collapsed="false">
      <c r="A57" s="991" t="s">
        <v>1183</v>
      </c>
      <c r="B57" s="1026" t="n">
        <v>840</v>
      </c>
      <c r="C57" s="1027"/>
      <c r="D57" s="1027"/>
      <c r="E57" s="446"/>
      <c r="F57" s="446"/>
    </row>
    <row r="58" customFormat="false" ht="19.5" hidden="false" customHeight="true" outlineLevel="0" collapsed="false">
      <c r="A58" s="994" t="s">
        <v>1184</v>
      </c>
      <c r="B58" s="1026" t="n">
        <v>1000</v>
      </c>
      <c r="C58" s="1028"/>
      <c r="D58" s="1028"/>
      <c r="E58" s="998"/>
      <c r="F58" s="998"/>
    </row>
    <row r="59" customFormat="false" ht="19.5" hidden="false" customHeight="true" outlineLevel="0" collapsed="false">
      <c r="A59" s="991" t="s">
        <v>1185</v>
      </c>
      <c r="B59" s="1026" t="n">
        <v>300</v>
      </c>
      <c r="C59" s="1027"/>
      <c r="D59" s="1027"/>
      <c r="E59" s="446"/>
      <c r="F59" s="446"/>
    </row>
    <row r="60" customFormat="false" ht="3.75" hidden="false" customHeight="true" outlineLevel="0" collapsed="false">
      <c r="A60" s="1024"/>
      <c r="B60" s="1024"/>
      <c r="C60" s="1024"/>
      <c r="D60" s="1024"/>
      <c r="E60" s="1025"/>
      <c r="F60" s="1025"/>
    </row>
    <row r="61" customFormat="false" ht="21.75" hidden="false" customHeight="true" outlineLevel="0" collapsed="false">
      <c r="A61" s="987" t="s">
        <v>1186</v>
      </c>
      <c r="B61" s="987"/>
      <c r="C61" s="987"/>
      <c r="D61" s="987"/>
      <c r="E61" s="988"/>
      <c r="F61" s="988"/>
    </row>
    <row r="62" customFormat="false" ht="19.5" hidden="false" customHeight="true" outlineLevel="0" collapsed="false">
      <c r="A62" s="989" t="s">
        <v>1187</v>
      </c>
      <c r="B62" s="989" t="s">
        <v>1188</v>
      </c>
      <c r="C62" s="989"/>
      <c r="D62" s="989"/>
      <c r="E62" s="990"/>
      <c r="F62" s="990"/>
    </row>
    <row r="63" customFormat="false" ht="19.5" hidden="false" customHeight="true" outlineLevel="0" collapsed="false">
      <c r="A63" s="991" t="s">
        <v>1189</v>
      </c>
      <c r="B63" s="1029" t="n">
        <v>50860</v>
      </c>
      <c r="C63" s="1027"/>
      <c r="D63" s="1027"/>
      <c r="E63" s="446"/>
      <c r="F63" s="446"/>
    </row>
    <row r="64" customFormat="false" ht="19.5" hidden="false" customHeight="true" outlineLevel="0" collapsed="false">
      <c r="A64" s="994" t="s">
        <v>1190</v>
      </c>
      <c r="B64" s="1029" t="n">
        <v>46568</v>
      </c>
      <c r="C64" s="1028"/>
      <c r="D64" s="1028"/>
      <c r="E64" s="998"/>
      <c r="F64" s="998"/>
    </row>
    <row r="65" customFormat="false" ht="19.5" hidden="false" customHeight="true" outlineLevel="0" collapsed="false">
      <c r="A65" s="991" t="s">
        <v>1191</v>
      </c>
      <c r="B65" s="1029" t="n">
        <v>50860</v>
      </c>
      <c r="C65" s="1027"/>
      <c r="D65" s="1027"/>
      <c r="E65" s="446"/>
      <c r="F65" s="446"/>
    </row>
    <row r="66" customFormat="false" ht="19.5" hidden="false" customHeight="true" outlineLevel="0" collapsed="false">
      <c r="A66" s="994" t="s">
        <v>1192</v>
      </c>
      <c r="B66" s="1029" t="n">
        <v>46568</v>
      </c>
      <c r="C66" s="1028"/>
      <c r="D66" s="1028"/>
      <c r="E66" s="998"/>
      <c r="F66" s="998"/>
    </row>
    <row r="67" customFormat="false" ht="19.5" hidden="false" customHeight="true" outlineLevel="0" collapsed="false">
      <c r="A67" s="991" t="s">
        <v>1193</v>
      </c>
      <c r="B67" s="1030" t="n">
        <v>50770</v>
      </c>
      <c r="C67" s="1027"/>
      <c r="D67" s="1027"/>
      <c r="E67" s="446"/>
      <c r="F67" s="446"/>
    </row>
    <row r="68" customFormat="false" ht="19.5" hidden="false" customHeight="true" outlineLevel="0" collapsed="false">
      <c r="A68" s="994" t="s">
        <v>1194</v>
      </c>
      <c r="B68" s="1029" t="n">
        <v>46477</v>
      </c>
      <c r="C68" s="1028"/>
      <c r="D68" s="1028"/>
      <c r="E68" s="998"/>
      <c r="F68" s="998"/>
    </row>
    <row r="69" customFormat="false" ht="19.5" hidden="false" customHeight="true" outlineLevel="0" collapsed="false">
      <c r="A69" s="991" t="s">
        <v>1195</v>
      </c>
      <c r="B69" s="1029" t="n">
        <v>46339</v>
      </c>
      <c r="C69" s="1027"/>
      <c r="D69" s="1027"/>
      <c r="E69" s="446"/>
      <c r="F69" s="446"/>
    </row>
    <row r="70" customFormat="false" ht="19.5" hidden="false" customHeight="true" outlineLevel="0" collapsed="false">
      <c r="A70" s="994" t="s">
        <v>1196</v>
      </c>
      <c r="B70" s="1029" t="n">
        <v>50860</v>
      </c>
      <c r="C70" s="1028"/>
      <c r="D70" s="1028"/>
      <c r="E70" s="998"/>
      <c r="F70" s="998"/>
    </row>
    <row r="71" customFormat="false" ht="19.5" hidden="false" customHeight="true" outlineLevel="0" collapsed="false">
      <c r="A71" s="991" t="s">
        <v>1197</v>
      </c>
      <c r="B71" s="1029" t="n">
        <v>46568</v>
      </c>
      <c r="C71" s="1027"/>
      <c r="D71" s="1027"/>
      <c r="E71" s="446"/>
      <c r="F71" s="446"/>
    </row>
    <row r="72" customFormat="false" ht="19.5" hidden="false" customHeight="true" outlineLevel="0" collapsed="false">
      <c r="A72" s="994" t="s">
        <v>1198</v>
      </c>
      <c r="B72" s="1029" t="n">
        <v>50860</v>
      </c>
      <c r="C72" s="1028"/>
      <c r="D72" s="1028"/>
      <c r="E72" s="998"/>
      <c r="F72" s="998"/>
    </row>
    <row r="73" customFormat="false" ht="19.5" hidden="false" customHeight="true" outlineLevel="0" collapsed="false">
      <c r="A73" s="991" t="s">
        <v>1199</v>
      </c>
      <c r="B73" s="1029" t="n">
        <v>46568</v>
      </c>
      <c r="C73" s="1027"/>
      <c r="D73" s="1027"/>
      <c r="E73" s="446"/>
      <c r="F73" s="446"/>
    </row>
    <row r="74" customFormat="false" ht="19.5" hidden="false" customHeight="true" outlineLevel="0" collapsed="false">
      <c r="A74" s="994" t="s">
        <v>1200</v>
      </c>
      <c r="B74" s="1029" t="n">
        <v>50860</v>
      </c>
      <c r="C74" s="1028"/>
      <c r="D74" s="1028"/>
      <c r="E74" s="998"/>
      <c r="F74" s="998"/>
    </row>
    <row r="75" customFormat="false" ht="19.5" hidden="false" customHeight="true" outlineLevel="0" collapsed="false">
      <c r="A75" s="991" t="s">
        <v>1201</v>
      </c>
      <c r="B75" s="1029" t="n">
        <v>46568</v>
      </c>
      <c r="C75" s="1027"/>
      <c r="D75" s="1027"/>
      <c r="E75" s="446"/>
      <c r="F75" s="446"/>
    </row>
    <row r="76" customFormat="false" ht="3.75" hidden="false" customHeight="true" outlineLevel="0" collapsed="false">
      <c r="A76" s="1024"/>
      <c r="B76" s="1024"/>
      <c r="C76" s="1024"/>
      <c r="D76" s="1024"/>
      <c r="E76" s="1025"/>
      <c r="F76" s="1025"/>
    </row>
    <row r="77" customFormat="false" ht="21.75" hidden="false" customHeight="true" outlineLevel="0" collapsed="false">
      <c r="A77" s="987" t="s">
        <v>1202</v>
      </c>
      <c r="B77" s="987"/>
      <c r="C77" s="987"/>
      <c r="D77" s="987"/>
      <c r="E77" s="988"/>
      <c r="F77" s="988"/>
    </row>
    <row r="78" customFormat="false" ht="19.5" hidden="false" customHeight="true" outlineLevel="0" collapsed="false">
      <c r="A78" s="989" t="s">
        <v>730</v>
      </c>
      <c r="B78" s="989" t="s">
        <v>370</v>
      </c>
      <c r="C78" s="989"/>
      <c r="D78" s="989"/>
      <c r="E78" s="990"/>
      <c r="F78" s="990"/>
    </row>
    <row r="79" customFormat="false" ht="19.5" hidden="false" customHeight="true" outlineLevel="0" collapsed="false">
      <c r="A79" s="991" t="s">
        <v>1203</v>
      </c>
      <c r="B79" s="1031" t="n">
        <v>1</v>
      </c>
      <c r="C79" s="1027"/>
      <c r="D79" s="1027"/>
      <c r="E79" s="446"/>
      <c r="F79" s="446"/>
    </row>
    <row r="80" customFormat="false" ht="19.5" hidden="false" customHeight="true" outlineLevel="0" collapsed="false">
      <c r="A80" s="994" t="s">
        <v>1204</v>
      </c>
      <c r="B80" s="1031" t="n">
        <v>2</v>
      </c>
      <c r="C80" s="1028"/>
      <c r="D80" s="1028"/>
      <c r="E80" s="998"/>
      <c r="F80" s="998"/>
    </row>
    <row r="81" customFormat="false" ht="19.5" hidden="false" customHeight="true" outlineLevel="0" collapsed="false">
      <c r="A81" s="991" t="s">
        <v>1205</v>
      </c>
      <c r="B81" s="1031" t="n">
        <v>6</v>
      </c>
      <c r="C81" s="1027"/>
      <c r="D81" s="1027"/>
      <c r="E81" s="446"/>
      <c r="F81" s="446"/>
    </row>
    <row r="82" customFormat="false" ht="19.5" hidden="false" customHeight="true" outlineLevel="0" collapsed="false">
      <c r="A82" s="994" t="s">
        <v>1206</v>
      </c>
      <c r="B82" s="1031" t="n">
        <v>7</v>
      </c>
      <c r="C82" s="1028"/>
      <c r="D82" s="1028"/>
      <c r="E82" s="998"/>
      <c r="F82" s="998"/>
    </row>
    <row r="83" customFormat="false" ht="19.5" hidden="false" customHeight="true" outlineLevel="0" collapsed="false">
      <c r="A83" s="991" t="s">
        <v>1207</v>
      </c>
      <c r="B83" s="1031" t="n">
        <v>10</v>
      </c>
      <c r="C83" s="1027"/>
      <c r="D83" s="1027"/>
      <c r="E83" s="446"/>
      <c r="F83" s="446"/>
    </row>
    <row r="84" customFormat="false" ht="19.5" hidden="false" customHeight="true" outlineLevel="0" collapsed="false">
      <c r="A84" s="994" t="s">
        <v>1208</v>
      </c>
      <c r="B84" s="1031" t="n">
        <v>12</v>
      </c>
      <c r="C84" s="1028"/>
      <c r="D84" s="1028"/>
      <c r="E84" s="998"/>
      <c r="F84" s="998"/>
    </row>
    <row r="85" customFormat="false" ht="19.5" hidden="false" customHeight="true" outlineLevel="0" collapsed="false">
      <c r="A85" s="991" t="s">
        <v>1209</v>
      </c>
      <c r="B85" s="1031" t="n">
        <v>15</v>
      </c>
      <c r="C85" s="1027"/>
      <c r="D85" s="1027"/>
      <c r="E85" s="446"/>
      <c r="F85" s="446"/>
    </row>
    <row r="86" customFormat="false" ht="19.5" hidden="false" customHeight="true" outlineLevel="0" collapsed="false">
      <c r="A86" s="994" t="s">
        <v>1210</v>
      </c>
      <c r="B86" s="1031" t="n">
        <v>42</v>
      </c>
      <c r="C86" s="1028"/>
      <c r="D86" s="1028"/>
      <c r="E86" s="998"/>
      <c r="F86" s="998"/>
    </row>
    <row r="87" customFormat="false" ht="3.75" hidden="false" customHeight="true" outlineLevel="0" collapsed="false">
      <c r="A87" s="1024"/>
      <c r="B87" s="1024"/>
      <c r="C87" s="1024"/>
      <c r="D87" s="1024"/>
      <c r="E87" s="1025"/>
      <c r="F87" s="1025"/>
    </row>
    <row r="88" customFormat="false" ht="21.75" hidden="false" customHeight="true" outlineLevel="0" collapsed="false">
      <c r="A88" s="987" t="s">
        <v>1211</v>
      </c>
      <c r="B88" s="987"/>
      <c r="C88" s="987"/>
      <c r="D88" s="987"/>
      <c r="E88" s="988"/>
      <c r="F88" s="988"/>
    </row>
    <row r="89" customFormat="false" ht="19.5" hidden="false" customHeight="true" outlineLevel="0" collapsed="false">
      <c r="A89" s="989" t="s">
        <v>1212</v>
      </c>
      <c r="B89" s="989" t="s">
        <v>1213</v>
      </c>
      <c r="C89" s="989"/>
      <c r="D89" s="989" t="s">
        <v>744</v>
      </c>
      <c r="E89" s="990"/>
      <c r="F89" s="990"/>
    </row>
    <row r="90" customFormat="false" ht="19.5" hidden="false" customHeight="true" outlineLevel="0" collapsed="false">
      <c r="A90" s="994" t="s">
        <v>1214</v>
      </c>
      <c r="B90" s="1031" t="n">
        <v>21</v>
      </c>
      <c r="C90" s="1028"/>
      <c r="D90" s="997" t="s">
        <v>1215</v>
      </c>
      <c r="E90" s="998"/>
      <c r="F90" s="998"/>
    </row>
    <row r="91" customFormat="false" ht="19.5" hidden="false" customHeight="true" outlineLevel="0" collapsed="false">
      <c r="A91" s="991" t="s">
        <v>1216</v>
      </c>
      <c r="B91" s="1031" t="n">
        <v>20</v>
      </c>
      <c r="C91" s="1027"/>
      <c r="D91" s="993"/>
      <c r="E91" s="446"/>
      <c r="F91" s="446"/>
    </row>
    <row r="92" customFormat="false" ht="19.5" hidden="false" customHeight="true" outlineLevel="0" collapsed="false">
      <c r="A92" s="994" t="s">
        <v>1217</v>
      </c>
      <c r="B92" s="1031" t="n">
        <v>19</v>
      </c>
      <c r="C92" s="1028"/>
      <c r="D92" s="997"/>
      <c r="E92" s="998"/>
      <c r="F92" s="998"/>
    </row>
    <row r="93" customFormat="false" ht="19.5" hidden="false" customHeight="true" outlineLevel="0" collapsed="false">
      <c r="A93" s="991" t="s">
        <v>1218</v>
      </c>
      <c r="B93" s="1031" t="n">
        <v>18</v>
      </c>
      <c r="C93" s="1027"/>
      <c r="D93" s="993"/>
      <c r="E93" s="446"/>
      <c r="F93" s="446"/>
    </row>
    <row r="94" customFormat="false" ht="19.5" hidden="false" customHeight="true" outlineLevel="0" collapsed="false">
      <c r="A94" s="994" t="s">
        <v>1219</v>
      </c>
      <c r="B94" s="1031" t="n">
        <v>17</v>
      </c>
      <c r="C94" s="1028"/>
      <c r="D94" s="997" t="s">
        <v>1220</v>
      </c>
      <c r="E94" s="998"/>
      <c r="F94" s="998"/>
    </row>
    <row r="95" customFormat="false" ht="19.5" hidden="false" customHeight="true" outlineLevel="0" collapsed="false">
      <c r="A95" s="991" t="s">
        <v>1221</v>
      </c>
      <c r="B95" s="1031" t="n">
        <v>16</v>
      </c>
      <c r="C95" s="1027"/>
      <c r="D95" s="993"/>
      <c r="E95" s="446"/>
      <c r="F95" s="446"/>
    </row>
    <row r="96" customFormat="false" ht="19.5" hidden="false" customHeight="true" outlineLevel="0" collapsed="false">
      <c r="A96" s="994" t="s">
        <v>1222</v>
      </c>
      <c r="B96" s="1031" t="n">
        <v>15</v>
      </c>
      <c r="C96" s="1028"/>
      <c r="D96" s="997" t="s">
        <v>1223</v>
      </c>
      <c r="E96" s="998"/>
      <c r="F96" s="998"/>
    </row>
    <row r="97" customFormat="false" ht="19.5" hidden="false" customHeight="true" outlineLevel="0" collapsed="false">
      <c r="A97" s="991" t="s">
        <v>1224</v>
      </c>
      <c r="B97" s="1031" t="n">
        <v>14</v>
      </c>
      <c r="C97" s="1027"/>
      <c r="D97" s="993" t="s">
        <v>1225</v>
      </c>
      <c r="E97" s="446"/>
      <c r="F97" s="446"/>
    </row>
    <row r="98" customFormat="false" ht="19.5" hidden="false" customHeight="true" outlineLevel="0" collapsed="false">
      <c r="A98" s="994" t="s">
        <v>1226</v>
      </c>
      <c r="B98" s="1031" t="n">
        <v>13</v>
      </c>
      <c r="C98" s="1028"/>
      <c r="D98" s="997"/>
      <c r="E98" s="998"/>
      <c r="F98" s="998"/>
    </row>
    <row r="99" customFormat="false" ht="19.5" hidden="false" customHeight="true" outlineLevel="0" collapsed="false">
      <c r="A99" s="991" t="s">
        <v>1227</v>
      </c>
      <c r="B99" s="1031" t="n">
        <v>12</v>
      </c>
      <c r="C99" s="1027"/>
      <c r="D99" s="993"/>
      <c r="E99" s="446"/>
      <c r="F99" s="446"/>
    </row>
    <row r="100" customFormat="false" ht="19.5" hidden="false" customHeight="true" outlineLevel="0" collapsed="false">
      <c r="A100" s="994" t="s">
        <v>1228</v>
      </c>
      <c r="B100" s="1031" t="n">
        <v>11</v>
      </c>
      <c r="C100" s="1028"/>
      <c r="D100" s="997" t="s">
        <v>1229</v>
      </c>
      <c r="E100" s="998"/>
      <c r="F100" s="998"/>
    </row>
    <row r="101" customFormat="false" ht="19.5" hidden="false" customHeight="true" outlineLevel="0" collapsed="false">
      <c r="A101" s="991" t="s">
        <v>1230</v>
      </c>
      <c r="B101" s="1031" t="n">
        <v>10</v>
      </c>
      <c r="C101" s="1027"/>
      <c r="D101" s="993"/>
      <c r="E101" s="446"/>
      <c r="F101" s="446"/>
    </row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8">
    <mergeCell ref="A1:D1"/>
    <mergeCell ref="A3:D3"/>
    <mergeCell ref="A12:D12"/>
    <mergeCell ref="A28:D28"/>
    <mergeCell ref="A47:D47"/>
    <mergeCell ref="A61:D61"/>
    <mergeCell ref="A77:D77"/>
    <mergeCell ref="A88:D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4" topLeftCell="A17" activePane="bottomLeft" state="frozen"/>
      <selection pane="topLeft" activeCell="C1" activeCellId="0" sqref="C1"/>
      <selection pane="bottomLeft" activeCell="G5" activeCellId="0" sqref="G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40.77"/>
    <col collapsed="false" customWidth="true" hidden="false" outlineLevel="0" max="3" min="3" style="1" width="16.67"/>
    <col collapsed="false" customWidth="true" hidden="false" outlineLevel="0" max="4" min="4" style="1" width="24.11"/>
    <col collapsed="false" customWidth="true" hidden="false" outlineLevel="0" max="5" min="5" style="1" width="32.44"/>
    <col collapsed="false" customWidth="true" hidden="false" outlineLevel="0" max="6" min="6" style="1" width="28.67"/>
    <col collapsed="false" customWidth="true" hidden="false" outlineLevel="0" max="7" min="7" style="1" width="71.11"/>
    <col collapsed="false" customWidth="true" hidden="false" outlineLevel="0" max="8" min="8" style="1" width="71.22"/>
  </cols>
  <sheetData>
    <row r="1" customFormat="false" ht="27.75" hidden="false" customHeight="true" outlineLevel="0" collapsed="false">
      <c r="A1" s="1032" t="s">
        <v>1231</v>
      </c>
      <c r="B1" s="1032"/>
      <c r="C1" s="1032"/>
      <c r="D1" s="1032"/>
      <c r="E1" s="1032"/>
      <c r="F1" s="1032"/>
      <c r="G1" s="1032"/>
      <c r="H1" s="1032"/>
    </row>
    <row r="2" customFormat="false" ht="18" hidden="false" customHeight="true" outlineLevel="0" collapsed="false">
      <c r="A2" s="1033" t="s">
        <v>1232</v>
      </c>
      <c r="B2" s="1033"/>
      <c r="C2" s="1033"/>
      <c r="D2" s="1033"/>
      <c r="E2" s="1033"/>
      <c r="F2" s="1033"/>
      <c r="G2" s="1033"/>
      <c r="H2" s="1033"/>
    </row>
    <row r="3" customFormat="false" ht="3.75" hidden="false" customHeight="true" outlineLevel="0" collapsed="false">
      <c r="A3" s="1024"/>
      <c r="B3" s="1024"/>
      <c r="C3" s="1024"/>
      <c r="D3" s="1024"/>
      <c r="E3" s="1024"/>
      <c r="F3" s="1024"/>
      <c r="G3" s="1024"/>
      <c r="H3" s="1024"/>
    </row>
    <row r="4" customFormat="false" ht="21.75" hidden="false" customHeight="true" outlineLevel="0" collapsed="false">
      <c r="A4" s="1034" t="s">
        <v>153</v>
      </c>
      <c r="B4" s="1034" t="s">
        <v>1233</v>
      </c>
      <c r="C4" s="1034" t="s">
        <v>82</v>
      </c>
      <c r="D4" s="1035" t="s">
        <v>154</v>
      </c>
      <c r="E4" s="1035" t="s">
        <v>1234</v>
      </c>
      <c r="F4" s="1035" t="s">
        <v>1235</v>
      </c>
      <c r="G4" s="1035" t="s">
        <v>1236</v>
      </c>
      <c r="H4" s="1035" t="s">
        <v>1237</v>
      </c>
    </row>
    <row r="5" customFormat="false" ht="90" hidden="false" customHeight="true" outlineLevel="0" collapsed="false">
      <c r="A5" s="1036" t="s">
        <v>1238</v>
      </c>
      <c r="B5" s="1037" t="s">
        <v>1239</v>
      </c>
      <c r="C5" s="1038" t="s">
        <v>88</v>
      </c>
      <c r="D5" s="1039" t="s">
        <v>1240</v>
      </c>
      <c r="E5" s="1040" t="s">
        <v>1241</v>
      </c>
      <c r="F5" s="1041" t="s">
        <v>1242</v>
      </c>
      <c r="G5" s="1042" t="s">
        <v>1243</v>
      </c>
      <c r="H5" s="1043" t="s">
        <v>1244</v>
      </c>
    </row>
    <row r="6" customFormat="false" ht="3" hidden="false" customHeight="true" outlineLevel="0" collapsed="false">
      <c r="A6" s="1024"/>
      <c r="B6" s="1024"/>
      <c r="C6" s="1024"/>
      <c r="D6" s="1024"/>
      <c r="E6" s="1024"/>
      <c r="F6" s="1024"/>
      <c r="G6" s="1024"/>
      <c r="H6" s="1024"/>
    </row>
    <row r="7" customFormat="false" ht="90" hidden="false" customHeight="true" outlineLevel="0" collapsed="false">
      <c r="A7" s="1036" t="s">
        <v>1245</v>
      </c>
      <c r="B7" s="1044" t="s">
        <v>1246</v>
      </c>
      <c r="C7" s="1045" t="s">
        <v>91</v>
      </c>
      <c r="D7" s="1046" t="s">
        <v>1247</v>
      </c>
      <c r="E7" s="1047" t="s">
        <v>1248</v>
      </c>
      <c r="F7" s="1041" t="s">
        <v>1249</v>
      </c>
      <c r="G7" s="1048" t="s">
        <v>1250</v>
      </c>
      <c r="H7" s="1049" t="s">
        <v>1251</v>
      </c>
    </row>
    <row r="8" customFormat="false" ht="3" hidden="false" customHeight="true" outlineLevel="0" collapsed="false">
      <c r="A8" s="1024"/>
      <c r="B8" s="1024"/>
      <c r="C8" s="1024"/>
      <c r="D8" s="1024"/>
      <c r="E8" s="1024"/>
      <c r="F8" s="1024"/>
      <c r="G8" s="1024"/>
      <c r="H8" s="1024"/>
    </row>
    <row r="9" customFormat="false" ht="90" hidden="false" customHeight="true" outlineLevel="0" collapsed="false">
      <c r="A9" s="1036" t="s">
        <v>1252</v>
      </c>
      <c r="B9" s="1037" t="s">
        <v>1253</v>
      </c>
      <c r="C9" s="1038" t="s">
        <v>89</v>
      </c>
      <c r="D9" s="1039" t="s">
        <v>1254</v>
      </c>
      <c r="E9" s="1040" t="s">
        <v>1255</v>
      </c>
      <c r="F9" s="1041" t="s">
        <v>1256</v>
      </c>
      <c r="G9" s="1042" t="s">
        <v>1257</v>
      </c>
      <c r="H9" s="1043" t="s">
        <v>1258</v>
      </c>
    </row>
    <row r="10" customFormat="false" ht="3" hidden="false" customHeight="true" outlineLevel="0" collapsed="false">
      <c r="A10" s="1024"/>
      <c r="B10" s="1024"/>
      <c r="C10" s="1024"/>
      <c r="D10" s="1024"/>
      <c r="E10" s="1024"/>
      <c r="F10" s="1024"/>
      <c r="G10" s="1024"/>
      <c r="H10" s="1024"/>
    </row>
    <row r="11" customFormat="false" ht="90" hidden="false" customHeight="true" outlineLevel="0" collapsed="false">
      <c r="A11" s="1036" t="s">
        <v>1259</v>
      </c>
      <c r="B11" s="1044" t="s">
        <v>1260</v>
      </c>
      <c r="C11" s="1045" t="s">
        <v>1261</v>
      </c>
      <c r="D11" s="1046" t="s">
        <v>1262</v>
      </c>
      <c r="E11" s="1047" t="s">
        <v>1263</v>
      </c>
      <c r="F11" s="1041" t="s">
        <v>1264</v>
      </c>
      <c r="G11" s="1048" t="s">
        <v>1265</v>
      </c>
      <c r="H11" s="1049" t="s">
        <v>1266</v>
      </c>
    </row>
    <row r="12" customFormat="false" ht="3" hidden="false" customHeight="true" outlineLevel="0" collapsed="false">
      <c r="A12" s="1024"/>
      <c r="B12" s="1024"/>
      <c r="C12" s="1024"/>
      <c r="D12" s="1024"/>
      <c r="E12" s="1024"/>
      <c r="F12" s="1024"/>
      <c r="G12" s="1024"/>
      <c r="H12" s="1024"/>
    </row>
    <row r="13" customFormat="false" ht="90" hidden="false" customHeight="true" outlineLevel="0" collapsed="false">
      <c r="A13" s="1036" t="s">
        <v>1267</v>
      </c>
      <c r="B13" s="1037" t="s">
        <v>1268</v>
      </c>
      <c r="C13" s="1038" t="s">
        <v>1261</v>
      </c>
      <c r="D13" s="1039" t="s">
        <v>1269</v>
      </c>
      <c r="E13" s="1040" t="s">
        <v>1270</v>
      </c>
      <c r="F13" s="1041" t="s">
        <v>1271</v>
      </c>
      <c r="G13" s="1042" t="s">
        <v>1272</v>
      </c>
      <c r="H13" s="1043" t="s">
        <v>1273</v>
      </c>
    </row>
    <row r="14" customFormat="false" ht="3" hidden="false" customHeight="true" outlineLevel="0" collapsed="false">
      <c r="A14" s="1024"/>
      <c r="B14" s="1024"/>
      <c r="C14" s="1024"/>
      <c r="D14" s="1024"/>
      <c r="E14" s="1024"/>
      <c r="F14" s="1024"/>
      <c r="G14" s="1024"/>
      <c r="H14" s="1024"/>
    </row>
    <row r="15" customFormat="false" ht="90" hidden="false" customHeight="true" outlineLevel="0" collapsed="false">
      <c r="A15" s="1036" t="s">
        <v>1274</v>
      </c>
      <c r="B15" s="1044" t="s">
        <v>1275</v>
      </c>
      <c r="C15" s="1045" t="s">
        <v>195</v>
      </c>
      <c r="D15" s="1046" t="s">
        <v>1276</v>
      </c>
      <c r="E15" s="1047" t="s">
        <v>1277</v>
      </c>
      <c r="F15" s="1041" t="s">
        <v>1278</v>
      </c>
      <c r="G15" s="1048" t="s">
        <v>1279</v>
      </c>
      <c r="H15" s="1049" t="s">
        <v>1280</v>
      </c>
    </row>
    <row r="16" customFormat="false" ht="21" hidden="false" customHeight="true" outlineLevel="0" collapsed="false">
      <c r="A16" s="1050" t="s">
        <v>1281</v>
      </c>
      <c r="B16" s="1050"/>
      <c r="C16" s="1050"/>
      <c r="D16" s="1050"/>
      <c r="E16" s="1050"/>
      <c r="F16" s="1050"/>
      <c r="G16" s="1050"/>
      <c r="H16" s="1050"/>
    </row>
    <row r="17" customFormat="false" ht="96.75" hidden="false" customHeight="true" outlineLevel="0" collapsed="false">
      <c r="A17" s="1051" t="s">
        <v>1282</v>
      </c>
      <c r="B17" s="1052" t="s">
        <v>1283</v>
      </c>
      <c r="C17" s="1053"/>
      <c r="D17" s="1053"/>
      <c r="E17" s="1053"/>
      <c r="F17" s="1053"/>
      <c r="G17" s="1053"/>
      <c r="H17" s="1053"/>
    </row>
    <row r="18" customFormat="false" ht="15" hidden="true" customHeight="true" outlineLevel="0" collapsed="false"/>
    <row r="19" customFormat="false" ht="31.5" hidden="true" customHeight="true" outlineLevel="0" collapsed="false"/>
    <row r="20" customFormat="false" ht="31.5" hidden="true" customHeight="true" outlineLevel="0" collapsed="false"/>
    <row r="21" customFormat="false" ht="31.5" hidden="true" customHeight="true" outlineLevel="0" collapsed="false"/>
    <row r="22" customFormat="false" ht="14.25" hidden="true" customHeight="true" outlineLevel="0" collapsed="false"/>
    <row r="23" customFormat="false" ht="21.75" hidden="false" customHeight="true" outlineLevel="0" collapsed="false">
      <c r="A23" s="988" t="s">
        <v>1284</v>
      </c>
      <c r="B23" s="988"/>
      <c r="C23" s="988"/>
      <c r="D23" s="988"/>
      <c r="E23" s="988"/>
      <c r="F23" s="988"/>
      <c r="G23" s="988"/>
      <c r="H23" s="988"/>
    </row>
    <row r="24" customFormat="false" ht="54.75" hidden="false" customHeight="true" outlineLevel="0" collapsed="false">
      <c r="A24" s="1054" t="s">
        <v>185</v>
      </c>
      <c r="B24" s="1055" t="s">
        <v>1285</v>
      </c>
      <c r="C24" s="1055" t="s">
        <v>1286</v>
      </c>
      <c r="D24" s="1055" t="s">
        <v>1287</v>
      </c>
      <c r="E24" s="1055" t="s">
        <v>1288</v>
      </c>
      <c r="F24" s="1056" t="s">
        <v>1289</v>
      </c>
      <c r="G24" s="1055" t="s">
        <v>1290</v>
      </c>
      <c r="H24" s="1055" t="s">
        <v>1291</v>
      </c>
    </row>
    <row r="25" customFormat="false" ht="54.75" hidden="false" customHeight="true" outlineLevel="0" collapsed="false">
      <c r="A25" s="1054" t="s">
        <v>1292</v>
      </c>
      <c r="B25" s="1057" t="s">
        <v>1293</v>
      </c>
      <c r="C25" s="1057" t="s">
        <v>1294</v>
      </c>
      <c r="D25" s="1057" t="s">
        <v>1295</v>
      </c>
      <c r="E25" s="1057" t="s">
        <v>1296</v>
      </c>
      <c r="F25" s="1056" t="s">
        <v>1297</v>
      </c>
      <c r="G25" s="1057" t="s">
        <v>1298</v>
      </c>
      <c r="H25" s="1057" t="s">
        <v>1299</v>
      </c>
    </row>
    <row r="26" customFormat="false" ht="54.75" hidden="false" customHeight="true" outlineLevel="0" collapsed="false">
      <c r="A26" s="1054" t="s">
        <v>1300</v>
      </c>
      <c r="B26" s="1055" t="s">
        <v>1301</v>
      </c>
      <c r="C26" s="1055" t="s">
        <v>1302</v>
      </c>
      <c r="D26" s="1055" t="s">
        <v>1303</v>
      </c>
      <c r="E26" s="1055" t="s">
        <v>1304</v>
      </c>
      <c r="F26" s="1056" t="s">
        <v>1305</v>
      </c>
      <c r="G26" s="1055" t="s">
        <v>1306</v>
      </c>
      <c r="H26" s="1055" t="s">
        <v>1307</v>
      </c>
    </row>
    <row r="27" customFormat="false" ht="54.75" hidden="false" customHeight="true" outlineLevel="0" collapsed="false">
      <c r="A27" s="1058" t="s">
        <v>1308</v>
      </c>
      <c r="B27" s="1059" t="s">
        <v>1309</v>
      </c>
      <c r="C27" s="1059" t="s">
        <v>1310</v>
      </c>
      <c r="D27" s="1059" t="s">
        <v>1311</v>
      </c>
      <c r="E27" s="1059" t="s">
        <v>1312</v>
      </c>
      <c r="F27" s="1060" t="s">
        <v>1313</v>
      </c>
      <c r="G27" s="1059" t="s">
        <v>1314</v>
      </c>
      <c r="H27" s="1059" t="s">
        <v>1315</v>
      </c>
    </row>
    <row r="28" customFormat="false" ht="42.75" hidden="true" customHeight="true" outlineLevel="0" collapsed="false">
      <c r="A28" s="1061" t="s">
        <v>1316</v>
      </c>
      <c r="B28" s="1" t="s">
        <v>1317</v>
      </c>
      <c r="C28" s="1" t="s">
        <v>88</v>
      </c>
      <c r="D28" s="1" t="s">
        <v>1318</v>
      </c>
      <c r="E28" s="1" t="s">
        <v>1319</v>
      </c>
      <c r="F28" s="1062" t="s">
        <v>1320</v>
      </c>
      <c r="G28" s="1" t="s">
        <v>1321</v>
      </c>
      <c r="H28" s="1" t="s">
        <v>1322</v>
      </c>
    </row>
    <row r="29" customFormat="false" ht="74.25" hidden="true" customHeight="true" outlineLevel="0" collapsed="false">
      <c r="A29" s="1061" t="s">
        <v>1323</v>
      </c>
      <c r="B29" s="1" t="s">
        <v>1324</v>
      </c>
      <c r="C29" s="1" t="s">
        <v>210</v>
      </c>
      <c r="D29" s="1" t="s">
        <v>1325</v>
      </c>
      <c r="E29" s="1" t="s">
        <v>1326</v>
      </c>
      <c r="F29" s="1062" t="s">
        <v>1327</v>
      </c>
      <c r="G29" s="1" t="s">
        <v>1328</v>
      </c>
      <c r="H29" s="1" t="s">
        <v>1329</v>
      </c>
    </row>
    <row r="30" customFormat="false" ht="14.25" hidden="true" customHeight="true" outlineLevel="0" collapsed="false"/>
    <row r="31" customFormat="false" ht="14.25" hidden="true" customHeight="true" outlineLevel="0" collapsed="false"/>
    <row r="32" customFormat="false" ht="14.25" hidden="true" customHeight="true" outlineLevel="0" collapsed="false"/>
    <row r="33" customFormat="false" ht="14.25" hidden="true" customHeight="true" outlineLevel="0" collapsed="false"/>
    <row r="34" customFormat="false" ht="14.25" hidden="true" customHeight="true" outlineLevel="0" collapsed="false"/>
    <row r="35" customFormat="false" ht="14.25" hidden="true" customHeight="true" outlineLevel="0" collapsed="false"/>
    <row r="36" customFormat="false" ht="14.25" hidden="true" customHeight="true" outlineLevel="0" collapsed="false"/>
    <row r="37" customFormat="false" ht="14.25" hidden="true" customHeight="true" outlineLevel="0" collapsed="false"/>
    <row r="38" customFormat="false" ht="14.25" hidden="true" customHeight="true" outlineLevel="0" collapsed="false"/>
    <row r="39" customFormat="false" ht="14.25" hidden="true" customHeight="true" outlineLevel="0" collapsed="false"/>
    <row r="40" customFormat="false" ht="14.25" hidden="true" customHeight="true" outlineLevel="0" collapsed="false"/>
    <row r="41" customFormat="false" ht="14.25" hidden="true" customHeight="true" outlineLevel="0" collapsed="false"/>
    <row r="42" customFormat="false" ht="14.25" hidden="true" customHeight="true" outlineLevel="0" collapsed="false"/>
    <row r="43" customFormat="false" ht="14.25" hidden="true" customHeight="true" outlineLevel="0" collapsed="false"/>
    <row r="44" customFormat="false" ht="14.25" hidden="true" customHeight="true" outlineLevel="0" collapsed="false"/>
    <row r="45" customFormat="false" ht="14.25" hidden="true" customHeight="true" outlineLevel="0" collapsed="false"/>
    <row r="46" customFormat="false" ht="14.25" hidden="true" customHeight="true" outlineLevel="0" collapsed="false"/>
    <row r="47" customFormat="false" ht="14.25" hidden="true" customHeight="true" outlineLevel="0" collapsed="false"/>
    <row r="48" customFormat="false" ht="14.25" hidden="true" customHeight="true" outlineLevel="0" collapsed="false"/>
    <row r="49" customFormat="false" ht="14.25" hidden="true" customHeight="true" outlineLevel="0" collapsed="false"/>
    <row r="50" customFormat="false" ht="14.25" hidden="true" customHeight="true" outlineLevel="0" collapsed="false"/>
    <row r="51" customFormat="false" ht="14.25" hidden="true" customHeight="true" outlineLevel="0" collapsed="false"/>
    <row r="52" customFormat="false" ht="14.25" hidden="true" customHeight="true" outlineLevel="0" collapsed="false"/>
    <row r="53" customFormat="false" ht="14.25" hidden="true" customHeight="true" outlineLevel="0" collapsed="false"/>
    <row r="54" customFormat="false" ht="14.25" hidden="true" customHeight="true" outlineLevel="0" collapsed="false"/>
    <row r="55" customFormat="false" ht="14.25" hidden="true" customHeight="true" outlineLevel="0" collapsed="false"/>
    <row r="56" customFormat="false" ht="14.25" hidden="true" customHeight="true" outlineLevel="0" collapsed="false"/>
    <row r="57" customFormat="false" ht="14.25" hidden="true" customHeight="true" outlineLevel="0" collapsed="false"/>
    <row r="58" customFormat="false" ht="14.25" hidden="true" customHeight="true" outlineLevel="0" collapsed="false"/>
    <row r="59" customFormat="false" ht="14.25" hidden="true" customHeight="true" outlineLevel="0" collapsed="false"/>
    <row r="60" customFormat="false" ht="14.25" hidden="true" customHeight="true" outlineLevel="0" collapsed="false"/>
    <row r="61" customFormat="false" ht="14.25" hidden="true" customHeight="true" outlineLevel="0" collapsed="false"/>
    <row r="62" customFormat="false" ht="14.25" hidden="true" customHeight="true" outlineLevel="0" collapsed="false"/>
    <row r="63" customFormat="false" ht="14.25" hidden="true" customHeight="true" outlineLevel="0" collapsed="false"/>
    <row r="64" customFormat="false" ht="14.25" hidden="true" customHeight="true" outlineLevel="0" collapsed="false"/>
    <row r="65" customFormat="false" ht="14.25" hidden="true" customHeight="true" outlineLevel="0" collapsed="false"/>
    <row r="66" customFormat="false" ht="14.25" hidden="true" customHeight="true" outlineLevel="0" collapsed="false"/>
    <row r="67" customFormat="false" ht="14.25" hidden="true" customHeight="true" outlineLevel="0" collapsed="false"/>
    <row r="68" customFormat="false" ht="14.25" hidden="true" customHeight="true" outlineLevel="0" collapsed="false"/>
    <row r="69" customFormat="false" ht="14.25" hidden="true" customHeight="true" outlineLevel="0" collapsed="false"/>
    <row r="70" customFormat="false" ht="14.25" hidden="true" customHeight="true" outlineLevel="0" collapsed="false"/>
    <row r="71" customFormat="false" ht="14.25" hidden="true" customHeight="true" outlineLevel="0" collapsed="false"/>
    <row r="72" customFormat="false" ht="14.25" hidden="true" customHeight="true" outlineLevel="0" collapsed="false"/>
    <row r="73" customFormat="false" ht="14.25" hidden="true" customHeight="true" outlineLevel="0" collapsed="false"/>
    <row r="74" customFormat="false" ht="14.25" hidden="true" customHeight="true" outlineLevel="0" collapsed="false"/>
    <row r="75" customFormat="false" ht="14.25" hidden="true" customHeight="true" outlineLevel="0" collapsed="false"/>
    <row r="76" customFormat="false" ht="14.25" hidden="true" customHeight="true" outlineLevel="0" collapsed="false"/>
    <row r="77" customFormat="false" ht="14.25" hidden="true" customHeight="true" outlineLevel="0" collapsed="false"/>
    <row r="78" customFormat="false" ht="14.25" hidden="true" customHeight="true" outlineLevel="0" collapsed="false"/>
    <row r="79" customFormat="false" ht="14.25" hidden="true" customHeight="true" outlineLevel="0" collapsed="false"/>
    <row r="80" customFormat="false" ht="14.25" hidden="true" customHeight="true" outlineLevel="0" collapsed="false"/>
    <row r="81" customFormat="false" ht="14.25" hidden="true" customHeight="true" outlineLevel="0" collapsed="false"/>
    <row r="82" customFormat="false" ht="14.25" hidden="true" customHeight="true" outlineLevel="0" collapsed="false"/>
    <row r="83" customFormat="false" ht="14.25" hidden="true" customHeight="true" outlineLevel="0" collapsed="false"/>
    <row r="84" customFormat="false" ht="14.25" hidden="true" customHeight="true" outlineLevel="0" collapsed="false"/>
    <row r="85" customFormat="false" ht="14.25" hidden="true" customHeight="true" outlineLevel="0" collapsed="false"/>
    <row r="86" customFormat="false" ht="14.25" hidden="true" customHeight="true" outlineLevel="0" collapsed="false"/>
    <row r="87" customFormat="false" ht="14.25" hidden="true" customHeight="true" outlineLevel="0" collapsed="false"/>
    <row r="88" customFormat="false" ht="14.25" hidden="true" customHeight="true" outlineLevel="0" collapsed="false"/>
    <row r="89" customFormat="false" ht="14.25" hidden="true" customHeight="true" outlineLevel="0" collapsed="false"/>
    <row r="90" customFormat="false" ht="14.25" hidden="true" customHeight="true" outlineLevel="0" collapsed="false"/>
    <row r="91" customFormat="false" ht="14.25" hidden="true" customHeight="true" outlineLevel="0" collapsed="false"/>
    <row r="92" customFormat="false" ht="14.25" hidden="true" customHeight="true" outlineLevel="0" collapsed="false"/>
    <row r="93" customFormat="false" ht="14.25" hidden="true" customHeight="true" outlineLevel="0" collapsed="false"/>
    <row r="94" customFormat="false" ht="14.25" hidden="true" customHeight="true" outlineLevel="0" collapsed="false"/>
    <row r="95" customFormat="false" ht="14.25" hidden="true" customHeight="true" outlineLevel="0" collapsed="false"/>
    <row r="96" customFormat="false" ht="14.25" hidden="true" customHeight="true" outlineLevel="0" collapsed="false"/>
    <row r="97" customFormat="false" ht="14.25" hidden="true" customHeight="true" outlineLevel="0" collapsed="false"/>
    <row r="98" customFormat="false" ht="14.25" hidden="true" customHeight="true" outlineLevel="0" collapsed="false"/>
    <row r="99" customFormat="false" ht="14.25" hidden="true" customHeight="true" outlineLevel="0" collapsed="false"/>
    <row r="100" customFormat="false" ht="14.25" hidden="true" customHeight="true" outlineLevel="0" collapsed="false"/>
    <row r="101" customFormat="false" ht="14.25" hidden="true" customHeight="true" outlineLevel="0" collapsed="false"/>
    <row r="102" customFormat="false" ht="14.25" hidden="true" customHeight="true" outlineLevel="0" collapsed="false"/>
    <row r="103" customFormat="false" ht="14.25" hidden="true" customHeight="true" outlineLevel="0" collapsed="false"/>
    <row r="104" customFormat="false" ht="14.25" hidden="true" customHeight="true" outlineLevel="0" collapsed="false"/>
    <row r="105" customFormat="false" ht="14.25" hidden="true" customHeight="true" outlineLevel="0" collapsed="false"/>
    <row r="106" customFormat="false" ht="14.25" hidden="true" customHeight="true" outlineLevel="0" collapsed="false"/>
    <row r="107" customFormat="false" ht="14.25" hidden="true" customHeight="true" outlineLevel="0" collapsed="false"/>
    <row r="108" customFormat="false" ht="14.25" hidden="true" customHeight="true" outlineLevel="0" collapsed="false"/>
    <row r="109" customFormat="false" ht="14.25" hidden="true" customHeight="true" outlineLevel="0" collapsed="false"/>
    <row r="110" customFormat="false" ht="14.25" hidden="true" customHeight="true" outlineLevel="0" collapsed="false"/>
    <row r="111" customFormat="false" ht="14.25" hidden="true" customHeight="true" outlineLevel="0" collapsed="false"/>
    <row r="112" customFormat="false" ht="14.25" hidden="true" customHeight="true" outlineLevel="0" collapsed="false"/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1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6" activePane="bottomLeft" state="frozen"/>
      <selection pane="topLeft" activeCell="A1" activeCellId="0" sqref="A1"/>
      <selection pane="bottomLeft" activeCell="A28" activeCellId="0" sqref="A2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7.56"/>
    <col collapsed="false" customWidth="true" hidden="false" outlineLevel="0" max="2" min="2" style="1" width="70.33"/>
    <col collapsed="false" customWidth="true" hidden="false" outlineLevel="0" max="4" min="3" style="1" width="16.67"/>
    <col collapsed="false" customWidth="true" hidden="false" outlineLevel="0" max="6" min="5" style="1" width="13"/>
    <col collapsed="false" customWidth="true" hidden="false" outlineLevel="0" max="7" min="7" style="1" width="11"/>
  </cols>
  <sheetData>
    <row r="1" customFormat="false" ht="27.75" hidden="false" customHeight="true" outlineLevel="0" collapsed="false">
      <c r="A1" s="984" t="s">
        <v>1330</v>
      </c>
      <c r="B1" s="984"/>
      <c r="C1" s="984"/>
      <c r="D1" s="984"/>
      <c r="E1" s="984"/>
      <c r="F1" s="984"/>
    </row>
    <row r="2" customFormat="false" ht="19.5" hidden="false" customHeight="true" outlineLevel="0" collapsed="false">
      <c r="A2" s="986" t="s">
        <v>1331</v>
      </c>
      <c r="B2" s="986"/>
      <c r="C2" s="986"/>
      <c r="D2" s="986"/>
      <c r="E2" s="986"/>
      <c r="F2" s="986"/>
    </row>
    <row r="3" customFormat="false" ht="21.75" hidden="false" customHeight="true" outlineLevel="0" collapsed="false">
      <c r="A3" s="1063" t="s">
        <v>1332</v>
      </c>
      <c r="B3" s="1063"/>
      <c r="C3" s="1063"/>
      <c r="D3" s="1063"/>
      <c r="E3" s="1063"/>
      <c r="F3" s="1063"/>
    </row>
    <row r="4" customFormat="false" ht="19.5" hidden="false" customHeight="true" outlineLevel="0" collapsed="false">
      <c r="A4" s="1064" t="s">
        <v>1333</v>
      </c>
      <c r="B4" s="1064" t="s">
        <v>1334</v>
      </c>
      <c r="C4" s="1064" t="s">
        <v>1335</v>
      </c>
      <c r="D4" s="1064"/>
      <c r="E4" s="1064"/>
      <c r="F4" s="1064"/>
    </row>
    <row r="5" customFormat="false" ht="18" hidden="false" customHeight="true" outlineLevel="0" collapsed="false">
      <c r="A5" s="1065" t="s">
        <v>1336</v>
      </c>
      <c r="B5" s="1066" t="s">
        <v>1337</v>
      </c>
      <c r="C5" s="928" t="s">
        <v>1338</v>
      </c>
      <c r="D5" s="446"/>
      <c r="E5" s="446"/>
      <c r="F5" s="446"/>
    </row>
    <row r="6" customFormat="false" ht="18" hidden="false" customHeight="true" outlineLevel="0" collapsed="false">
      <c r="A6" s="1067" t="s">
        <v>1339</v>
      </c>
      <c r="B6" s="1066" t="s">
        <v>1337</v>
      </c>
      <c r="C6" s="1068" t="s">
        <v>1340</v>
      </c>
      <c r="D6" s="448"/>
      <c r="E6" s="448"/>
      <c r="F6" s="448"/>
    </row>
    <row r="7" customFormat="false" ht="18" hidden="false" customHeight="true" outlineLevel="0" collapsed="false">
      <c r="A7" s="1065" t="s">
        <v>1341</v>
      </c>
      <c r="B7" s="1066" t="s">
        <v>1337</v>
      </c>
      <c r="C7" s="928" t="s">
        <v>1342</v>
      </c>
      <c r="D7" s="446"/>
      <c r="E7" s="446"/>
      <c r="F7" s="446"/>
    </row>
    <row r="8" customFormat="false" ht="18" hidden="false" customHeight="true" outlineLevel="0" collapsed="false">
      <c r="A8" s="1067" t="s">
        <v>1343</v>
      </c>
      <c r="B8" s="1066" t="s">
        <v>1337</v>
      </c>
      <c r="C8" s="1068" t="s">
        <v>1344</v>
      </c>
      <c r="D8" s="448"/>
      <c r="E8" s="448"/>
      <c r="F8" s="448"/>
    </row>
    <row r="9" customFormat="false" ht="18" hidden="false" customHeight="true" outlineLevel="0" collapsed="false">
      <c r="A9" s="1065" t="s">
        <v>1345</v>
      </c>
      <c r="B9" s="1066" t="s">
        <v>1337</v>
      </c>
      <c r="C9" s="928" t="s">
        <v>1346</v>
      </c>
      <c r="D9" s="446"/>
      <c r="E9" s="446"/>
      <c r="F9" s="446"/>
    </row>
    <row r="10" customFormat="false" ht="18" hidden="false" customHeight="true" outlineLevel="0" collapsed="false">
      <c r="A10" s="1067" t="s">
        <v>1347</v>
      </c>
      <c r="B10" s="1066" t="s">
        <v>1337</v>
      </c>
      <c r="C10" s="1068" t="s">
        <v>1348</v>
      </c>
      <c r="D10" s="448"/>
      <c r="E10" s="448"/>
      <c r="F10" s="448"/>
    </row>
    <row r="11" customFormat="false" ht="18" hidden="false" customHeight="true" outlineLevel="0" collapsed="false">
      <c r="A11" s="1065" t="s">
        <v>1349</v>
      </c>
      <c r="B11" s="1066" t="s">
        <v>1337</v>
      </c>
      <c r="C11" s="928" t="s">
        <v>1350</v>
      </c>
      <c r="D11" s="446"/>
      <c r="E11" s="446"/>
      <c r="F11" s="446"/>
    </row>
    <row r="12" customFormat="false" ht="18" hidden="false" customHeight="true" outlineLevel="0" collapsed="false">
      <c r="A12" s="1067" t="s">
        <v>1351</v>
      </c>
      <c r="B12" s="1066" t="s">
        <v>1337</v>
      </c>
      <c r="C12" s="1068" t="s">
        <v>1352</v>
      </c>
      <c r="D12" s="448"/>
      <c r="E12" s="448"/>
      <c r="F12" s="448"/>
    </row>
    <row r="13" customFormat="false" ht="18" hidden="false" customHeight="true" outlineLevel="0" collapsed="false">
      <c r="A13" s="1065" t="s">
        <v>1353</v>
      </c>
      <c r="B13" s="1066" t="s">
        <v>1337</v>
      </c>
      <c r="C13" s="928" t="s">
        <v>1354</v>
      </c>
      <c r="D13" s="446"/>
      <c r="E13" s="446"/>
      <c r="F13" s="446"/>
    </row>
    <row r="14" customFormat="false" ht="18" hidden="false" customHeight="true" outlineLevel="0" collapsed="false">
      <c r="A14" s="1067" t="s">
        <v>1355</v>
      </c>
      <c r="B14" s="1066" t="s">
        <v>1337</v>
      </c>
      <c r="C14" s="1068" t="s">
        <v>1356</v>
      </c>
      <c r="D14" s="448"/>
      <c r="E14" s="448"/>
      <c r="F14" s="448"/>
    </row>
    <row r="15" customFormat="false" ht="18" hidden="false" customHeight="true" outlineLevel="0" collapsed="false">
      <c r="A15" s="1065" t="s">
        <v>1357</v>
      </c>
      <c r="B15" s="1066" t="s">
        <v>1337</v>
      </c>
      <c r="C15" s="928" t="s">
        <v>1358</v>
      </c>
      <c r="D15" s="446"/>
      <c r="E15" s="446"/>
      <c r="F15" s="446"/>
    </row>
    <row r="16" customFormat="false" ht="18" hidden="false" customHeight="true" outlineLevel="0" collapsed="false">
      <c r="A16" s="1067" t="s">
        <v>1359</v>
      </c>
      <c r="B16" s="1066" t="s">
        <v>1337</v>
      </c>
      <c r="C16" s="1068"/>
      <c r="D16" s="448"/>
      <c r="E16" s="448"/>
      <c r="F16" s="448"/>
    </row>
    <row r="17" customFormat="false" ht="18" hidden="false" customHeight="true" outlineLevel="0" collapsed="false">
      <c r="A17" s="1065" t="s">
        <v>1360</v>
      </c>
      <c r="B17" s="1066" t="s">
        <v>1337</v>
      </c>
      <c r="C17" s="928"/>
      <c r="D17" s="446"/>
      <c r="E17" s="446"/>
      <c r="F17" s="446"/>
    </row>
    <row r="18" customFormat="false" ht="18" hidden="false" customHeight="true" outlineLevel="0" collapsed="false">
      <c r="A18" s="1067" t="s">
        <v>1361</v>
      </c>
      <c r="B18" s="1066" t="s">
        <v>1337</v>
      </c>
      <c r="C18" s="1068"/>
      <c r="D18" s="448"/>
      <c r="E18" s="448"/>
      <c r="F18" s="448"/>
    </row>
    <row r="19" customFormat="false" ht="18" hidden="false" customHeight="true" outlineLevel="0" collapsed="false">
      <c r="A19" s="1065" t="s">
        <v>1362</v>
      </c>
      <c r="B19" s="1066" t="s">
        <v>1337</v>
      </c>
      <c r="C19" s="928"/>
      <c r="D19" s="446"/>
      <c r="E19" s="446"/>
      <c r="F19" s="446"/>
    </row>
    <row r="20" customFormat="false" ht="18" hidden="false" customHeight="true" outlineLevel="0" collapsed="false">
      <c r="A20" s="1067" t="s">
        <v>1363</v>
      </c>
      <c r="B20" s="1066" t="s">
        <v>1337</v>
      </c>
      <c r="C20" s="1068" t="s">
        <v>1364</v>
      </c>
      <c r="D20" s="448"/>
      <c r="E20" s="448"/>
      <c r="F20" s="448"/>
    </row>
    <row r="21" customFormat="false" ht="18" hidden="false" customHeight="true" outlineLevel="0" collapsed="false">
      <c r="A21" s="1065" t="s">
        <v>1365</v>
      </c>
      <c r="B21" s="1066" t="s">
        <v>1337</v>
      </c>
      <c r="C21" s="928"/>
      <c r="D21" s="446"/>
      <c r="E21" s="446"/>
      <c r="F21" s="446"/>
    </row>
    <row r="22" customFormat="false" ht="18" hidden="false" customHeight="true" outlineLevel="0" collapsed="false">
      <c r="A22" s="1067" t="s">
        <v>1366</v>
      </c>
      <c r="B22" s="1066" t="s">
        <v>1337</v>
      </c>
      <c r="C22" s="1068" t="s">
        <v>1367</v>
      </c>
      <c r="D22" s="448"/>
      <c r="E22" s="448"/>
      <c r="F22" s="448"/>
    </row>
    <row r="23" customFormat="false" ht="18" hidden="false" customHeight="true" outlineLevel="0" collapsed="false">
      <c r="A23" s="1065" t="s">
        <v>1368</v>
      </c>
      <c r="B23" s="1066" t="s">
        <v>1337</v>
      </c>
      <c r="C23" s="928" t="s">
        <v>1369</v>
      </c>
      <c r="D23" s="446"/>
      <c r="E23" s="446"/>
      <c r="F23" s="446"/>
    </row>
    <row r="24" customFormat="false" ht="18" hidden="false" customHeight="true" outlineLevel="0" collapsed="false">
      <c r="A24" s="1067" t="s">
        <v>1370</v>
      </c>
      <c r="B24" s="1066" t="s">
        <v>1337</v>
      </c>
      <c r="C24" s="1068" t="s">
        <v>1371</v>
      </c>
      <c r="D24" s="448"/>
      <c r="E24" s="448"/>
      <c r="F24" s="448"/>
    </row>
    <row r="25" customFormat="false" ht="18" hidden="false" customHeight="true" outlineLevel="0" collapsed="false">
      <c r="A25" s="1065" t="s">
        <v>1372</v>
      </c>
      <c r="B25" s="1066" t="s">
        <v>1337</v>
      </c>
      <c r="C25" s="928" t="s">
        <v>1373</v>
      </c>
      <c r="D25" s="446"/>
      <c r="E25" s="446"/>
      <c r="F25" s="446"/>
    </row>
    <row r="26" customFormat="false" ht="18" hidden="false" customHeight="true" outlineLevel="0" collapsed="false">
      <c r="A26" s="1067" t="s">
        <v>1374</v>
      </c>
      <c r="B26" s="1066" t="s">
        <v>1337</v>
      </c>
      <c r="C26" s="1068" t="s">
        <v>1375</v>
      </c>
      <c r="D26" s="448"/>
      <c r="E26" s="448"/>
      <c r="F26" s="448"/>
    </row>
    <row r="27" customFormat="false" ht="18" hidden="false" customHeight="true" outlineLevel="0" collapsed="false">
      <c r="A27" s="1065" t="s">
        <v>1376</v>
      </c>
      <c r="B27" s="1066" t="s">
        <v>1337</v>
      </c>
      <c r="C27" s="928" t="s">
        <v>1377</v>
      </c>
      <c r="D27" s="446"/>
      <c r="E27" s="446"/>
      <c r="F27" s="446"/>
    </row>
    <row r="28" customFormat="false" ht="18" hidden="false" customHeight="true" outlineLevel="0" collapsed="false">
      <c r="A28" s="1067" t="s">
        <v>1378</v>
      </c>
      <c r="B28" s="1066" t="s">
        <v>1337</v>
      </c>
      <c r="C28" s="1068" t="s">
        <v>1379</v>
      </c>
      <c r="D28" s="448"/>
      <c r="E28" s="448"/>
      <c r="F28" s="448"/>
    </row>
    <row r="29" customFormat="false" ht="7.5" hidden="false" customHeight="true" outlineLevel="0" collapsed="false">
      <c r="A29" s="1069"/>
      <c r="B29" s="1069"/>
      <c r="C29" s="1069"/>
      <c r="D29" s="1069"/>
      <c r="E29" s="1069"/>
      <c r="F29" s="1069"/>
      <c r="G29" s="1069"/>
    </row>
    <row r="30" customFormat="false" ht="24" hidden="false" customHeight="true" outlineLevel="0" collapsed="false">
      <c r="A30" s="1070" t="s">
        <v>1380</v>
      </c>
      <c r="B30" s="1070"/>
      <c r="C30" s="1070"/>
      <c r="D30" s="1070"/>
      <c r="E30" s="1070"/>
      <c r="F30" s="1070"/>
      <c r="G30" s="1071"/>
    </row>
    <row r="31" customFormat="false" ht="19.5" hidden="false" customHeight="true" outlineLevel="0" collapsed="false">
      <c r="A31" s="1072" t="s">
        <v>1381</v>
      </c>
      <c r="B31" s="1072" t="s">
        <v>742</v>
      </c>
      <c r="C31" s="1072" t="s">
        <v>1382</v>
      </c>
      <c r="D31" s="1072" t="s">
        <v>225</v>
      </c>
      <c r="E31" s="1072" t="s">
        <v>158</v>
      </c>
      <c r="F31" s="1072" t="s">
        <v>852</v>
      </c>
      <c r="G31" s="1071"/>
    </row>
    <row r="32" customFormat="false" ht="18" hidden="false" customHeight="true" outlineLevel="0" collapsed="false">
      <c r="A32" s="1073" t="s">
        <v>1383</v>
      </c>
      <c r="B32" s="362" t="s">
        <v>1384</v>
      </c>
      <c r="C32" s="635" t="n">
        <v>44</v>
      </c>
      <c r="D32" s="635" t="n">
        <f aca="false">COUNTIF('Facility Master'!A5:A48,"&gt;0")</f>
        <v>44</v>
      </c>
      <c r="E32" s="900" t="str">
        <f aca="false">IFERROR(IF(ABS(D32-C32)&lt;0.5,"PASS","FAIL"),"FAIL")</f>
        <v>PASS</v>
      </c>
      <c r="F32" s="1074" t="s">
        <v>1385</v>
      </c>
      <c r="G32" s="1075" t="s">
        <v>1386</v>
      </c>
    </row>
    <row r="33" customFormat="false" ht="18" hidden="false" customHeight="true" outlineLevel="0" collapsed="false">
      <c r="A33" s="1076" t="s">
        <v>1387</v>
      </c>
      <c r="B33" s="352" t="s">
        <v>1388</v>
      </c>
      <c r="C33" s="1077" t="n">
        <v>30</v>
      </c>
      <c r="D33" s="1077" t="n">
        <f aca="false">COUNTIFS('Facility Master'!F5:F48,TRUE(),'Facility Master'!D5:D48,"&lt;&gt;Hedge")</f>
        <v>30</v>
      </c>
      <c r="E33" s="900" t="str">
        <f aca="false">IFERROR(IF(ABS(D33-C33)&lt;0.5,"PASS","FAIL"),"FAIL")</f>
        <v>PASS</v>
      </c>
      <c r="F33" s="1078" t="s">
        <v>857</v>
      </c>
      <c r="G33" s="1075" t="s">
        <v>1386</v>
      </c>
    </row>
    <row r="34" customFormat="false" ht="18" hidden="false" customHeight="true" outlineLevel="0" collapsed="false">
      <c r="A34" s="1073" t="s">
        <v>1389</v>
      </c>
      <c r="B34" s="362" t="s">
        <v>1390</v>
      </c>
      <c r="C34" s="635" t="n">
        <v>1</v>
      </c>
      <c r="D34" s="635" t="n">
        <f aca="false">COUNTIF('Facility Master'!D5:D48,"Hedge")</f>
        <v>1</v>
      </c>
      <c r="E34" s="900" t="str">
        <f aca="false">IFERROR(IF(ABS(D34-C34)&lt;0.5,"PASS","FAIL"),"FAIL")</f>
        <v>PASS</v>
      </c>
      <c r="F34" s="1079" t="s">
        <v>857</v>
      </c>
      <c r="G34" s="1075" t="s">
        <v>1386</v>
      </c>
    </row>
    <row r="35" customFormat="false" ht="18" hidden="false" customHeight="true" outlineLevel="0" collapsed="false">
      <c r="A35" s="1076" t="s">
        <v>1391</v>
      </c>
      <c r="B35" s="352" t="s">
        <v>1392</v>
      </c>
      <c r="C35" s="1077" t="n">
        <v>9</v>
      </c>
      <c r="D35" s="1077" t="n">
        <f aca="false">COUNTIF('Facility Master'!H5:H48,1)</f>
        <v>9</v>
      </c>
      <c r="E35" s="900" t="str">
        <f aca="false">IFERROR(IF(ABS(D35-C35)&lt;0.5,"PASS","FAIL"),"FAIL")</f>
        <v>PASS</v>
      </c>
      <c r="F35" s="1080" t="s">
        <v>1385</v>
      </c>
      <c r="G35" s="1075" t="s">
        <v>1386</v>
      </c>
    </row>
    <row r="36" customFormat="false" ht="18" hidden="false" customHeight="true" outlineLevel="0" collapsed="false">
      <c r="A36" s="1073" t="s">
        <v>1393</v>
      </c>
      <c r="B36" s="362" t="s">
        <v>1394</v>
      </c>
      <c r="C36" s="635" t="n">
        <v>2</v>
      </c>
      <c r="D36" s="635" t="n">
        <f aca="false">COUNTIF('Facility Master'!H5:H48,2)</f>
        <v>2</v>
      </c>
      <c r="E36" s="900" t="str">
        <f aca="false">IFERROR(IF(ABS(D36-C36)&lt;0.5,"PASS","FAIL"),"FAIL")</f>
        <v>PASS</v>
      </c>
      <c r="F36" s="1074" t="s">
        <v>1385</v>
      </c>
      <c r="G36" s="1075" t="s">
        <v>1386</v>
      </c>
    </row>
    <row r="37" customFormat="false" ht="18" hidden="false" customHeight="true" outlineLevel="0" collapsed="false">
      <c r="A37" s="1076" t="s">
        <v>1395</v>
      </c>
      <c r="B37" s="352" t="s">
        <v>1396</v>
      </c>
      <c r="C37" s="1077" t="n">
        <v>2</v>
      </c>
      <c r="D37" s="1077" t="n">
        <f aca="false">COUNTIF('Facility Master'!H5:H48,3)</f>
        <v>2</v>
      </c>
      <c r="E37" s="900" t="str">
        <f aca="false">IFERROR(IF(ABS(D37-C37)&lt;0.5,"PASS","FAIL"),"FAIL")</f>
        <v>PASS</v>
      </c>
      <c r="F37" s="1080" t="s">
        <v>1385</v>
      </c>
      <c r="G37" s="1075" t="s">
        <v>1386</v>
      </c>
    </row>
    <row r="38" customFormat="false" ht="18" hidden="false" customHeight="true" outlineLevel="0" collapsed="false">
      <c r="A38" s="1073" t="s">
        <v>1397</v>
      </c>
      <c r="B38" s="362" t="s">
        <v>1398</v>
      </c>
      <c r="C38" s="635" t="n">
        <v>0</v>
      </c>
      <c r="D38" s="635" t="n">
        <f aca="false">COUNTIF('Facility Master'!H5:H48,4)</f>
        <v>0</v>
      </c>
      <c r="E38" s="900" t="str">
        <f aca="false">IFERROR(IF(ABS(D38-C38)&lt;0.5,"PASS","FAIL"),"FAIL")</f>
        <v>PASS</v>
      </c>
      <c r="F38" s="1074" t="s">
        <v>1385</v>
      </c>
      <c r="G38" s="1075" t="s">
        <v>1386</v>
      </c>
    </row>
    <row r="39" customFormat="false" ht="18" hidden="false" customHeight="true" outlineLevel="0" collapsed="false">
      <c r="A39" s="1076" t="s">
        <v>1399</v>
      </c>
      <c r="B39" s="352" t="s">
        <v>1400</v>
      </c>
      <c r="C39" s="1077" t="n">
        <v>9</v>
      </c>
      <c r="D39" s="1077" t="n">
        <f aca="false">ROUND(SUMPRODUCT(1/COUNTIF('Facility Master'!B5:B48,'Facility Master'!B5:B48)),0)</f>
        <v>9</v>
      </c>
      <c r="E39" s="900" t="str">
        <f aca="false">IFERROR(IF(ABS(D39-C39)&lt;0.5,"PASS","FAIL"),"FAIL")</f>
        <v>PASS</v>
      </c>
      <c r="F39" s="1080" t="s">
        <v>1385</v>
      </c>
      <c r="G39" s="1075" t="s">
        <v>1386</v>
      </c>
    </row>
    <row r="40" customFormat="false" ht="18" hidden="false" customHeight="true" outlineLevel="0" collapsed="false">
      <c r="A40" s="1073" t="s">
        <v>1401</v>
      </c>
      <c r="B40" s="362" t="s">
        <v>1402</v>
      </c>
      <c r="C40" s="635" t="n">
        <v>0</v>
      </c>
      <c r="D40" s="635" t="n">
        <f aca="false">SUMPRODUCT(('Facility Master'!M5:M48&gt;'Facility Master'!K5:K48)*1)</f>
        <v>0</v>
      </c>
      <c r="E40" s="900" t="str">
        <f aca="false">IFERROR(IF(ABS(D40-C40)&lt;0.5,"PASS","FAIL"),"FAIL")</f>
        <v>PASS</v>
      </c>
      <c r="F40" s="1079" t="s">
        <v>857</v>
      </c>
      <c r="G40" s="1075" t="s">
        <v>1386</v>
      </c>
    </row>
    <row r="41" customFormat="false" ht="18" hidden="false" customHeight="true" outlineLevel="0" collapsed="false">
      <c r="A41" s="1076" t="s">
        <v>1403</v>
      </c>
      <c r="B41" s="352" t="s">
        <v>1404</v>
      </c>
      <c r="C41" s="1077" t="n">
        <v>0</v>
      </c>
      <c r="D41" s="1077" t="n">
        <f aca="false">SUMPRODUCT((('Facility Master'!D5:D48="FB-Term")*('Facility Master'!Z5:Z48&lt;'Facility Master'!X5:X48)*('Facility Master'!Z5:Z48&lt;&gt;""))*1)</f>
        <v>0</v>
      </c>
      <c r="E41" s="900" t="str">
        <f aca="false">IFERROR(IF(ABS(D41-C41)&lt;0.5,"PASS","FAIL"),"FAIL")</f>
        <v>PASS</v>
      </c>
      <c r="F41" s="1080" t="s">
        <v>1385</v>
      </c>
      <c r="G41" s="1075" t="s">
        <v>1386</v>
      </c>
    </row>
    <row r="42" customFormat="false" ht="18" hidden="false" customHeight="true" outlineLevel="0" collapsed="false">
      <c r="A42" s="1073" t="s">
        <v>1405</v>
      </c>
      <c r="B42" s="362" t="s">
        <v>1406</v>
      </c>
      <c r="C42" s="1081" t="n">
        <v>4666</v>
      </c>
      <c r="D42" s="1081" t="n">
        <f aca="false">SUMIFS('Facility Master'!K5:K48,'Facility Master'!H5:H48,1)+SUMIFS('Facility Master'!K5:K48,'Facility Master'!H5:H48,2)</f>
        <v>4666</v>
      </c>
      <c r="E42" s="900" t="str">
        <f aca="false">IFERROR(IF(ABS(D42-C42)&lt;0.5,"PASS","FAIL"),"FAIL")</f>
        <v>PASS</v>
      </c>
      <c r="F42" s="1074" t="s">
        <v>1385</v>
      </c>
      <c r="G42" s="1075" t="s">
        <v>375</v>
      </c>
    </row>
    <row r="43" customFormat="false" ht="18" hidden="false" customHeight="true" outlineLevel="0" collapsed="false">
      <c r="A43" s="1076" t="s">
        <v>1407</v>
      </c>
      <c r="B43" s="352" t="s">
        <v>1408</v>
      </c>
      <c r="C43" s="1082" t="n">
        <v>4116</v>
      </c>
      <c r="D43" s="1082" t="n">
        <f aca="false">SUMIFS('Facility Master'!K5:K48,'Facility Master'!H5:H48,1)</f>
        <v>4116</v>
      </c>
      <c r="E43" s="900" t="str">
        <f aca="false">IFERROR(IF(ABS(D43-C43)&lt;0.5,"PASS","FAIL"),"FAIL")</f>
        <v>PASS</v>
      </c>
      <c r="F43" s="1080" t="s">
        <v>1385</v>
      </c>
      <c r="G43" s="1075" t="s">
        <v>375</v>
      </c>
    </row>
    <row r="44" customFormat="false" ht="18" hidden="false" customHeight="true" outlineLevel="0" collapsed="false">
      <c r="A44" s="1073" t="s">
        <v>1409</v>
      </c>
      <c r="B44" s="362" t="s">
        <v>1410</v>
      </c>
      <c r="C44" s="1081" t="n">
        <v>550</v>
      </c>
      <c r="D44" s="1081" t="n">
        <f aca="false">SUMIFS('Facility Master'!K5:K48,'Facility Master'!H5:H48,2)</f>
        <v>550</v>
      </c>
      <c r="E44" s="900" t="str">
        <f aca="false">IFERROR(IF(ABS(D44-C44)&lt;0.5,"PASS","FAIL"),"FAIL")</f>
        <v>PASS</v>
      </c>
      <c r="F44" s="1074" t="s">
        <v>1385</v>
      </c>
      <c r="G44" s="1075" t="s">
        <v>375</v>
      </c>
    </row>
    <row r="45" customFormat="false" ht="18" hidden="false" customHeight="true" outlineLevel="0" collapsed="false">
      <c r="A45" s="1076" t="s">
        <v>1411</v>
      </c>
      <c r="B45" s="352" t="s">
        <v>1412</v>
      </c>
      <c r="C45" s="1082" t="n">
        <v>2040</v>
      </c>
      <c r="D45" s="1082" t="n">
        <f aca="false">2040</f>
        <v>2040</v>
      </c>
      <c r="E45" s="900" t="str">
        <f aca="false">IFERROR(IF(ABS(D45-C45)&lt;0.5,"PASS","FAIL"),"FAIL")</f>
        <v>PASS</v>
      </c>
      <c r="F45" s="1080" t="s">
        <v>1385</v>
      </c>
      <c r="G45" s="1075" t="s">
        <v>375</v>
      </c>
    </row>
    <row r="46" customFormat="false" ht="18" hidden="false" customHeight="true" outlineLevel="0" collapsed="false">
      <c r="A46" s="1073" t="s">
        <v>1413</v>
      </c>
      <c r="B46" s="362" t="s">
        <v>1414</v>
      </c>
      <c r="C46" s="635" t="n">
        <v>150</v>
      </c>
      <c r="D46" s="635" t="n">
        <f aca="false">SUMIFS('Facility Master'!K5:K48,'Facility Master'!H5:H48,3)</f>
        <v>150</v>
      </c>
      <c r="E46" s="900" t="str">
        <f aca="false">IFERROR(IF(ABS(D46-C46)&lt;0.5,"PASS","FAIL"),"FAIL")</f>
        <v>PASS</v>
      </c>
      <c r="F46" s="1074" t="s">
        <v>1385</v>
      </c>
      <c r="G46" s="1075" t="s">
        <v>375</v>
      </c>
    </row>
    <row r="47" customFormat="false" ht="18" hidden="false" customHeight="true" outlineLevel="0" collapsed="false">
      <c r="A47" s="1076" t="s">
        <v>1415</v>
      </c>
      <c r="B47" s="352" t="s">
        <v>1416</v>
      </c>
      <c r="C47" s="1077" t="n">
        <v>0</v>
      </c>
      <c r="D47" s="1077" t="n">
        <f aca="false">SUMIFS('Facility Master'!K5:K48,'Facility Master'!H5:H48,4)</f>
        <v>0</v>
      </c>
      <c r="E47" s="900" t="str">
        <f aca="false">IFERROR(IF(ABS(D47-C47)&lt;0.5,"PASS","FAIL"),"FAIL")</f>
        <v>PASS</v>
      </c>
      <c r="F47" s="1080" t="s">
        <v>1385</v>
      </c>
      <c r="G47" s="1075" t="s">
        <v>375</v>
      </c>
    </row>
    <row r="48" customFormat="false" ht="18" hidden="false" customHeight="true" outlineLevel="0" collapsed="false">
      <c r="A48" s="1073" t="s">
        <v>1417</v>
      </c>
      <c r="B48" s="362" t="s">
        <v>1418</v>
      </c>
      <c r="C48" s="635" t="n">
        <v>75</v>
      </c>
      <c r="D48" s="635" t="n">
        <f aca="false">75</f>
        <v>75</v>
      </c>
      <c r="E48" s="900" t="str">
        <f aca="false">IFERROR(IF(ABS(D48-C48)&lt;0.5,"PASS","FAIL"),"FAIL")</f>
        <v>PASS</v>
      </c>
      <c r="F48" s="1079" t="s">
        <v>857</v>
      </c>
      <c r="G48" s="1075" t="s">
        <v>375</v>
      </c>
    </row>
    <row r="49" customFormat="false" ht="18" hidden="false" customHeight="true" outlineLevel="0" collapsed="false">
      <c r="A49" s="1076" t="s">
        <v>1419</v>
      </c>
      <c r="B49" s="352" t="s">
        <v>1420</v>
      </c>
      <c r="C49" s="1077" t="n">
        <v>840</v>
      </c>
      <c r="D49" s="1077" t="n">
        <f aca="false">840</f>
        <v>840</v>
      </c>
      <c r="E49" s="900" t="str">
        <f aca="false">IFERROR(IF(ABS(D49-C49)&lt;0.5,"PASS","FAIL"),"FAIL")</f>
        <v>PASS</v>
      </c>
      <c r="F49" s="1080" t="s">
        <v>1385</v>
      </c>
      <c r="G49" s="1075" t="s">
        <v>375</v>
      </c>
    </row>
    <row r="50" customFormat="false" ht="18" hidden="false" customHeight="true" outlineLevel="0" collapsed="false">
      <c r="A50" s="1073" t="s">
        <v>1421</v>
      </c>
      <c r="B50" s="362" t="s">
        <v>1422</v>
      </c>
      <c r="C50" s="1081" t="n">
        <v>3826</v>
      </c>
      <c r="D50" s="1081" t="n">
        <f aca="false">D42-D49</f>
        <v>3826</v>
      </c>
      <c r="E50" s="900" t="str">
        <f aca="false">IFERROR(IF(ABS(D50-C50)&lt;0.5,"PASS","FAIL"),"FAIL")</f>
        <v>PASS</v>
      </c>
      <c r="F50" s="1074" t="s">
        <v>1385</v>
      </c>
      <c r="G50" s="1075" t="s">
        <v>375</v>
      </c>
    </row>
    <row r="51" customFormat="false" ht="18" hidden="false" customHeight="true" outlineLevel="0" collapsed="false">
      <c r="A51" s="1076" t="s">
        <v>1423</v>
      </c>
      <c r="B51" s="352" t="s">
        <v>1424</v>
      </c>
      <c r="C51" s="1082" t="n">
        <v>8251.07</v>
      </c>
      <c r="D51" s="1082" t="n">
        <f aca="false">ROUND(SUM('Facility Master'!K5:K48),2)</f>
        <v>8251.07</v>
      </c>
      <c r="E51" s="900" t="str">
        <f aca="false">IFERROR(IF(ABS(D51-C51)&lt;0.5,"PASS","FAIL"),"FAIL")</f>
        <v>PASS</v>
      </c>
      <c r="F51" s="1080" t="s">
        <v>1385</v>
      </c>
      <c r="G51" s="1075" t="s">
        <v>1425</v>
      </c>
    </row>
    <row r="52" customFormat="false" ht="18" hidden="false" customHeight="true" outlineLevel="0" collapsed="false">
      <c r="A52" s="1073" t="s">
        <v>1426</v>
      </c>
      <c r="B52" s="362" t="s">
        <v>1427</v>
      </c>
      <c r="C52" s="1081" t="n">
        <v>1125</v>
      </c>
      <c r="D52" s="1081" t="n">
        <f aca="false">INDEX('Facility Master'!K:K,MATCH(UBI_RTL1_SNo,'Facility Master'!A:A,0))</f>
        <v>1125</v>
      </c>
      <c r="E52" s="900" t="str">
        <f aca="false">IFERROR(IF(ABS(D52-C52)&lt;0.5,"PASS","FAIL"),"FAIL")</f>
        <v>PASS</v>
      </c>
      <c r="F52" s="1074" t="s">
        <v>1385</v>
      </c>
      <c r="G52" s="1075" t="s">
        <v>1428</v>
      </c>
    </row>
    <row r="53" customFormat="false" ht="18" hidden="false" customHeight="true" outlineLevel="0" collapsed="false">
      <c r="A53" s="1076" t="s">
        <v>1429</v>
      </c>
      <c r="B53" s="352" t="s">
        <v>1430</v>
      </c>
      <c r="C53" s="1077" t="n">
        <v>236</v>
      </c>
      <c r="D53" s="1077" t="n">
        <f aca="false">INDEX('Facility Master'!K:K,MATCH(UBI_RTL2_SNo,'Facility Master'!A:A,0))</f>
        <v>236</v>
      </c>
      <c r="E53" s="900" t="str">
        <f aca="false">IFERROR(IF(ABS(D53-C53)&lt;0.5,"PASS","FAIL"),"FAIL")</f>
        <v>PASS</v>
      </c>
      <c r="F53" s="1080" t="s">
        <v>1385</v>
      </c>
      <c r="G53" s="1075" t="s">
        <v>1428</v>
      </c>
    </row>
    <row r="54" customFormat="false" ht="18" hidden="false" customHeight="true" outlineLevel="0" collapsed="false">
      <c r="A54" s="1073" t="s">
        <v>1431</v>
      </c>
      <c r="B54" s="362" t="s">
        <v>1432</v>
      </c>
      <c r="C54" s="635" t="n">
        <v>235</v>
      </c>
      <c r="D54" s="635" t="n">
        <f aca="false">INDEX('Facility Master'!K:K,MATCH(IB_TL_SNo,'Facility Master'!A:A,0))</f>
        <v>235</v>
      </c>
      <c r="E54" s="900" t="str">
        <f aca="false">IFERROR(IF(ABS(D54-C54)&lt;0.5,"PASS","FAIL"),"FAIL")</f>
        <v>PASS</v>
      </c>
      <c r="F54" s="1079" t="s">
        <v>857</v>
      </c>
      <c r="G54" s="1075" t="s">
        <v>1428</v>
      </c>
    </row>
    <row r="55" customFormat="false" ht="18" hidden="false" customHeight="true" outlineLevel="0" collapsed="false">
      <c r="A55" s="1076" t="s">
        <v>1433</v>
      </c>
      <c r="B55" s="352" t="s">
        <v>1434</v>
      </c>
      <c r="C55" s="1077" t="n">
        <v>200</v>
      </c>
      <c r="D55" s="1077" t="n">
        <f aca="false">INDEX('Facility Master'!K:K,MATCH(RBL_TL_SNo,'Facility Master'!A:A,0))</f>
        <v>200</v>
      </c>
      <c r="E55" s="900" t="str">
        <f aca="false">IFERROR(IF(ABS(D55-C55)&lt;0.5,"PASS","FAIL"),"FAIL")</f>
        <v>PASS</v>
      </c>
      <c r="F55" s="1078" t="s">
        <v>857</v>
      </c>
      <c r="G55" s="1075" t="s">
        <v>1428</v>
      </c>
    </row>
    <row r="56" customFormat="false" ht="18" hidden="false" customHeight="true" outlineLevel="0" collapsed="false">
      <c r="A56" s="1073" t="s">
        <v>1435</v>
      </c>
      <c r="B56" s="362" t="s">
        <v>1436</v>
      </c>
      <c r="C56" s="635" t="n">
        <v>650</v>
      </c>
      <c r="D56" s="635" t="n">
        <f aca="false">INDEX('Facility Master'!K:K,MATCH(YBL_TL_SNo,'Facility Master'!A:A,0))</f>
        <v>650</v>
      </c>
      <c r="E56" s="900" t="str">
        <f aca="false">IFERROR(IF(ABS(D56-C56)&lt;0.5,"PASS","FAIL"),"FAIL")</f>
        <v>PASS</v>
      </c>
      <c r="F56" s="1074" t="s">
        <v>1385</v>
      </c>
      <c r="G56" s="1075" t="s">
        <v>1428</v>
      </c>
    </row>
    <row r="57" customFormat="false" ht="18" hidden="false" customHeight="true" outlineLevel="0" collapsed="false">
      <c r="A57" s="1076" t="s">
        <v>1437</v>
      </c>
      <c r="B57" s="352" t="s">
        <v>1438</v>
      </c>
      <c r="C57" s="1077" t="n">
        <v>530</v>
      </c>
      <c r="D57" s="1077" t="n">
        <f aca="false">INDEX('Facility Master'!K:K,MATCH(IDFC_TL_SNo,'Facility Master'!A:A,0))</f>
        <v>530</v>
      </c>
      <c r="E57" s="900" t="str">
        <f aca="false">IFERROR(IF(ABS(D57-C57)&lt;0.5,"PASS","FAIL"),"FAIL")</f>
        <v>PASS</v>
      </c>
      <c r="F57" s="1080" t="s">
        <v>1385</v>
      </c>
      <c r="G57" s="1075" t="s">
        <v>1428</v>
      </c>
    </row>
    <row r="58" customFormat="false" ht="18" hidden="false" customHeight="true" outlineLevel="0" collapsed="false">
      <c r="A58" s="1073" t="s">
        <v>1439</v>
      </c>
      <c r="B58" s="362" t="s">
        <v>1440</v>
      </c>
      <c r="C58" s="635" t="n">
        <v>840</v>
      </c>
      <c r="D58" s="635" t="n">
        <f aca="false">INDEX('Facility Master'!K:K,MATCH(ICICI_TL_SNo,'Facility Master'!A:A,0))</f>
        <v>840</v>
      </c>
      <c r="E58" s="900" t="str">
        <f aca="false">IFERROR(IF(ABS(D58-C58)&lt;0.5,"PASS","FAIL"),"FAIL")</f>
        <v>PASS</v>
      </c>
      <c r="F58" s="1074" t="s">
        <v>1385</v>
      </c>
      <c r="G58" s="1075" t="s">
        <v>1428</v>
      </c>
    </row>
    <row r="59" customFormat="false" ht="18" hidden="false" customHeight="true" outlineLevel="0" collapsed="false">
      <c r="A59" s="1076" t="s">
        <v>1441</v>
      </c>
      <c r="B59" s="352" t="s">
        <v>1442</v>
      </c>
      <c r="C59" s="1082" t="n">
        <v>3616</v>
      </c>
      <c r="D59" s="1082" t="n">
        <f aca="false">INDEX('Facility Master'!K:K,MATCH(UBI_RTL1_SNo,'Facility Master'!A:A,0))+INDEX('Facility Master'!K:K,MATCH(UBI_RTL2_SNo,'Facility Master'!A:A,0))+INDEX('Facility Master'!K:K,MATCH(IB_TL_SNo,'Facility Master'!A:A,0))+INDEX('Facility Master'!K:K,MATCH(YBL_TL_SNo,'Facility Master'!A:A,0))+INDEX('Facility Master'!K:K,MATCH(IDFC_TL_SNo,'Facility Master'!A:A,0))+INDEX('Facility Master'!K:K,MATCH(ICICI_TL_SNo,'Facility Master'!A:A,0))</f>
        <v>3616</v>
      </c>
      <c r="E59" s="900" t="str">
        <f aca="false">IFERROR(IF(ABS(D59-C59)&lt;0.5,"PASS","FAIL"),"FAIL")</f>
        <v>PASS</v>
      </c>
      <c r="F59" s="1080" t="s">
        <v>1385</v>
      </c>
      <c r="G59" s="1075" t="s">
        <v>1428</v>
      </c>
    </row>
    <row r="60" customFormat="false" ht="18" hidden="false" customHeight="true" outlineLevel="0" collapsed="false">
      <c r="A60" s="1073" t="s">
        <v>1443</v>
      </c>
      <c r="B60" s="362" t="s">
        <v>1444</v>
      </c>
      <c r="C60" s="635" t="n">
        <v>0</v>
      </c>
      <c r="D60" s="635" t="n">
        <f aca="false">ROUND('Repayment Schedule'!H68,2)</f>
        <v>0</v>
      </c>
      <c r="E60" s="900" t="str">
        <f aca="false">IFERROR(IF(ABS(D60-C60)&lt;0.5,"PASS","FAIL"),"FAIL")</f>
        <v>PASS</v>
      </c>
      <c r="F60" s="1074" t="s">
        <v>1385</v>
      </c>
      <c r="G60" s="1075" t="s">
        <v>1428</v>
      </c>
    </row>
    <row r="61" customFormat="false" ht="18" hidden="false" customHeight="true" outlineLevel="0" collapsed="false">
      <c r="A61" s="1076" t="s">
        <v>1445</v>
      </c>
      <c r="B61" s="352" t="s">
        <v>1446</v>
      </c>
      <c r="C61" s="1077" t="n">
        <v>44</v>
      </c>
      <c r="D61" s="1077" t="n">
        <f aca="false">COUNTA('Covenant Tracker'!B4:B47)</f>
        <v>44</v>
      </c>
      <c r="E61" s="900" t="str">
        <f aca="false">IFERROR(IF(ABS(D61-C61)&lt;0.5,"PASS","FAIL"),"FAIL")</f>
        <v>PASS</v>
      </c>
      <c r="F61" s="1080" t="s">
        <v>1385</v>
      </c>
      <c r="G61" s="1075" t="s">
        <v>1447</v>
      </c>
    </row>
    <row r="62" customFormat="false" ht="18" hidden="false" customHeight="true" outlineLevel="0" collapsed="false">
      <c r="A62" s="1073" t="s">
        <v>1448</v>
      </c>
      <c r="B62" s="362" t="s">
        <v>1449</v>
      </c>
      <c r="C62" s="635" t="n">
        <v>1</v>
      </c>
      <c r="D62" s="635" t="n">
        <f aca="false">IF(AsOfDate&gt;0,1,0)</f>
        <v>1</v>
      </c>
      <c r="E62" s="900" t="str">
        <f aca="false">IFERROR(IF(ABS(D62-C62)&lt;0.5,"PASS","FAIL"),"FAIL")</f>
        <v>PASS</v>
      </c>
      <c r="F62" s="1074" t="s">
        <v>1385</v>
      </c>
      <c r="G62" s="1075" t="s">
        <v>1450</v>
      </c>
    </row>
    <row r="63" customFormat="false" ht="18" hidden="false" customHeight="true" outlineLevel="0" collapsed="false">
      <c r="A63" s="1076" t="s">
        <v>1451</v>
      </c>
      <c r="B63" s="352" t="s">
        <v>1452</v>
      </c>
      <c r="C63" s="1077" t="n">
        <v>1</v>
      </c>
      <c r="D63" s="1077" t="n">
        <f aca="false">IF(FX_USD_INR&gt;0,1,0)</f>
        <v>1</v>
      </c>
      <c r="E63" s="900" t="str">
        <f aca="false">IFERROR(IF(ABS(D63-C63)&lt;0.5,"PASS","FAIL"),"FAIL")</f>
        <v>PASS</v>
      </c>
      <c r="F63" s="1080" t="s">
        <v>1385</v>
      </c>
      <c r="G63" s="1075" t="s">
        <v>1450</v>
      </c>
    </row>
    <row r="64" customFormat="false" ht="18" hidden="false" customHeight="true" outlineLevel="0" collapsed="false">
      <c r="A64" s="1073" t="s">
        <v>1453</v>
      </c>
      <c r="B64" s="362" t="s">
        <v>1454</v>
      </c>
      <c r="C64" s="635" t="n">
        <v>1</v>
      </c>
      <c r="D64" s="635" t="n">
        <f aca="false">IF(DaysInYear&gt;0,1,0)</f>
        <v>1</v>
      </c>
      <c r="E64" s="900" t="str">
        <f aca="false">IFERROR(IF(ABS(D64-C64)&lt;0.5,"PASS","FAIL"),"FAIL")</f>
        <v>PASS</v>
      </c>
      <c r="F64" s="1079" t="s">
        <v>857</v>
      </c>
      <c r="G64" s="1075" t="s">
        <v>1450</v>
      </c>
    </row>
    <row r="65" customFormat="false" ht="18" hidden="false" customHeight="true" outlineLevel="0" collapsed="false">
      <c r="A65" s="1076" t="s">
        <v>1455</v>
      </c>
      <c r="B65" s="352" t="s">
        <v>1456</v>
      </c>
      <c r="C65" s="1077" t="n">
        <v>1</v>
      </c>
      <c r="D65" s="1077" t="n">
        <f aca="false">IF(FinBasis="Audited FY25",1,0)</f>
        <v>1</v>
      </c>
      <c r="E65" s="900" t="str">
        <f aca="false">IFERROR(IF(ABS(D65-C65)&lt;0.5,"PASS","FAIL"),"FAIL")</f>
        <v>PASS</v>
      </c>
      <c r="F65" s="1080" t="s">
        <v>1385</v>
      </c>
      <c r="G65" s="1075" t="s">
        <v>1450</v>
      </c>
    </row>
    <row r="66" customFormat="false" ht="18" hidden="false" customHeight="true" outlineLevel="0" collapsed="false">
      <c r="A66" s="1073" t="s">
        <v>1457</v>
      </c>
      <c r="B66" s="362" t="s">
        <v>1458</v>
      </c>
      <c r="C66" s="635" t="n">
        <v>1</v>
      </c>
      <c r="D66" s="635" t="n">
        <f aca="false">IF(OR(UseFullUtil=TRUE(),UseFullUtil=FALSE()),1,0)</f>
        <v>1</v>
      </c>
      <c r="E66" s="900" t="str">
        <f aca="false">IFERROR(IF(ABS(D66-C66)&lt;0.5,"PASS","FAIL"),"FAIL")</f>
        <v>PASS</v>
      </c>
      <c r="F66" s="1074" t="s">
        <v>1385</v>
      </c>
      <c r="G66" s="1075" t="s">
        <v>1450</v>
      </c>
    </row>
    <row r="67" customFormat="false" ht="18" hidden="false" customHeight="true" outlineLevel="0" collapsed="false">
      <c r="A67" s="1076" t="s">
        <v>1459</v>
      </c>
      <c r="B67" s="352" t="s">
        <v>1460</v>
      </c>
      <c r="C67" s="1077" t="n">
        <v>0</v>
      </c>
      <c r="D67" s="1077" t="n">
        <f aca="false">COUNTIFS('Facility Master'!H5:H48,"")</f>
        <v>0</v>
      </c>
      <c r="E67" s="900" t="str">
        <f aca="false">IFERROR(IF(ABS(D67-C67)&lt;0.5,"PASS","FAIL"),"FAIL")</f>
        <v>PASS</v>
      </c>
      <c r="F67" s="1080" t="s">
        <v>1385</v>
      </c>
      <c r="G67" s="1075" t="s">
        <v>1461</v>
      </c>
    </row>
    <row r="68" customFormat="false" ht="18" hidden="false" customHeight="true" outlineLevel="0" collapsed="false">
      <c r="A68" s="1073" t="s">
        <v>1462</v>
      </c>
      <c r="B68" s="362" t="s">
        <v>1463</v>
      </c>
      <c r="C68" s="635" t="n">
        <v>0</v>
      </c>
      <c r="D68" s="635" t="n">
        <f aca="false">SUMPRODUCT(('Facility Master'!D5:D48="NFB")*('Facility Master'!F5:F48=TRUE())*('Facility Master'!H5:H48=2)*1)</f>
        <v>0</v>
      </c>
      <c r="E68" s="900" t="str">
        <f aca="false">IFERROR(IF(ABS(D68-C68)&lt;0.5,"PASS","FAIL"),"FAIL")</f>
        <v>PASS</v>
      </c>
      <c r="F68" s="1079" t="s">
        <v>857</v>
      </c>
      <c r="G68" s="1075" t="s">
        <v>1461</v>
      </c>
    </row>
    <row r="69" customFormat="false" ht="18" hidden="false" customHeight="true" outlineLevel="0" collapsed="false">
      <c r="A69" s="1076" t="s">
        <v>1464</v>
      </c>
      <c r="B69" s="352" t="s">
        <v>1465</v>
      </c>
      <c r="C69" s="1077" t="n">
        <v>0</v>
      </c>
      <c r="D69" s="1077" t="n">
        <f aca="false">SUMPRODUCT((('Facility Master'!D5:D48="FB")+('Facility Master'!D5:D48="FB-Term")+('Facility Master'!D5:D48="FB-FCY")&gt;0)*('Facility Master'!F5:F48=TRUE())*('Facility Master'!H5:H48=1)*1)</f>
        <v>0</v>
      </c>
      <c r="E69" s="900" t="str">
        <f aca="false">IFERROR(IF(ABS(D69-C69)&lt;0.5,"PASS","FAIL"),"FAIL")</f>
        <v>PASS</v>
      </c>
      <c r="F69" s="1078" t="s">
        <v>857</v>
      </c>
      <c r="G69" s="1075" t="s">
        <v>1461</v>
      </c>
    </row>
    <row r="70" customFormat="false" ht="18" hidden="false" customHeight="true" outlineLevel="0" collapsed="false">
      <c r="A70" s="1073" t="s">
        <v>1466</v>
      </c>
      <c r="B70" s="362" t="s">
        <v>1467</v>
      </c>
      <c r="C70" s="1081" t="n">
        <v>1361</v>
      </c>
      <c r="D70" s="1081" t="n">
        <f aca="false">'Lender Summary'!D6</f>
        <v>1361</v>
      </c>
      <c r="E70" s="900" t="str">
        <f aca="false">IFERROR(IF(ABS(D70-C70)&lt;0.5,"PASS","FAIL"),"FAIL")</f>
        <v>PASS</v>
      </c>
      <c r="F70" s="1079" t="s">
        <v>857</v>
      </c>
      <c r="G70" s="1075" t="s">
        <v>1468</v>
      </c>
    </row>
    <row r="71" customFormat="false" ht="18" hidden="false" customHeight="true" outlineLevel="0" collapsed="false">
      <c r="A71" s="1076" t="s">
        <v>1469</v>
      </c>
      <c r="B71" s="352" t="s">
        <v>1470</v>
      </c>
      <c r="C71" s="1077" t="n">
        <v>235</v>
      </c>
      <c r="D71" s="1077" t="n">
        <f aca="false">'Lender Summary'!D7</f>
        <v>235</v>
      </c>
      <c r="E71" s="900" t="str">
        <f aca="false">IFERROR(IF(ABS(D71-C71)&lt;0.5,"PASS","FAIL"),"FAIL")</f>
        <v>PASS</v>
      </c>
      <c r="F71" s="1078" t="s">
        <v>857</v>
      </c>
      <c r="G71" s="1075" t="s">
        <v>1468</v>
      </c>
    </row>
    <row r="72" customFormat="false" ht="18" hidden="false" customHeight="true" outlineLevel="0" collapsed="false">
      <c r="A72" s="1073" t="s">
        <v>1471</v>
      </c>
      <c r="B72" s="362" t="s">
        <v>1472</v>
      </c>
      <c r="C72" s="635" t="n">
        <v>200</v>
      </c>
      <c r="D72" s="635" t="n">
        <f aca="false">'Lender Summary'!D8</f>
        <v>200</v>
      </c>
      <c r="E72" s="900" t="str">
        <f aca="false">IFERROR(IF(ABS(D72-C72)&lt;0.5,"PASS","FAIL"),"FAIL")</f>
        <v>PASS</v>
      </c>
      <c r="F72" s="1079" t="s">
        <v>857</v>
      </c>
      <c r="G72" s="1075" t="s">
        <v>1468</v>
      </c>
    </row>
    <row r="73" customFormat="false" ht="18" hidden="false" customHeight="true" outlineLevel="0" collapsed="false">
      <c r="A73" s="1076" t="s">
        <v>1473</v>
      </c>
      <c r="B73" s="352" t="s">
        <v>1474</v>
      </c>
      <c r="C73" s="1077" t="n">
        <v>650</v>
      </c>
      <c r="D73" s="1077" t="n">
        <f aca="false">'Lender Summary'!D9</f>
        <v>650</v>
      </c>
      <c r="E73" s="900" t="str">
        <f aca="false">IFERROR(IF(ABS(D73-C73)&lt;0.5,"PASS","FAIL"),"FAIL")</f>
        <v>PASS</v>
      </c>
      <c r="F73" s="1078" t="s">
        <v>857</v>
      </c>
      <c r="G73" s="1075" t="s">
        <v>1468</v>
      </c>
    </row>
    <row r="74" customFormat="false" ht="18" hidden="false" customHeight="true" outlineLevel="0" collapsed="false">
      <c r="A74" s="1073" t="s">
        <v>1475</v>
      </c>
      <c r="B74" s="362" t="s">
        <v>1476</v>
      </c>
      <c r="C74" s="1081" t="n">
        <v>530</v>
      </c>
      <c r="D74" s="635" t="n">
        <f aca="false">'Lender Summary'!D10</f>
        <v>530</v>
      </c>
      <c r="E74" s="900" t="str">
        <f aca="false">IFERROR(IF(ABS(D74-C74)&lt;0.5,"PASS","FAIL"),"FAIL")</f>
        <v>PASS</v>
      </c>
      <c r="F74" s="1079" t="s">
        <v>857</v>
      </c>
      <c r="G74" s="1075" t="s">
        <v>1468</v>
      </c>
    </row>
    <row r="75" customFormat="false" ht="18" hidden="false" customHeight="true" outlineLevel="0" collapsed="false">
      <c r="A75" s="1076" t="s">
        <v>1477</v>
      </c>
      <c r="B75" s="352" t="s">
        <v>1478</v>
      </c>
      <c r="C75" s="1077" t="n">
        <v>400</v>
      </c>
      <c r="D75" s="1077" t="n">
        <f aca="false">'Lender Summary'!D11</f>
        <v>400</v>
      </c>
      <c r="E75" s="900" t="str">
        <f aca="false">IFERROR(IF(ABS(D75-C75)&lt;0.5,"PASS","FAIL"),"FAIL")</f>
        <v>PASS</v>
      </c>
      <c r="F75" s="1078" t="s">
        <v>857</v>
      </c>
      <c r="G75" s="1075" t="s">
        <v>1468</v>
      </c>
    </row>
    <row r="76" customFormat="false" ht="18" hidden="false" customHeight="true" outlineLevel="0" collapsed="false">
      <c r="A76" s="1073" t="s">
        <v>1479</v>
      </c>
      <c r="B76" s="362" t="s">
        <v>1480</v>
      </c>
      <c r="C76" s="635" t="n">
        <v>250</v>
      </c>
      <c r="D76" s="635" t="n">
        <f aca="false">'Lender Summary'!D13</f>
        <v>250</v>
      </c>
      <c r="E76" s="900" t="str">
        <f aca="false">IFERROR(IF(ABS(D76-C76)&lt;0.5,"PASS","FAIL"),"FAIL")</f>
        <v>PASS</v>
      </c>
      <c r="F76" s="1079" t="s">
        <v>857</v>
      </c>
      <c r="G76" s="1075" t="s">
        <v>1468</v>
      </c>
    </row>
    <row r="77" customFormat="false" ht="18" hidden="false" customHeight="true" outlineLevel="0" collapsed="false">
      <c r="A77" s="1076" t="s">
        <v>1481</v>
      </c>
      <c r="B77" s="352" t="s">
        <v>1482</v>
      </c>
      <c r="C77" s="1077" t="n">
        <v>840</v>
      </c>
      <c r="D77" s="1077" t="n">
        <f aca="false">'Lender Summary'!D14</f>
        <v>840</v>
      </c>
      <c r="E77" s="900" t="str">
        <f aca="false">IFERROR(IF(ABS(D77-C77)&lt;0.5,"PASS","FAIL"),"FAIL")</f>
        <v>PASS</v>
      </c>
      <c r="F77" s="1078" t="s">
        <v>857</v>
      </c>
      <c r="G77" s="1075" t="s">
        <v>1468</v>
      </c>
    </row>
    <row r="78" customFormat="false" ht="18" hidden="false" customHeight="true" outlineLevel="0" collapsed="false">
      <c r="A78" s="1073" t="s">
        <v>1483</v>
      </c>
      <c r="B78" s="362" t="s">
        <v>1484</v>
      </c>
      <c r="C78" s="1083" t="n">
        <f aca="false">DATE(2027,6,30)</f>
        <v>46568</v>
      </c>
      <c r="D78" s="1083" t="n">
        <f aca="false">UBI_RTL1_RepStart</f>
        <v>46568</v>
      </c>
      <c r="E78" s="900" t="str">
        <f aca="false">IFERROR(IF(ABS(D78-C78)&lt;0.5,"PASS","FAIL"),"FAIL")</f>
        <v>PASS</v>
      </c>
      <c r="F78" s="1079" t="s">
        <v>857</v>
      </c>
      <c r="G78" s="1075" t="s">
        <v>1485</v>
      </c>
    </row>
    <row r="79" customFormat="false" ht="18" hidden="false" customHeight="true" outlineLevel="0" collapsed="false">
      <c r="A79" s="1076" t="s">
        <v>1486</v>
      </c>
      <c r="B79" s="352" t="s">
        <v>1487</v>
      </c>
      <c r="C79" s="1084" t="n">
        <f aca="false">DATE(2027,6,30)</f>
        <v>46568</v>
      </c>
      <c r="D79" s="1084" t="n">
        <f aca="false">YBL_TL_RepStart</f>
        <v>46568</v>
      </c>
      <c r="E79" s="900" t="str">
        <f aca="false">IFERROR(IF(ABS(D79-C79)&lt;0.5,"PASS","FAIL"),"FAIL")</f>
        <v>PASS</v>
      </c>
      <c r="F79" s="1078" t="s">
        <v>857</v>
      </c>
      <c r="G79" s="1075" t="s">
        <v>1485</v>
      </c>
    </row>
    <row r="80" customFormat="false" ht="18" hidden="false" customHeight="true" outlineLevel="0" collapsed="false">
      <c r="A80" s="1073" t="s">
        <v>1488</v>
      </c>
      <c r="B80" s="362" t="s">
        <v>1489</v>
      </c>
      <c r="C80" s="1083" t="n">
        <f aca="false">DATE(2027,6,30)</f>
        <v>46568</v>
      </c>
      <c r="D80" s="1083" t="n">
        <f aca="false">IDFC_TL_RepStart</f>
        <v>46568</v>
      </c>
      <c r="E80" s="900" t="str">
        <f aca="false">IFERROR(IF(ABS(D80-C80)&lt;0.5,"PASS","FAIL"),"FAIL")</f>
        <v>PASS</v>
      </c>
      <c r="F80" s="1079" t="s">
        <v>857</v>
      </c>
      <c r="G80" s="1075" t="s">
        <v>1485</v>
      </c>
    </row>
    <row r="81" customFormat="false" ht="18" hidden="false" customHeight="true" outlineLevel="0" collapsed="false">
      <c r="A81" s="1076" t="s">
        <v>1490</v>
      </c>
      <c r="B81" s="352" t="s">
        <v>1491</v>
      </c>
      <c r="C81" s="1084" t="n">
        <f aca="false">DATE(2027,6,30)</f>
        <v>46568</v>
      </c>
      <c r="D81" s="1084" t="n">
        <f aca="false">ICICI_TL_RepStart</f>
        <v>46568</v>
      </c>
      <c r="E81" s="900" t="str">
        <f aca="false">IFERROR(IF(ABS(D81-C81)&lt;0.5,"PASS","FAIL"),"FAIL")</f>
        <v>PASS</v>
      </c>
      <c r="F81" s="1078" t="s">
        <v>857</v>
      </c>
      <c r="G81" s="1075" t="s">
        <v>1485</v>
      </c>
    </row>
    <row r="82" customFormat="false" ht="18" hidden="false" customHeight="true" outlineLevel="0" collapsed="false">
      <c r="A82" s="1073" t="s">
        <v>1492</v>
      </c>
      <c r="B82" s="362" t="s">
        <v>1493</v>
      </c>
      <c r="C82" s="1083" t="n">
        <f aca="false">DATE(2027,3,31)</f>
        <v>46477</v>
      </c>
      <c r="D82" s="1083" t="n">
        <f aca="false">IB_TL_RepStart</f>
        <v>46477</v>
      </c>
      <c r="E82" s="900" t="str">
        <f aca="false">IFERROR(IF(ABS(D82-C82)&lt;0.5,"PASS","FAIL"),"FAIL")</f>
        <v>PASS</v>
      </c>
      <c r="F82" s="361" t="s">
        <v>872</v>
      </c>
      <c r="G82" s="1075" t="s">
        <v>1485</v>
      </c>
    </row>
    <row r="83" customFormat="false" ht="18" hidden="false" customHeight="true" outlineLevel="0" collapsed="false">
      <c r="A83" s="1076" t="s">
        <v>1494</v>
      </c>
      <c r="B83" s="352" t="s">
        <v>1495</v>
      </c>
      <c r="C83" s="1084" t="n">
        <f aca="false">DATE(2026,11,13)</f>
        <v>46339</v>
      </c>
      <c r="D83" s="1084" t="n">
        <f aca="false">RBL_TL_Maturity</f>
        <v>46339</v>
      </c>
      <c r="E83" s="900" t="str">
        <f aca="false">IFERROR(IF(ABS(D83-C83)&lt;0.5,"PASS","FAIL"),"FAIL")</f>
        <v>PASS</v>
      </c>
      <c r="F83" s="1078" t="s">
        <v>857</v>
      </c>
      <c r="G83" s="1075" t="s">
        <v>1485</v>
      </c>
    </row>
    <row r="84" customFormat="false" ht="18" hidden="false" customHeight="true" outlineLevel="0" collapsed="false">
      <c r="A84" s="1073" t="s">
        <v>1496</v>
      </c>
      <c r="B84" s="362" t="s">
        <v>1497</v>
      </c>
      <c r="C84" s="1083" t="n">
        <f aca="false">DATE(2039,3,31)</f>
        <v>50860</v>
      </c>
      <c r="D84" s="1083" t="n">
        <f aca="false">UBI_RTL1_Maturity</f>
        <v>50860</v>
      </c>
      <c r="E84" s="900" t="str">
        <f aca="false">IFERROR(IF(ABS(D84-C84)&lt;0.5,"PASS","FAIL"),"FAIL")</f>
        <v>PASS</v>
      </c>
      <c r="F84" s="1079" t="s">
        <v>857</v>
      </c>
      <c r="G84" s="1075" t="s">
        <v>1485</v>
      </c>
    </row>
    <row r="85" customFormat="false" ht="18" hidden="false" customHeight="true" outlineLevel="0" collapsed="false">
      <c r="A85" s="1076" t="s">
        <v>1498</v>
      </c>
      <c r="B85" s="352" t="s">
        <v>1499</v>
      </c>
      <c r="C85" s="1077" t="n">
        <v>1</v>
      </c>
      <c r="D85" s="1077" t="n">
        <f aca="false">IF(AND(MCLR_UBI_1Y&gt;=0,MCLR_UBI_1Y&lt;=0.25),1,0)</f>
        <v>1</v>
      </c>
      <c r="E85" s="900" t="str">
        <f aca="false">IFERROR(IF(ABS(D85-C85)&lt;0.5,"PASS","FAIL"),"FAIL")</f>
        <v>PASS</v>
      </c>
      <c r="F85" s="1078" t="s">
        <v>857</v>
      </c>
      <c r="G85" s="1075" t="s">
        <v>1500</v>
      </c>
    </row>
    <row r="86" customFormat="false" ht="18" hidden="false" customHeight="true" outlineLevel="0" collapsed="false">
      <c r="A86" s="1073" t="s">
        <v>1501</v>
      </c>
      <c r="B86" s="362" t="s">
        <v>1502</v>
      </c>
      <c r="C86" s="635" t="n">
        <v>1</v>
      </c>
      <c r="D86" s="635" t="n">
        <f aca="false">IF(AND(EBLR_IDFC&gt;=0,EBLR_IDFC&lt;=0.25),1,0)</f>
        <v>1</v>
      </c>
      <c r="E86" s="900" t="str">
        <f aca="false">IFERROR(IF(ABS(D86-C86)&lt;0.5,"PASS","FAIL"),"FAIL")</f>
        <v>PASS</v>
      </c>
      <c r="F86" s="1079" t="s">
        <v>857</v>
      </c>
      <c r="G86" s="1075" t="s">
        <v>1500</v>
      </c>
    </row>
    <row r="87" customFormat="false" ht="18" hidden="false" customHeight="true" outlineLevel="0" collapsed="false">
      <c r="A87" s="1076" t="s">
        <v>1503</v>
      </c>
      <c r="B87" s="352" t="s">
        <v>1504</v>
      </c>
      <c r="C87" s="1077" t="n">
        <v>1</v>
      </c>
      <c r="D87" s="1077" t="n">
        <f aca="false">IF(AND(IMCLR_ICICI_3M&gt;=0,IMCLR_ICICI_3M&lt;=0.25),1,0)</f>
        <v>1</v>
      </c>
      <c r="E87" s="900" t="str">
        <f aca="false">IFERROR(IF(ABS(D87-C87)&lt;0.5,"PASS","FAIL"),"FAIL")</f>
        <v>PASS</v>
      </c>
      <c r="F87" s="1078" t="s">
        <v>857</v>
      </c>
      <c r="G87" s="1075" t="s">
        <v>1500</v>
      </c>
    </row>
    <row r="88" customFormat="false" ht="18" hidden="false" customHeight="true" outlineLevel="0" collapsed="false">
      <c r="A88" s="1073" t="s">
        <v>1505</v>
      </c>
      <c r="B88" s="362" t="s">
        <v>1506</v>
      </c>
      <c r="C88" s="635" t="n">
        <v>1</v>
      </c>
      <c r="D88" s="635" t="n">
        <f aca="false">IF(AND(IMCLR_ICICI_6M&gt;=0,IMCLR_ICICI_6M&lt;=0.25),1,0)</f>
        <v>1</v>
      </c>
      <c r="E88" s="900" t="str">
        <f aca="false">IFERROR(IF(ABS(D88-C88)&lt;0.5,"PASS","FAIL"),"FAIL")</f>
        <v>PASS</v>
      </c>
      <c r="F88" s="1079" t="s">
        <v>857</v>
      </c>
      <c r="G88" s="1075" t="s">
        <v>1500</v>
      </c>
    </row>
    <row r="89" customFormat="false" ht="18" hidden="false" customHeight="true" outlineLevel="0" collapsed="false">
      <c r="A89" s="1076" t="s">
        <v>1507</v>
      </c>
      <c r="B89" s="352" t="s">
        <v>1508</v>
      </c>
      <c r="C89" s="1077" t="n">
        <v>1</v>
      </c>
      <c r="D89" s="1077" t="n">
        <f aca="false">IF(AND(RepoRate&gt;=0,RepoRate&lt;=0.25),1,0)</f>
        <v>1</v>
      </c>
      <c r="E89" s="900" t="str">
        <f aca="false">IFERROR(IF(ABS(D89-C89)&lt;0.5,"PASS","FAIL"),"FAIL")</f>
        <v>PASS</v>
      </c>
      <c r="F89" s="1078" t="s">
        <v>857</v>
      </c>
      <c r="G89" s="1075" t="s">
        <v>1500</v>
      </c>
    </row>
    <row r="90" customFormat="false" ht="18" hidden="false" customHeight="true" outlineLevel="0" collapsed="false">
      <c r="A90" s="1073" t="s">
        <v>1509</v>
      </c>
      <c r="B90" s="362" t="s">
        <v>1510</v>
      </c>
      <c r="C90" s="635" t="n">
        <v>1</v>
      </c>
      <c r="D90" s="635" t="n">
        <f aca="false">IF(SUMIFS('Facility Master'!K5:K48,'Facility Master'!H5:H48,1)&gt;0,1,0)</f>
        <v>1</v>
      </c>
      <c r="E90" s="900" t="str">
        <f aca="false">IFERROR(IF(ABS(D90-C90)&lt;0.5,"PASS","FAIL"),"FAIL")</f>
        <v>PASS</v>
      </c>
      <c r="F90" s="1074" t="s">
        <v>1385</v>
      </c>
      <c r="G90" s="1075" t="s">
        <v>375</v>
      </c>
    </row>
    <row r="91" customFormat="false" ht="18" hidden="false" customHeight="true" outlineLevel="0" collapsed="false">
      <c r="A91" s="1076" t="s">
        <v>1511</v>
      </c>
      <c r="B91" s="352" t="s">
        <v>1512</v>
      </c>
      <c r="C91" s="1077" t="n">
        <v>1</v>
      </c>
      <c r="D91" s="1077" t="n">
        <f aca="false">IF('Interest Schedule'!D55&gt;0,1,0)</f>
        <v>1</v>
      </c>
      <c r="E91" s="900" t="str">
        <f aca="false">IFERROR(IF(ABS(D91-C91)&lt;0.5,"PASS","FAIL"),"FAIL")</f>
        <v>PASS</v>
      </c>
      <c r="F91" s="1078" t="s">
        <v>857</v>
      </c>
      <c r="G91" s="1075" t="s">
        <v>375</v>
      </c>
    </row>
    <row r="92" customFormat="false" ht="18" hidden="false" customHeight="true" outlineLevel="0" collapsed="false">
      <c r="A92" s="1073" t="s">
        <v>1513</v>
      </c>
      <c r="B92" s="362" t="s">
        <v>1514</v>
      </c>
      <c r="C92" s="635" t="n">
        <v>1</v>
      </c>
      <c r="D92" s="635" t="n">
        <f aca="false">IF('Interest Schedule'!C59&gt;0,1,0)</f>
        <v>1</v>
      </c>
      <c r="E92" s="900" t="str">
        <f aca="false">IFERROR(IF(ABS(D92-C92)&lt;0.5,"PASS","FAIL"),"FAIL")</f>
        <v>PASS</v>
      </c>
      <c r="F92" s="361" t="s">
        <v>872</v>
      </c>
      <c r="G92" s="1075" t="s">
        <v>1425</v>
      </c>
    </row>
    <row r="93" customFormat="false" ht="18" hidden="false" customHeight="true" outlineLevel="0" collapsed="false">
      <c r="A93" s="1076" t="s">
        <v>1515</v>
      </c>
      <c r="B93" s="352" t="s">
        <v>1516</v>
      </c>
      <c r="C93" s="1085" t="n">
        <v>6</v>
      </c>
      <c r="D93" s="1077" t="n">
        <f aca="false">COUNTIF('Facility Master'!AG5:AG48,TRUE())</f>
        <v>6</v>
      </c>
      <c r="E93" s="900" t="str">
        <f aca="false">IFERROR(IF(ABS(D93-C93)&lt;0.5,"PASS","FAIL"),"FAIL")</f>
        <v>PASS</v>
      </c>
      <c r="F93" s="1080" t="s">
        <v>1385</v>
      </c>
      <c r="G93" s="1075" t="s">
        <v>1461</v>
      </c>
    </row>
    <row r="94" customFormat="false" ht="18" hidden="false" customHeight="true" outlineLevel="0" collapsed="false">
      <c r="A94" s="1086" t="s">
        <v>1517</v>
      </c>
      <c r="B94" s="1087" t="s">
        <v>1518</v>
      </c>
      <c r="C94" s="1088" t="n">
        <v>44</v>
      </c>
      <c r="D94" s="1088" t="n">
        <f aca="false">COUNTIF('FY29 Covenant Compliance (TEV)'!A7:A52,"&gt;0")</f>
        <v>44</v>
      </c>
      <c r="E94" s="1089" t="str">
        <f aca="false">IFERROR(IF(ABS(D94-C94)&lt;0.5,"PASS","FAIL"),"FAIL")</f>
        <v>PASS</v>
      </c>
      <c r="F94" s="1090" t="s">
        <v>1385</v>
      </c>
      <c r="G94" s="298" t="s">
        <v>1447</v>
      </c>
    </row>
    <row r="95" customFormat="false" ht="18" hidden="false" customHeight="true" outlineLevel="0" collapsed="false">
      <c r="A95" s="1091" t="s">
        <v>1519</v>
      </c>
      <c r="B95" s="1092" t="s">
        <v>1520</v>
      </c>
      <c r="C95" s="1088" t="n">
        <v>1</v>
      </c>
      <c r="D95" s="1088" t="n">
        <f aca="false">IF(ABS('TEV Inputs'!I46-1.801)&lt;0.01,1,0)</f>
        <v>1</v>
      </c>
      <c r="E95" s="1089" t="str">
        <f aca="false">IFERROR(IF(ABS(D95-C95)&lt;0.5,"PASS","FAIL"),"FAIL")</f>
        <v>PASS</v>
      </c>
      <c r="F95" s="1090" t="s">
        <v>1385</v>
      </c>
      <c r="G95" s="298" t="s">
        <v>166</v>
      </c>
    </row>
    <row r="96" customFormat="false" ht="18" hidden="false" customHeight="true" outlineLevel="0" collapsed="false">
      <c r="A96" s="1093" t="s">
        <v>1521</v>
      </c>
      <c r="B96" s="1094" t="s">
        <v>1522</v>
      </c>
      <c r="C96" s="1095" t="n">
        <v>1</v>
      </c>
      <c r="D96" s="1095" t="n">
        <f aca="false">IF(ABS('TEV Inputs'!I47-3.655)&lt;0.01,1,0)</f>
        <v>1</v>
      </c>
      <c r="E96" s="1089" t="str">
        <f aca="false">IFERROR(IF(ABS(D96-C96)&lt;0.5,"PASS","FAIL"),"FAIL")</f>
        <v>PASS</v>
      </c>
      <c r="F96" s="1096" t="s">
        <v>1385</v>
      </c>
      <c r="G96" s="298" t="s">
        <v>166</v>
      </c>
    </row>
    <row r="97" customFormat="false" ht="18" hidden="false" customHeight="true" outlineLevel="0" collapsed="false">
      <c r="A97" s="1091" t="s">
        <v>1523</v>
      </c>
      <c r="B97" s="1092" t="s">
        <v>1524</v>
      </c>
      <c r="C97" s="1088" t="n">
        <v>1</v>
      </c>
      <c r="D97" s="1088" t="n">
        <f aca="false">IF(ABS('TEV Inputs'!I48-1.51)&lt;0.01,1,0)</f>
        <v>1</v>
      </c>
      <c r="E97" s="1089" t="str">
        <f aca="false">IFERROR(IF(ABS(D97-C97)&lt;0.5,"PASS","FAIL"),"FAIL")</f>
        <v>PASS</v>
      </c>
      <c r="F97" s="1090" t="s">
        <v>1385</v>
      </c>
      <c r="G97" s="298" t="s">
        <v>166</v>
      </c>
    </row>
    <row r="98" customFormat="false" ht="18" hidden="false" customHeight="true" outlineLevel="0" collapsed="false">
      <c r="A98" s="1097" t="s">
        <v>1525</v>
      </c>
      <c r="B98" s="1098" t="s">
        <v>1526</v>
      </c>
      <c r="C98" s="1095" t="n">
        <v>1</v>
      </c>
      <c r="D98" s="1095" t="n">
        <f aca="false">IF(ABS('TEV Inputs'!I49-2.494)&lt;0.01,1,0)</f>
        <v>1</v>
      </c>
      <c r="E98" s="1089" t="str">
        <f aca="false">IFERROR(IF(ABS(D98-C98)&lt;0.5,"PASS","FAIL"),"FAIL")</f>
        <v>PASS</v>
      </c>
      <c r="F98" s="1096" t="s">
        <v>1385</v>
      </c>
      <c r="G98" s="298" t="s">
        <v>166</v>
      </c>
    </row>
    <row r="99" customFormat="false" ht="18" hidden="false" customHeight="true" outlineLevel="0" collapsed="false">
      <c r="A99" s="1086" t="s">
        <v>1527</v>
      </c>
      <c r="B99" s="1087" t="s">
        <v>1528</v>
      </c>
      <c r="C99" s="1088" t="n">
        <v>1</v>
      </c>
      <c r="D99" s="1088" t="n">
        <f aca="false">IF(ABS('TEV Inputs'!I50-1.092)&lt;0.01,1,0)</f>
        <v>1</v>
      </c>
      <c r="E99" s="1089" t="str">
        <f aca="false">IFERROR(IF(ABS(D99-C99)&lt;0.5,"PASS","FAIL"),"FAIL")</f>
        <v>PASS</v>
      </c>
      <c r="F99" s="1090" t="s">
        <v>1385</v>
      </c>
      <c r="G99" s="298" t="s">
        <v>166</v>
      </c>
    </row>
    <row r="100" customFormat="false" ht="18" hidden="false" customHeight="true" outlineLevel="0" collapsed="false">
      <c r="A100" s="1097" t="s">
        <v>1529</v>
      </c>
      <c r="B100" s="1098" t="s">
        <v>1530</v>
      </c>
      <c r="C100" s="1095" t="n">
        <v>1</v>
      </c>
      <c r="D100" s="1095" t="n">
        <f aca="false">IF(INDEX('FY29 Covenant Compliance (TEV)'!G7:G52,MATCH(21,'FY29 Covenant Compliance (TEV)'!A7:A52,0))="Compliant",1,0)</f>
        <v>1</v>
      </c>
      <c r="E100" s="1089" t="str">
        <f aca="false">IFERROR(IF(ABS(D100-C100)&lt;0.5,"PASS","FAIL"),"FAIL")</f>
        <v>PASS</v>
      </c>
      <c r="F100" s="1096" t="s">
        <v>1385</v>
      </c>
      <c r="G100" s="298" t="s">
        <v>1447</v>
      </c>
    </row>
    <row r="101" customFormat="false" ht="18" hidden="false" customHeight="true" outlineLevel="0" collapsed="false">
      <c r="A101" s="1086" t="s">
        <v>1531</v>
      </c>
      <c r="B101" s="1087" t="s">
        <v>1532</v>
      </c>
      <c r="C101" s="1088" t="n">
        <v>1</v>
      </c>
      <c r="D101" s="1088" t="n">
        <f aca="false">IF(INDEX('FY29 Covenant Compliance (TEV)'!G7:G52,MATCH(33,'FY29 Covenant Compliance (TEV)'!A7:A52,0))="Near Breach",1,0)</f>
        <v>1</v>
      </c>
      <c r="E101" s="1089" t="str">
        <f aca="false">IFERROR(IF(ABS(D101-C101)&lt;0.5,"PASS","FAIL"),"FAIL")</f>
        <v>PASS</v>
      </c>
      <c r="F101" s="1090" t="s">
        <v>1385</v>
      </c>
      <c r="G101" s="298" t="s">
        <v>1447</v>
      </c>
    </row>
    <row r="102" customFormat="false" ht="18" hidden="false" customHeight="true" outlineLevel="0" collapsed="false">
      <c r="A102" s="1097" t="s">
        <v>1533</v>
      </c>
      <c r="B102" s="1098" t="s">
        <v>1534</v>
      </c>
      <c r="C102" s="1095" t="n">
        <v>1</v>
      </c>
      <c r="D102" s="1095" t="n">
        <f aca="false">IF(INDEX('FY29 Covenant Compliance (TEV)'!G7:G52,MATCH(29,'FY29 Covenant Compliance (TEV)'!A7:A52,0))="Compliant",1,0)</f>
        <v>1</v>
      </c>
      <c r="E102" s="1089" t="str">
        <f aca="false">IFERROR(IF(ABS(D102-C102)&lt;0.5,"PASS","FAIL"),"FAIL")</f>
        <v>PASS</v>
      </c>
      <c r="F102" s="1096" t="s">
        <v>1385</v>
      </c>
      <c r="G102" s="298" t="s">
        <v>1447</v>
      </c>
    </row>
    <row r="103" customFormat="false" ht="18" hidden="false" customHeight="true" outlineLevel="0" collapsed="false">
      <c r="A103" s="1097" t="s">
        <v>1535</v>
      </c>
      <c r="B103" s="1098" t="s">
        <v>1536</v>
      </c>
      <c r="C103" s="1095" t="n">
        <v>1</v>
      </c>
      <c r="D103" s="1095" t="n">
        <f aca="false">IF(INDEX('FY29 Covenant Compliance (TEV)'!F7:F52,MATCH(28,'FY29 Covenant Compliance (TEV)'!A7:A52,0))&gt;=2.5,1,0)</f>
        <v>1</v>
      </c>
      <c r="E103" s="1089" t="str">
        <f aca="false">IFERROR(IF(ABS(D103-C103)&lt;0.5,"PASS","FAIL"),"FAIL")</f>
        <v>PASS</v>
      </c>
      <c r="F103" s="1096" t="s">
        <v>1385</v>
      </c>
      <c r="G103" s="298" t="s">
        <v>1447</v>
      </c>
    </row>
    <row r="104" customFormat="false" ht="18" hidden="false" customHeight="true" outlineLevel="0" collapsed="false">
      <c r="A104" s="1086" t="s">
        <v>1537</v>
      </c>
      <c r="B104" s="1087" t="s">
        <v>1538</v>
      </c>
      <c r="C104" s="1088" t="n">
        <v>1</v>
      </c>
      <c r="D104" s="1088" t="n">
        <f aca="false">IF(INDEX('FY29 Covenant Compliance (TEV)'!F7:F52,MATCH(35,'FY29 Covenant Compliance (TEV)'!A7:A52,0))=INDEX('FY29 Covenant Compliance (TEV)'!F7:F52,MATCH(28,'FY29 Covenant Compliance (TEV)'!A7:A52,0)),1,0)</f>
        <v>1</v>
      </c>
      <c r="E104" s="1089" t="str">
        <f aca="false">IFERROR(IF(ABS(D104-C104)&lt;0.5,"PASS","FAIL"),"FAIL")</f>
        <v>PASS</v>
      </c>
      <c r="F104" s="1099" t="s">
        <v>857</v>
      </c>
      <c r="G104" s="298" t="s">
        <v>1447</v>
      </c>
    </row>
    <row r="105" customFormat="false" ht="18" hidden="false" customHeight="true" outlineLevel="0" collapsed="false">
      <c r="A105" s="1097" t="s">
        <v>1539</v>
      </c>
      <c r="B105" s="1098" t="s">
        <v>1540</v>
      </c>
      <c r="C105" s="1095" t="n">
        <v>1</v>
      </c>
      <c r="D105" s="1095" t="n">
        <f aca="false">IF(INDEX('FY29 Covenant Compliance (TEV)'!F7:F52,MATCH(43,'FY29 Covenant Compliance (TEV)'!A7:A52,0))&lt;=0.4,1,0)</f>
        <v>1</v>
      </c>
      <c r="E105" s="1089" t="str">
        <f aca="false">IFERROR(IF(ABS(D105-C105)&lt;0.5,"PASS","FAIL"),"FAIL")</f>
        <v>PASS</v>
      </c>
      <c r="F105" s="1096" t="s">
        <v>1385</v>
      </c>
      <c r="G105" s="298" t="s">
        <v>1447</v>
      </c>
    </row>
    <row r="106" customFormat="false" ht="18" hidden="false" customHeight="true" outlineLevel="0" collapsed="false">
      <c r="A106" s="1086" t="s">
        <v>1541</v>
      </c>
      <c r="B106" s="1087" t="s">
        <v>1542</v>
      </c>
      <c r="C106" s="1088" t="n">
        <v>5</v>
      </c>
      <c r="D106" s="1088" t="n">
        <f aca="false">SUMPRODUCT((ISNUMBER(SEARCH("DSCR",'FY29 Covenant Compliance (TEV)'!C7:C52)))*(ISERROR(SEARCH("IDFC",'FY29 Covenant Compliance (TEV)'!C7:C52))*1)*(ISERROR(SEARCH("Cash Sweep",'FY29 Covenant Compliance (TEV)'!C7:C52))*1)*(ABS('FY29 Covenant Compliance (TEV)'!F7:F52-1.801)&lt;0.01))</f>
        <v>5</v>
      </c>
      <c r="E106" s="1089" t="str">
        <f aca="false">IFERROR(IF(ABS(D106-C106)&lt;0.5,"PASS","FAIL"),"FAIL")</f>
        <v>PASS</v>
      </c>
      <c r="F106" s="1099" t="s">
        <v>857</v>
      </c>
      <c r="G106" s="298" t="s">
        <v>1447</v>
      </c>
    </row>
    <row r="107" customFormat="false" ht="18" hidden="false" customHeight="true" outlineLevel="0" collapsed="false">
      <c r="A107" s="1097" t="s">
        <v>1543</v>
      </c>
      <c r="B107" s="1098" t="s">
        <v>1544</v>
      </c>
      <c r="C107" s="1095" t="n">
        <v>6</v>
      </c>
      <c r="D107" s="1095" t="n">
        <f aca="false">SUMPRODUCT((ISNUMBER(SEARCH("ISCR",'FY29 Covenant Compliance (TEV)'!C7:C52)))*(ABS('FY29 Covenant Compliance (TEV)'!F7:F52-3.655)&lt;0.01))</f>
        <v>6</v>
      </c>
      <c r="E107" s="1089" t="str">
        <f aca="false">IFERROR(IF(ABS(D107-C107)&lt;0.5,"PASS","FAIL"),"FAIL")</f>
        <v>PASS</v>
      </c>
      <c r="F107" s="1100" t="s">
        <v>857</v>
      </c>
      <c r="G107" s="298" t="s">
        <v>1447</v>
      </c>
    </row>
    <row r="108" customFormat="false" ht="18" hidden="false" customHeight="true" outlineLevel="0" collapsed="false">
      <c r="A108" s="1086" t="s">
        <v>1545</v>
      </c>
      <c r="B108" s="1087" t="s">
        <v>1546</v>
      </c>
      <c r="C108" s="1088" t="n">
        <v>6</v>
      </c>
      <c r="D108" s="1088" t="n">
        <f aca="false">SUMPRODUCT((ISNUMBER(SEARCH("FACR",'FY29 Covenant Compliance (TEV)'!C7:C52)))*(ABS('FY29 Covenant Compliance (TEV)'!F7:F52-1.51)&lt;0.01))</f>
        <v>6</v>
      </c>
      <c r="E108" s="1089" t="str">
        <f aca="false">IFERROR(IF(ABS(D108-C108)&lt;0.5,"PASS","FAIL"),"FAIL")</f>
        <v>PASS</v>
      </c>
      <c r="F108" s="1099" t="s">
        <v>857</v>
      </c>
      <c r="G108" s="298" t="s">
        <v>1447</v>
      </c>
    </row>
    <row r="109" customFormat="false" ht="18" hidden="false" customHeight="true" outlineLevel="0" collapsed="false">
      <c r="A109" s="1097" t="s">
        <v>1547</v>
      </c>
      <c r="B109" s="1098" t="s">
        <v>1548</v>
      </c>
      <c r="C109" s="1095" t="n">
        <v>18</v>
      </c>
      <c r="D109" s="1095" t="n">
        <f aca="false">COUNTA('Management Flags'!A5:A22)</f>
        <v>18</v>
      </c>
      <c r="E109" s="1089" t="str">
        <f aca="false">IFERROR(IF(ABS(D109-C109)&lt;0.5,"PASS","FAIL"),"FAIL")</f>
        <v>PASS</v>
      </c>
      <c r="F109" s="1100" t="s">
        <v>857</v>
      </c>
      <c r="G109" s="298" t="s">
        <v>1549</v>
      </c>
    </row>
    <row r="110" customFormat="false" ht="18" hidden="false" customHeight="true" outlineLevel="0" collapsed="false">
      <c r="A110" s="1086" t="s">
        <v>1550</v>
      </c>
      <c r="B110" s="1087" t="s">
        <v>1551</v>
      </c>
      <c r="C110" s="1088" t="n">
        <v>0</v>
      </c>
      <c r="D110" s="1088" t="n">
        <f aca="false" t="array" ref="D110:D110">SUMPRODUCT(('Management Flags'!E5:E21="")*1)+SUMPRODUCT(('Management Flags'!G5:G21="")*1)</f>
        <v>0</v>
      </c>
      <c r="E110" s="1089" t="str">
        <f aca="false">IFERROR(IF(ABS(D110-C110)&lt;0.5,"PASS","FAIL"),"FAIL")</f>
        <v>PASS</v>
      </c>
      <c r="F110" s="1099" t="s">
        <v>857</v>
      </c>
      <c r="G110" s="298" t="s">
        <v>1549</v>
      </c>
    </row>
    <row r="111" customFormat="false" ht="7.5" hidden="false" customHeight="true" outlineLevel="0" collapsed="false">
      <c r="A111" s="1101" t="s">
        <v>1552</v>
      </c>
      <c r="B111" s="1102" t="s">
        <v>1553</v>
      </c>
      <c r="C111" s="298" t="n">
        <v>1</v>
      </c>
      <c r="D111" s="298" t="n">
        <f aca="false">IF(ABS(INDEX('Facility Master'!R:R,MATCH(UBI_RTL2_SNo,'Facility Master'!A:A,0))-'Term Loans'!C15)&lt;0.0005,1,0)</f>
        <v>1</v>
      </c>
      <c r="E111" s="298" t="str">
        <f aca="false">IFERROR(IF(ABS(D111-C111)&lt;0.5,"PASS","FAIL"),"FAIL")</f>
        <v>PASS</v>
      </c>
      <c r="F111" s="298" t="s">
        <v>1385</v>
      </c>
      <c r="G111" s="298" t="s">
        <v>1500</v>
      </c>
    </row>
    <row r="112" customFormat="false" ht="15" hidden="false" customHeight="true" outlineLevel="0" collapsed="false">
      <c r="A112" s="1103" t="s">
        <v>1554</v>
      </c>
      <c r="B112" s="1102" t="s">
        <v>1555</v>
      </c>
      <c r="C112" s="298" t="n">
        <v>1</v>
      </c>
      <c r="D112" s="298" t="n">
        <f aca="false">IF(ABS(SUM(Dashboard!D32:D47)+200-Total_TL_PrincOS)&lt;1,1,0)</f>
        <v>1</v>
      </c>
      <c r="E112" s="298" t="str">
        <f aca="false">IFERROR(IF(ABS(D112-C112)&lt;0.5,"PASS","FAIL"),"FAIL")</f>
        <v>PASS</v>
      </c>
      <c r="F112" s="298" t="s">
        <v>872</v>
      </c>
      <c r="G112" s="298" t="s">
        <v>1425</v>
      </c>
    </row>
    <row r="113" customFormat="false" ht="15" hidden="false" customHeight="true" outlineLevel="0" collapsed="false">
      <c r="A113" s="1103" t="s">
        <v>1556</v>
      </c>
      <c r="B113" s="1102" t="s">
        <v>1557</v>
      </c>
      <c r="C113" s="1104" t="b">
        <f aca="false">TRUE()</f>
        <v>1</v>
      </c>
      <c r="D113" s="1104" t="b">
        <f aca="false">IF('Facility Master'!R10&gt;0.05,TRUE(),FALSE())</f>
        <v>1</v>
      </c>
      <c r="E113" s="298" t="str">
        <f aca="false">IFERROR(IF(ABS(--D113-C113)&lt;0.5,"PASS","FAIL"),"FAIL")</f>
        <v>PASS</v>
      </c>
      <c r="F113" s="298" t="s">
        <v>1385</v>
      </c>
      <c r="G113" s="298" t="s">
        <v>1558</v>
      </c>
    </row>
    <row r="114" customFormat="false" ht="15" hidden="false" customHeight="true" outlineLevel="0" collapsed="false">
      <c r="A114" s="1103" t="s">
        <v>1559</v>
      </c>
      <c r="B114" s="1102" t="s">
        <v>1560</v>
      </c>
      <c r="C114" s="298" t="n">
        <v>200</v>
      </c>
      <c r="D114" s="1105" t="n">
        <f aca="false">'Facility Master'!K23</f>
        <v>200</v>
      </c>
      <c r="E114" s="298" t="str">
        <f aca="false">IFERROR(IF(ABS(D114-C114)&lt;0.5,"PASS","FAIL"),"FAIL")</f>
        <v>PASS</v>
      </c>
      <c r="F114" s="298" t="s">
        <v>857</v>
      </c>
      <c r="G114" s="298" t="s">
        <v>1561</v>
      </c>
    </row>
    <row r="115" customFormat="false" ht="15" hidden="false" customHeight="true" outlineLevel="0" collapsed="false">
      <c r="A115" s="1103" t="s">
        <v>1562</v>
      </c>
      <c r="B115" s="1102" t="s">
        <v>1563</v>
      </c>
      <c r="C115" s="298" t="n">
        <v>1</v>
      </c>
      <c r="D115" s="298" t="n">
        <f aca="false">'Facility Master'!H23</f>
        <v>1</v>
      </c>
      <c r="E115" s="298" t="str">
        <f aca="false">IFERROR(IF(D115=C115,"PASS","FAIL"),"FAIL")</f>
        <v>PASS</v>
      </c>
      <c r="F115" s="298" t="s">
        <v>857</v>
      </c>
      <c r="G115" s="298" t="s">
        <v>1561</v>
      </c>
    </row>
    <row r="116" customFormat="false" ht="19.5" hidden="false" customHeight="true" outlineLevel="0" collapsed="false">
      <c r="A116" s="1106"/>
      <c r="B116" s="1107"/>
      <c r="C116" s="1108"/>
      <c r="D116" s="1108"/>
      <c r="E116" s="1108"/>
      <c r="F116" s="1108"/>
      <c r="G116" s="298"/>
    </row>
    <row r="117" customFormat="false" ht="19.5" hidden="false" customHeight="true" outlineLevel="0" collapsed="false">
      <c r="A117" s="1086" t="s">
        <v>1564</v>
      </c>
      <c r="B117" s="1109"/>
      <c r="C117" s="1110"/>
      <c r="D117" s="1110"/>
      <c r="E117" s="1110"/>
      <c r="F117" s="1110"/>
      <c r="G117" s="298"/>
    </row>
    <row r="118" customFormat="false" ht="25.5" hidden="false" customHeight="true" outlineLevel="0" collapsed="false">
      <c r="A118" s="1111" t="s">
        <v>1565</v>
      </c>
      <c r="B118" s="854" t="n">
        <v>108</v>
      </c>
      <c r="C118" s="412"/>
      <c r="D118" s="412"/>
      <c r="E118" s="412"/>
      <c r="F118" s="412"/>
    </row>
    <row r="119" customFormat="false" ht="14.25" hidden="true" customHeight="true" outlineLevel="0" collapsed="false">
      <c r="A119" s="1" t="s">
        <v>1337</v>
      </c>
      <c r="B119" s="1" t="n">
        <f aca="false">COUNTIF(B5:B28,"PASS")+COUNTIF(E32:E115,"PASS")</f>
        <v>108</v>
      </c>
    </row>
    <row r="120" customFormat="false" ht="14.25" hidden="true" customHeight="true" outlineLevel="0" collapsed="false">
      <c r="A120" s="1" t="s">
        <v>1566</v>
      </c>
      <c r="B120" s="1" t="n">
        <f aca="false">COUNTIF(B5:B28,"FAIL")+COUNTIF(E32:E115,"FAIL")</f>
        <v>0</v>
      </c>
    </row>
    <row r="121" customFormat="false" ht="14.25" hidden="true" customHeight="true" outlineLevel="0" collapsed="false">
      <c r="A121" s="1" t="s">
        <v>1567</v>
      </c>
      <c r="B121" s="1" t="n">
        <f aca="false" t="array" ref="B121:B121">SUMPRODUCT((E32:E115="FAIL")*(F32:F115="Critical"))</f>
        <v>0</v>
      </c>
    </row>
    <row r="122" customFormat="false" ht="14.25" hidden="true" customHeight="true" outlineLevel="0" collapsed="false">
      <c r="A122" s="1" t="s">
        <v>1568</v>
      </c>
      <c r="B122" s="1" t="n">
        <f aca="false">(COUNTIF(B5:B28,"PASS")+COUNTIF(E32:E115,"PASS"))/(COUNTA(A5:A28)+COUNTIF(A32:A115,"VJF*"))</f>
        <v>1</v>
      </c>
    </row>
    <row r="123" customFormat="false" ht="14.25" hidden="true" customHeight="true" outlineLevel="0" collapsed="false">
      <c r="A123" s="1" t="s">
        <v>1569</v>
      </c>
      <c r="B123" s="1" t="str">
        <f aca="false" t="array" ref="B123:B123">IF(SUMPRODUCT((E32:E115="FAIL")*(F32:F115="Critical"))=0,IF(COUNTIF(B5:B28,"FAIL")+COUNTIF(E32:E115,"FAIL")=0,"✅ ALL CHECKS PASS","⚠ Non-critical issues for review"),"❌ Critical failures present")</f>
        <v>✅ ALL CHECKS PASS</v>
      </c>
    </row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</sheetData>
  <mergeCells count="1"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1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7" activeCellId="0" sqref="G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5.78"/>
    <col collapsed="false" customWidth="true" hidden="false" outlineLevel="0" max="2" min="2" style="1" width="103.67"/>
    <col collapsed="false" customWidth="true" hidden="true" outlineLevel="0" max="5" min="3" style="1" width="11.53"/>
  </cols>
  <sheetData>
    <row r="1" customFormat="false" ht="27.75" hidden="false" customHeight="true" outlineLevel="0" collapsed="false">
      <c r="A1" s="983" t="s">
        <v>1570</v>
      </c>
      <c r="B1" s="983"/>
      <c r="C1" s="1112"/>
      <c r="D1" s="1112"/>
      <c r="E1" s="984"/>
    </row>
    <row r="2" customFormat="false" ht="18" hidden="false" customHeight="true" outlineLevel="0" collapsed="false">
      <c r="A2" s="434" t="s">
        <v>1571</v>
      </c>
      <c r="B2" s="434"/>
      <c r="C2" s="1113"/>
      <c r="D2" s="1113"/>
      <c r="E2" s="435"/>
    </row>
    <row r="3" customFormat="false" ht="3.75" hidden="false" customHeight="true" outlineLevel="0" collapsed="false">
      <c r="A3" s="1024"/>
      <c r="B3" s="1024"/>
      <c r="C3" s="1024"/>
      <c r="D3" s="1024"/>
      <c r="E3" s="1025"/>
    </row>
    <row r="4" customFormat="false" ht="24" hidden="false" customHeight="true" outlineLevel="0" collapsed="false">
      <c r="A4" s="1114" t="s">
        <v>1572</v>
      </c>
      <c r="B4" s="1114"/>
      <c r="C4" s="1115"/>
      <c r="D4" s="1115"/>
      <c r="E4" s="1063"/>
    </row>
    <row r="5" customFormat="false" ht="3.75" hidden="false" customHeight="true" outlineLevel="0" collapsed="false">
      <c r="A5" s="1116"/>
      <c r="B5" s="1116"/>
      <c r="C5" s="1116"/>
      <c r="D5" s="1116"/>
      <c r="E5" s="1117"/>
    </row>
    <row r="6" customFormat="false" ht="49.5" hidden="false" customHeight="true" outlineLevel="0" collapsed="false">
      <c r="A6" s="1118" t="s">
        <v>1573</v>
      </c>
      <c r="B6" s="1119" t="s">
        <v>1574</v>
      </c>
      <c r="C6" s="1120"/>
      <c r="D6" s="1120"/>
      <c r="E6" s="448"/>
    </row>
    <row r="7" customFormat="false" ht="49.5" hidden="false" customHeight="true" outlineLevel="0" collapsed="false">
      <c r="A7" s="1121" t="s">
        <v>1575</v>
      </c>
      <c r="B7" s="507" t="s">
        <v>1576</v>
      </c>
      <c r="C7" s="1027"/>
      <c r="D7" s="1027"/>
      <c r="E7" s="446"/>
    </row>
    <row r="8" customFormat="false" ht="49.5" hidden="false" customHeight="true" outlineLevel="0" collapsed="false">
      <c r="A8" s="1118" t="s">
        <v>1577</v>
      </c>
      <c r="B8" s="1119" t="s">
        <v>1578</v>
      </c>
      <c r="C8" s="1120"/>
      <c r="D8" s="1120"/>
      <c r="E8" s="448"/>
    </row>
    <row r="9" customFormat="false" ht="49.5" hidden="false" customHeight="true" outlineLevel="0" collapsed="false">
      <c r="A9" s="1121" t="s">
        <v>1579</v>
      </c>
      <c r="B9" s="507" t="s">
        <v>1580</v>
      </c>
      <c r="C9" s="1027"/>
      <c r="D9" s="1027"/>
      <c r="E9" s="446"/>
    </row>
    <row r="10" customFormat="false" ht="49.5" hidden="false" customHeight="true" outlineLevel="0" collapsed="false">
      <c r="A10" s="1118" t="s">
        <v>1581</v>
      </c>
      <c r="B10" s="1119" t="s">
        <v>1582</v>
      </c>
      <c r="C10" s="1120"/>
      <c r="D10" s="1120"/>
      <c r="E10" s="448"/>
    </row>
    <row r="11" customFormat="false" ht="3.75" hidden="false" customHeight="true" outlineLevel="0" collapsed="false">
      <c r="A11" s="1122"/>
      <c r="B11" s="1123" t="s">
        <v>1583</v>
      </c>
      <c r="C11" s="1116"/>
      <c r="D11" s="1116"/>
      <c r="E11" s="1117"/>
    </row>
    <row r="12" customFormat="false" ht="24" hidden="false" customHeight="true" outlineLevel="0" collapsed="false">
      <c r="A12" s="1115" t="s">
        <v>1584</v>
      </c>
      <c r="B12" s="1115"/>
      <c r="C12" s="1115"/>
      <c r="D12" s="1115"/>
      <c r="E12" s="1063"/>
    </row>
    <row r="13" customFormat="false" ht="36" hidden="false" customHeight="true" outlineLevel="0" collapsed="false">
      <c r="A13" s="1124" t="s">
        <v>1585</v>
      </c>
      <c r="B13" s="507" t="s">
        <v>1586</v>
      </c>
      <c r="C13" s="1027"/>
      <c r="D13" s="1027"/>
      <c r="E13" s="446"/>
    </row>
    <row r="14" customFormat="false" ht="36" hidden="false" customHeight="true" outlineLevel="0" collapsed="false">
      <c r="A14" s="1125" t="s">
        <v>1585</v>
      </c>
      <c r="B14" s="1119" t="s">
        <v>1587</v>
      </c>
      <c r="C14" s="1120"/>
      <c r="D14" s="1120"/>
      <c r="E14" s="448"/>
    </row>
    <row r="15" customFormat="false" ht="36" hidden="false" customHeight="true" outlineLevel="0" collapsed="false">
      <c r="A15" s="1124" t="s">
        <v>1585</v>
      </c>
      <c r="B15" s="507" t="s">
        <v>1588</v>
      </c>
      <c r="C15" s="1027"/>
      <c r="D15" s="1027"/>
      <c r="E15" s="446"/>
    </row>
    <row r="16" customFormat="false" ht="36" hidden="false" customHeight="true" outlineLevel="0" collapsed="false">
      <c r="A16" s="1125" t="s">
        <v>1585</v>
      </c>
      <c r="B16" s="1119" t="s">
        <v>1589</v>
      </c>
      <c r="C16" s="1120"/>
      <c r="D16" s="1120"/>
      <c r="E16" s="448"/>
    </row>
    <row r="17" customFormat="false" ht="36" hidden="false" customHeight="true" outlineLevel="0" collapsed="false">
      <c r="A17" s="1126" t="s">
        <v>1585</v>
      </c>
      <c r="B17" s="1127" t="s">
        <v>1590</v>
      </c>
      <c r="C17" s="1128"/>
      <c r="D17" s="1128"/>
      <c r="E17" s="477"/>
    </row>
    <row r="18" customFormat="false" ht="36" hidden="false" customHeight="true" outlineLevel="0" collapsed="false">
      <c r="A18" s="1125" t="s">
        <v>1585</v>
      </c>
      <c r="B18" s="1119" t="s">
        <v>1591</v>
      </c>
      <c r="C18" s="1120"/>
      <c r="D18" s="1120"/>
      <c r="E18" s="448"/>
    </row>
    <row r="19" customFormat="false" ht="36" hidden="false" customHeight="true" outlineLevel="0" collapsed="false">
      <c r="A19" s="1124" t="s">
        <v>1585</v>
      </c>
      <c r="B19" s="507" t="s">
        <v>1592</v>
      </c>
      <c r="C19" s="1027"/>
      <c r="D19" s="1027"/>
      <c r="E19" s="446"/>
    </row>
    <row r="20" customFormat="false" ht="36" hidden="false" customHeight="true" outlineLevel="0" collapsed="false">
      <c r="A20" s="1125" t="s">
        <v>1585</v>
      </c>
      <c r="B20" s="1119" t="s">
        <v>1593</v>
      </c>
      <c r="C20" s="1120"/>
      <c r="D20" s="1120"/>
      <c r="E20" s="448"/>
    </row>
    <row r="21" customFormat="false" ht="36" hidden="false" customHeight="true" outlineLevel="0" collapsed="false">
      <c r="A21" s="1129"/>
      <c r="B21" s="1130"/>
      <c r="C21" s="1027"/>
      <c r="D21" s="1027"/>
      <c r="E21" s="446"/>
    </row>
    <row r="22" customFormat="false" ht="3.75" hidden="false" customHeight="true" outlineLevel="0" collapsed="false">
      <c r="A22" s="1131"/>
      <c r="B22" s="1131"/>
      <c r="C22" s="1116"/>
      <c r="D22" s="1116"/>
      <c r="E22" s="1117"/>
    </row>
    <row r="23" customFormat="false" ht="24" hidden="false" customHeight="true" outlineLevel="0" collapsed="false">
      <c r="A23" s="1115" t="s">
        <v>1594</v>
      </c>
      <c r="B23" s="1115"/>
      <c r="C23" s="1115"/>
      <c r="D23" s="1115"/>
      <c r="E23" s="1063"/>
    </row>
    <row r="24" customFormat="false" ht="60" hidden="false" customHeight="true" outlineLevel="0" collapsed="false">
      <c r="A24" s="1132" t="s">
        <v>1595</v>
      </c>
      <c r="B24" s="493" t="s">
        <v>1596</v>
      </c>
      <c r="C24" s="1133"/>
      <c r="D24" s="1133"/>
      <c r="E24" s="656"/>
    </row>
    <row r="25" customFormat="false" ht="60" hidden="false" customHeight="true" outlineLevel="0" collapsed="false">
      <c r="A25" s="1134" t="s">
        <v>1597</v>
      </c>
      <c r="B25" s="1127" t="s">
        <v>1598</v>
      </c>
      <c r="C25" s="1128"/>
      <c r="D25" s="1128"/>
      <c r="E25" s="477"/>
    </row>
    <row r="26" customFormat="false" ht="60" hidden="false" customHeight="true" outlineLevel="0" collapsed="false">
      <c r="A26" s="1134" t="s">
        <v>1599</v>
      </c>
      <c r="B26" s="1127" t="s">
        <v>1600</v>
      </c>
      <c r="C26" s="1128"/>
      <c r="D26" s="1128"/>
      <c r="E26" s="477"/>
    </row>
    <row r="27" customFormat="false" ht="60" hidden="false" customHeight="true" outlineLevel="0" collapsed="false">
      <c r="A27" s="1127" t="s">
        <v>1601</v>
      </c>
      <c r="B27" s="1127" t="s">
        <v>1602</v>
      </c>
      <c r="C27" s="1128"/>
      <c r="D27" s="1128"/>
      <c r="E27" s="477"/>
    </row>
    <row r="28" customFormat="false" ht="60" hidden="false" customHeight="true" outlineLevel="0" collapsed="false">
      <c r="A28" s="1127" t="s">
        <v>1603</v>
      </c>
      <c r="B28" s="1127" t="s">
        <v>1604</v>
      </c>
      <c r="C28" s="1128"/>
      <c r="D28" s="1128"/>
      <c r="E28" s="477"/>
    </row>
    <row r="29" customFormat="false" ht="60" hidden="false" customHeight="true" outlineLevel="0" collapsed="false">
      <c r="A29" s="1127" t="s">
        <v>1605</v>
      </c>
      <c r="B29" s="1127" t="s">
        <v>1606</v>
      </c>
      <c r="C29" s="1128"/>
      <c r="D29" s="1128"/>
      <c r="E29" s="477"/>
    </row>
    <row r="30" customFormat="false" ht="60" hidden="false" customHeight="true" outlineLevel="0" collapsed="false">
      <c r="A30" s="1127" t="s">
        <v>1607</v>
      </c>
      <c r="B30" s="1127" t="s">
        <v>1608</v>
      </c>
      <c r="C30" s="1128"/>
      <c r="D30" s="1128"/>
      <c r="E30" s="477"/>
    </row>
    <row r="31" customFormat="false" ht="60" hidden="false" customHeight="true" outlineLevel="0" collapsed="false">
      <c r="A31" s="1127" t="s">
        <v>1609</v>
      </c>
      <c r="B31" s="1127" t="s">
        <v>1610</v>
      </c>
      <c r="C31" s="1128"/>
      <c r="D31" s="1128"/>
      <c r="E31" s="477"/>
    </row>
    <row r="32" customFormat="false" ht="60" hidden="false" customHeight="true" outlineLevel="0" collapsed="false">
      <c r="A32" s="1127" t="s">
        <v>1611</v>
      </c>
      <c r="B32" s="1127" t="s">
        <v>1612</v>
      </c>
      <c r="C32" s="1128"/>
      <c r="D32" s="1128"/>
      <c r="E32" s="477"/>
    </row>
    <row r="33" customFormat="false" ht="3.75" hidden="false" customHeight="true" outlineLevel="0" collapsed="false">
      <c r="A33" s="1116"/>
      <c r="B33" s="1116"/>
      <c r="C33" s="1116"/>
      <c r="D33" s="1116"/>
      <c r="E33" s="1117"/>
    </row>
    <row r="34" customFormat="false" ht="24" hidden="false" customHeight="true" outlineLevel="0" collapsed="false">
      <c r="A34" s="1114" t="s">
        <v>1613</v>
      </c>
      <c r="B34" s="1114"/>
      <c r="C34" s="1115"/>
      <c r="D34" s="1115"/>
      <c r="E34" s="1063"/>
    </row>
    <row r="35" customFormat="false" ht="36" hidden="false" customHeight="true" outlineLevel="0" collapsed="false">
      <c r="A35" s="1135" t="s">
        <v>1585</v>
      </c>
      <c r="B35" s="1119" t="s">
        <v>1614</v>
      </c>
      <c r="C35" s="1120"/>
      <c r="D35" s="1120"/>
      <c r="E35" s="448"/>
    </row>
    <row r="36" customFormat="false" ht="36" hidden="false" customHeight="true" outlineLevel="0" collapsed="false">
      <c r="A36" s="1135" t="s">
        <v>1585</v>
      </c>
      <c r="B36" s="1127" t="s">
        <v>1615</v>
      </c>
      <c r="C36" s="1128"/>
      <c r="D36" s="1128"/>
      <c r="E36" s="477"/>
    </row>
    <row r="37" customFormat="false" ht="36" hidden="false" customHeight="true" outlineLevel="0" collapsed="false">
      <c r="A37" s="1135" t="s">
        <v>1585</v>
      </c>
      <c r="B37" s="1119" t="s">
        <v>1616</v>
      </c>
      <c r="C37" s="1120"/>
      <c r="D37" s="1120"/>
      <c r="E37" s="448"/>
    </row>
    <row r="38" customFormat="false" ht="36" hidden="false" customHeight="true" outlineLevel="0" collapsed="false">
      <c r="A38" s="1135" t="s">
        <v>1585</v>
      </c>
      <c r="B38" s="507" t="s">
        <v>1617</v>
      </c>
      <c r="C38" s="1027"/>
      <c r="D38" s="1027"/>
      <c r="E38" s="446"/>
    </row>
    <row r="39" customFormat="false" ht="36" hidden="false" customHeight="true" outlineLevel="0" collapsed="false">
      <c r="A39" s="1135" t="s">
        <v>1585</v>
      </c>
      <c r="B39" s="1127" t="s">
        <v>1618</v>
      </c>
      <c r="C39" s="1128"/>
      <c r="D39" s="1128"/>
      <c r="E39" s="477"/>
    </row>
    <row r="40" customFormat="false" ht="36" hidden="false" customHeight="true" outlineLevel="0" collapsed="false">
      <c r="A40" s="1135" t="s">
        <v>1585</v>
      </c>
      <c r="B40" s="507" t="s">
        <v>1619</v>
      </c>
      <c r="C40" s="1027"/>
      <c r="D40" s="1027"/>
      <c r="E40" s="446"/>
    </row>
    <row r="41" customFormat="false" ht="36" hidden="false" customHeight="true" outlineLevel="0" collapsed="false">
      <c r="A41" s="1135" t="s">
        <v>1585</v>
      </c>
      <c r="B41" s="1127" t="s">
        <v>1620</v>
      </c>
      <c r="C41" s="1128"/>
      <c r="D41" s="1128"/>
      <c r="E41" s="477"/>
    </row>
    <row r="42" customFormat="false" ht="36" hidden="false" customHeight="true" outlineLevel="0" collapsed="false">
      <c r="A42" s="1135" t="s">
        <v>1585</v>
      </c>
      <c r="B42" s="1127" t="s">
        <v>1621</v>
      </c>
      <c r="C42" s="1128"/>
      <c r="D42" s="1128"/>
      <c r="E42" s="477"/>
    </row>
    <row r="43" customFormat="false" ht="36" hidden="false" customHeight="true" outlineLevel="0" collapsed="false">
      <c r="A43" s="1136"/>
      <c r="B43" s="1137"/>
      <c r="C43" s="1120"/>
      <c r="D43" s="1120"/>
      <c r="E43" s="448"/>
    </row>
    <row r="44" customFormat="false" ht="3.75" hidden="false" customHeight="true" outlineLevel="0" collapsed="false">
      <c r="A44" s="1138"/>
      <c r="B44" s="1139" t="s">
        <v>1622</v>
      </c>
      <c r="C44" s="1116"/>
      <c r="D44" s="1116"/>
      <c r="E44" s="1117"/>
    </row>
    <row r="45" customFormat="false" ht="24" hidden="false" customHeight="true" outlineLevel="0" collapsed="false">
      <c r="A45" s="1115" t="s">
        <v>1623</v>
      </c>
      <c r="B45" s="1115"/>
      <c r="C45" s="1115"/>
      <c r="D45" s="1115"/>
      <c r="E45" s="1063"/>
    </row>
    <row r="46" customFormat="false" ht="27.75" hidden="false" customHeight="true" outlineLevel="0" collapsed="false">
      <c r="A46" s="1124" t="s">
        <v>1585</v>
      </c>
      <c r="B46" s="507" t="s">
        <v>1624</v>
      </c>
      <c r="C46" s="1027"/>
      <c r="D46" s="1027"/>
      <c r="E46" s="446"/>
    </row>
    <row r="47" customFormat="false" ht="27.75" hidden="false" customHeight="true" outlineLevel="0" collapsed="false">
      <c r="A47" s="1125" t="s">
        <v>1585</v>
      </c>
      <c r="B47" s="1119" t="s">
        <v>1625</v>
      </c>
      <c r="C47" s="1120"/>
      <c r="D47" s="1120"/>
      <c r="E47" s="448"/>
    </row>
    <row r="48" customFormat="false" ht="27.75" hidden="false" customHeight="true" outlineLevel="0" collapsed="false">
      <c r="A48" s="1124" t="s">
        <v>1585</v>
      </c>
      <c r="B48" s="507" t="s">
        <v>1626</v>
      </c>
      <c r="C48" s="1027"/>
      <c r="D48" s="1027"/>
      <c r="E48" s="446"/>
    </row>
    <row r="49" customFormat="false" ht="27.75" hidden="false" customHeight="true" outlineLevel="0" collapsed="false">
      <c r="A49" s="1125" t="s">
        <v>1585</v>
      </c>
      <c r="B49" s="1119" t="s">
        <v>1627</v>
      </c>
      <c r="C49" s="1120"/>
      <c r="D49" s="1120"/>
      <c r="E49" s="448"/>
    </row>
    <row r="50" customFormat="false" ht="3.75" hidden="false" customHeight="true" outlineLevel="0" collapsed="false">
      <c r="A50" s="1122"/>
      <c r="B50" s="1123" t="s">
        <v>1628</v>
      </c>
      <c r="C50" s="1116"/>
      <c r="D50" s="1116"/>
      <c r="E50" s="1117"/>
    </row>
    <row r="51" customFormat="false" ht="3.75" hidden="true" customHeight="true" outlineLevel="0" collapsed="false">
      <c r="A51" s="1116"/>
      <c r="B51" s="1116"/>
      <c r="C51" s="1116"/>
      <c r="D51" s="1116"/>
      <c r="E51" s="1117"/>
    </row>
    <row r="52" customFormat="false" ht="3.75" hidden="true" customHeight="true" outlineLevel="0" collapsed="false">
      <c r="A52" s="1140"/>
      <c r="B52" s="1140"/>
      <c r="C52" s="1140"/>
      <c r="D52" s="1140"/>
      <c r="E52" s="1117"/>
    </row>
    <row r="53" customFormat="false" ht="3.75" hidden="true" customHeight="true" outlineLevel="0" collapsed="false">
      <c r="A53" s="1141"/>
      <c r="B53" s="1141"/>
      <c r="C53" s="1141"/>
      <c r="D53" s="1141"/>
      <c r="E53" s="1117"/>
    </row>
    <row r="54" customFormat="false" ht="15" hidden="true" customHeight="true" outlineLevel="0" collapsed="false">
      <c r="A54" s="1142"/>
      <c r="B54" s="1142"/>
      <c r="C54" s="1142"/>
      <c r="D54" s="1142"/>
    </row>
    <row r="55" customFormat="false" ht="79.5" hidden="true" customHeight="true" outlineLevel="0" collapsed="false">
      <c r="A55" s="1143"/>
      <c r="B55" s="1143"/>
      <c r="C55" s="1144"/>
      <c r="D55" s="1144"/>
    </row>
    <row r="56" customFormat="false" ht="79.5" hidden="true" customHeight="true" outlineLevel="0" collapsed="false">
      <c r="A56" s="1143"/>
      <c r="B56" s="1143"/>
      <c r="C56" s="1144"/>
      <c r="D56" s="1144"/>
    </row>
    <row r="57" customFormat="false" ht="79.5" hidden="true" customHeight="true" outlineLevel="0" collapsed="false">
      <c r="A57" s="1143"/>
      <c r="B57" s="1143"/>
      <c r="C57" s="1144"/>
      <c r="D57" s="1144"/>
    </row>
    <row r="58" customFormat="false" ht="79.5" hidden="true" customHeight="true" outlineLevel="0" collapsed="false">
      <c r="A58" s="1143"/>
      <c r="B58" s="1143"/>
      <c r="C58" s="1144"/>
      <c r="D58" s="1144"/>
    </row>
    <row r="59" customFormat="false" ht="15" hidden="true" customHeight="true" outlineLevel="0" collapsed="false">
      <c r="A59" s="298"/>
      <c r="B59" s="298"/>
      <c r="C59" s="298"/>
      <c r="D59" s="298"/>
    </row>
    <row r="60" customFormat="false" ht="15" hidden="true" customHeight="true" outlineLevel="0" collapsed="false">
      <c r="A60" s="1145"/>
      <c r="B60" s="1145"/>
      <c r="C60" s="1145"/>
      <c r="D60" s="1145"/>
    </row>
    <row r="61" customFormat="false" ht="23.25" hidden="true" customHeight="true" outlineLevel="0" collapsed="false">
      <c r="A61" s="1146"/>
      <c r="B61" s="1146"/>
      <c r="C61" s="1146"/>
      <c r="D61" s="1146"/>
    </row>
    <row r="62" customFormat="false" ht="34.5" hidden="true" customHeight="true" outlineLevel="0" collapsed="false">
      <c r="A62" s="1144"/>
      <c r="B62" s="1144"/>
      <c r="C62" s="1144"/>
      <c r="D62" s="1144"/>
    </row>
    <row r="63" customFormat="false" ht="23.25" hidden="true" customHeight="true" outlineLevel="0" collapsed="false">
      <c r="A63" s="1144"/>
      <c r="B63" s="1144"/>
      <c r="C63" s="1144"/>
      <c r="D63" s="1144"/>
    </row>
    <row r="64" customFormat="false" ht="34.5" hidden="true" customHeight="true" outlineLevel="0" collapsed="false">
      <c r="A64" s="1144"/>
      <c r="B64" s="1144"/>
      <c r="C64" s="1144"/>
      <c r="D64" s="1144"/>
    </row>
    <row r="65" customFormat="false" ht="45.75" hidden="true" customHeight="true" outlineLevel="0" collapsed="false">
      <c r="A65" s="1144"/>
      <c r="B65" s="1144"/>
      <c r="C65" s="1144"/>
      <c r="D65" s="1144"/>
    </row>
    <row r="66" customFormat="false" ht="34.5" hidden="true" customHeight="true" outlineLevel="0" collapsed="false">
      <c r="A66" s="1144"/>
      <c r="B66" s="1144"/>
      <c r="C66" s="1144"/>
      <c r="D66" s="1144"/>
    </row>
    <row r="67" customFormat="false" ht="23.25" hidden="true" customHeight="true" outlineLevel="0" collapsed="false">
      <c r="A67" s="1144"/>
      <c r="B67" s="1144"/>
      <c r="C67" s="1144"/>
      <c r="D67" s="1144"/>
    </row>
    <row r="68" customFormat="false" ht="23.25" hidden="true" customHeight="true" outlineLevel="0" collapsed="false">
      <c r="A68" s="1144"/>
      <c r="B68" s="1144"/>
      <c r="C68" s="1144"/>
      <c r="D68" s="1144"/>
    </row>
    <row r="69" customFormat="false" ht="23.25" hidden="true" customHeight="true" outlineLevel="0" collapsed="false">
      <c r="A69" s="1144"/>
      <c r="B69" s="1144"/>
      <c r="C69" s="1144"/>
      <c r="D69" s="1144"/>
    </row>
    <row r="70" customFormat="false" ht="34.5" hidden="true" customHeight="true" outlineLevel="0" collapsed="false">
      <c r="A70" s="1144"/>
      <c r="B70" s="1144"/>
      <c r="C70" s="1144"/>
      <c r="D70" s="1144"/>
    </row>
    <row r="71" customFormat="false" ht="23.25" hidden="true" customHeight="true" outlineLevel="0" collapsed="false">
      <c r="A71" s="1144"/>
      <c r="B71" s="1144"/>
      <c r="C71" s="1144"/>
      <c r="D71" s="1144"/>
    </row>
    <row r="72" customFormat="false" ht="15" hidden="true" customHeight="true" outlineLevel="0" collapsed="false">
      <c r="A72" s="298"/>
      <c r="B72" s="298"/>
      <c r="C72" s="298"/>
      <c r="D72" s="298"/>
    </row>
    <row r="73" customFormat="false" ht="49.5" hidden="true" customHeight="true" outlineLevel="0" collapsed="false">
      <c r="A73" s="1147"/>
      <c r="B73" s="1147"/>
      <c r="C73" s="1147"/>
      <c r="D73" s="1147"/>
    </row>
    <row r="74" customFormat="false" ht="15" hidden="true" customHeight="true" outlineLevel="0" collapsed="false">
      <c r="A74" s="298"/>
      <c r="B74" s="298"/>
      <c r="C74" s="298"/>
      <c r="D74" s="298"/>
    </row>
    <row r="75" customFormat="false" ht="15" hidden="true" customHeight="true" outlineLevel="0" collapsed="false">
      <c r="A75" s="1148"/>
      <c r="B75" s="298"/>
      <c r="C75" s="298"/>
      <c r="D75" s="298"/>
    </row>
    <row r="76" customFormat="false" ht="15" hidden="true" customHeight="true" outlineLevel="0" collapsed="false">
      <c r="A76" s="298"/>
      <c r="B76" s="298"/>
      <c r="C76" s="298"/>
      <c r="D76" s="298"/>
    </row>
    <row r="77" customFormat="false" ht="15" hidden="true" customHeight="true" outlineLevel="0" collapsed="false">
      <c r="A77" s="298"/>
      <c r="B77" s="298"/>
      <c r="C77" s="298"/>
      <c r="D77" s="298"/>
    </row>
    <row r="78" customFormat="false" ht="15" hidden="true" customHeight="true" outlineLevel="0" collapsed="false">
      <c r="A78" s="298"/>
      <c r="B78" s="298"/>
      <c r="C78" s="298"/>
      <c r="D78" s="298"/>
    </row>
    <row r="79" customFormat="false" ht="15" hidden="true" customHeight="true" outlineLevel="0" collapsed="false">
      <c r="A79" s="298"/>
      <c r="B79" s="298"/>
      <c r="C79" s="298"/>
      <c r="D79" s="298"/>
    </row>
    <row r="80" customFormat="false" ht="15" hidden="true" customHeight="true" outlineLevel="0" collapsed="false">
      <c r="A80" s="298"/>
      <c r="B80" s="298"/>
      <c r="C80" s="298"/>
      <c r="D80" s="298"/>
    </row>
    <row r="81" customFormat="false" ht="15" hidden="true" customHeight="true" outlineLevel="0" collapsed="false">
      <c r="A81" s="298"/>
      <c r="B81" s="298"/>
      <c r="C81" s="298"/>
      <c r="D81" s="298"/>
    </row>
    <row r="82" customFormat="false" ht="15" hidden="true" customHeight="true" outlineLevel="0" collapsed="false">
      <c r="A82" s="298"/>
      <c r="B82" s="298"/>
      <c r="C82" s="298"/>
      <c r="D82" s="298"/>
    </row>
    <row r="83" customFormat="false" ht="15" hidden="true" customHeight="true" outlineLevel="0" collapsed="false">
      <c r="A83" s="298"/>
      <c r="B83" s="298"/>
      <c r="C83" s="298"/>
      <c r="D83" s="298"/>
    </row>
    <row r="84" customFormat="false" ht="15" hidden="true" customHeight="true" outlineLevel="0" collapsed="false">
      <c r="A84" s="298"/>
      <c r="B84" s="298"/>
      <c r="C84" s="298"/>
      <c r="D84" s="298"/>
    </row>
    <row r="85" customFormat="false" ht="15" hidden="true" customHeight="true" outlineLevel="0" collapsed="false">
      <c r="A85" s="298"/>
      <c r="B85" s="298"/>
      <c r="C85" s="298"/>
      <c r="D85" s="298"/>
    </row>
    <row r="86" customFormat="false" ht="15" hidden="true" customHeight="true" outlineLevel="0" collapsed="false">
      <c r="A86" s="298"/>
      <c r="B86" s="298"/>
      <c r="C86" s="298"/>
      <c r="D86" s="298"/>
    </row>
    <row r="87" customFormat="false" ht="15" hidden="true" customHeight="true" outlineLevel="0" collapsed="false">
      <c r="A87" s="298"/>
      <c r="B87" s="298"/>
      <c r="C87" s="298"/>
      <c r="D87" s="298"/>
    </row>
    <row r="88" customFormat="false" ht="15" hidden="true" customHeight="true" outlineLevel="0" collapsed="false">
      <c r="A88" s="298"/>
      <c r="B88" s="298"/>
      <c r="C88" s="298"/>
      <c r="D88" s="298"/>
    </row>
    <row r="89" customFormat="false" ht="15" hidden="true" customHeight="true" outlineLevel="0" collapsed="false">
      <c r="A89" s="298"/>
      <c r="B89" s="298"/>
      <c r="C89" s="298"/>
      <c r="D89" s="298"/>
    </row>
    <row r="90" customFormat="false" ht="15" hidden="true" customHeight="true" outlineLevel="0" collapsed="false">
      <c r="A90" s="298"/>
      <c r="B90" s="298"/>
      <c r="C90" s="298"/>
      <c r="D90" s="298"/>
    </row>
    <row r="91" customFormat="false" ht="15" hidden="true" customHeight="true" outlineLevel="0" collapsed="false">
      <c r="A91" s="298"/>
      <c r="B91" s="298"/>
      <c r="C91" s="298"/>
      <c r="D91" s="298"/>
    </row>
    <row r="92" customFormat="false" ht="15" hidden="true" customHeight="true" outlineLevel="0" collapsed="false">
      <c r="A92" s="298"/>
      <c r="B92" s="298"/>
      <c r="C92" s="298"/>
      <c r="D92" s="298"/>
    </row>
    <row r="93" customFormat="false" ht="15" hidden="true" customHeight="true" outlineLevel="0" collapsed="false">
      <c r="A93" s="298"/>
      <c r="B93" s="298"/>
      <c r="C93" s="298"/>
      <c r="D93" s="298"/>
    </row>
    <row r="94" customFormat="false" ht="15" hidden="true" customHeight="true" outlineLevel="0" collapsed="false">
      <c r="A94" s="298"/>
      <c r="B94" s="298"/>
      <c r="C94" s="298"/>
      <c r="D94" s="298"/>
    </row>
    <row r="95" customFormat="false" ht="15" hidden="true" customHeight="true" outlineLevel="0" collapsed="false">
      <c r="A95" s="298"/>
      <c r="B95" s="298"/>
      <c r="C95" s="298"/>
      <c r="D95" s="298"/>
    </row>
    <row r="96" customFormat="false" ht="15" hidden="true" customHeight="true" outlineLevel="0" collapsed="false">
      <c r="A96" s="298"/>
      <c r="B96" s="298"/>
      <c r="C96" s="298"/>
      <c r="D96" s="298"/>
    </row>
    <row r="97" customFormat="false" ht="15" hidden="true" customHeight="true" outlineLevel="0" collapsed="false">
      <c r="A97" s="1148"/>
      <c r="B97" s="298"/>
      <c r="C97" s="298"/>
      <c r="D97" s="298"/>
    </row>
    <row r="98" customFormat="false" ht="15" hidden="true" customHeight="true" outlineLevel="0" collapsed="false">
      <c r="A98" s="962"/>
      <c r="B98" s="298"/>
      <c r="C98" s="298"/>
      <c r="D98" s="298"/>
    </row>
    <row r="99" customFormat="false" ht="15" hidden="true" customHeight="true" outlineLevel="0" collapsed="false">
      <c r="A99" s="298"/>
      <c r="B99" s="298"/>
      <c r="C99" s="298"/>
      <c r="D99" s="298"/>
    </row>
    <row r="100" customFormat="false" ht="15" hidden="true" customHeight="true" outlineLevel="0" collapsed="false">
      <c r="A100" s="298"/>
      <c r="B100" s="298"/>
      <c r="C100" s="298"/>
      <c r="D100" s="298"/>
    </row>
    <row r="101" customFormat="false" ht="15" hidden="true" customHeight="true" outlineLevel="0" collapsed="false">
      <c r="A101" s="962"/>
      <c r="B101" s="962"/>
      <c r="C101" s="962"/>
      <c r="D101" s="962"/>
    </row>
    <row r="102" customFormat="false" ht="15" hidden="true" customHeight="true" outlineLevel="0" collapsed="false">
      <c r="A102" s="298"/>
      <c r="B102" s="298"/>
      <c r="C102" s="298"/>
      <c r="D102" s="298"/>
    </row>
    <row r="103" customFormat="false" ht="15" hidden="true" customHeight="true" outlineLevel="0" collapsed="false">
      <c r="A103" s="298"/>
      <c r="B103" s="298"/>
      <c r="C103" s="298"/>
      <c r="D103" s="298"/>
    </row>
    <row r="104" customFormat="false" ht="15" hidden="true" customHeight="true" outlineLevel="0" collapsed="false">
      <c r="A104" s="298"/>
      <c r="B104" s="298"/>
      <c r="C104" s="298"/>
      <c r="D104" s="298"/>
    </row>
    <row r="105" customFormat="false" ht="15" hidden="true" customHeight="true" outlineLevel="0" collapsed="false">
      <c r="A105" s="298"/>
      <c r="B105" s="298"/>
      <c r="C105" s="298"/>
      <c r="D105" s="298"/>
    </row>
    <row r="106" customFormat="false" ht="15" hidden="true" customHeight="true" outlineLevel="0" collapsed="false">
      <c r="A106" s="298"/>
      <c r="B106" s="298"/>
      <c r="C106" s="298"/>
      <c r="D106" s="298"/>
    </row>
    <row r="107" customFormat="false" ht="15" hidden="true" customHeight="true" outlineLevel="0" collapsed="false">
      <c r="A107" s="962"/>
      <c r="B107" s="298"/>
      <c r="C107" s="298"/>
      <c r="D107" s="298"/>
    </row>
    <row r="108" customFormat="false" ht="14.25" hidden="true" customHeight="true" outlineLevel="0" collapsed="false"/>
    <row r="109" customFormat="false" ht="14.25" hidden="true" customHeight="true" outlineLevel="0" collapsed="false">
      <c r="A109" s="1148"/>
    </row>
    <row r="110" customFormat="false" ht="14.25" hidden="true" customHeight="true" outlineLevel="0" collapsed="false">
      <c r="A110" s="962"/>
    </row>
    <row r="111" customFormat="false" ht="90" hidden="true" customHeight="true" outlineLevel="0" collapsed="false">
      <c r="A111" s="1149"/>
    </row>
    <row r="112" customFormat="false" ht="75" hidden="true" customHeight="true" outlineLevel="0" collapsed="false">
      <c r="A112" s="1150"/>
    </row>
    <row r="113" customFormat="false" ht="14.25" hidden="true" customHeight="true" outlineLevel="0" collapsed="false"/>
    <row r="114" customFormat="false" ht="14.25" hidden="true" customHeight="true" outlineLevel="0" collapsed="false"/>
    <row r="115" customFormat="false" ht="14.25" hidden="true" customHeight="true" outlineLevel="0" collapsed="false"/>
    <row r="116" customFormat="false" ht="14.25" hidden="true" customHeight="true" outlineLevel="0" collapsed="false"/>
    <row r="117" customFormat="false" ht="14.25" hidden="true" customHeight="true" outlineLevel="0" collapsed="false"/>
    <row r="118" customFormat="false" ht="14.25" hidden="true" customHeight="true" outlineLevel="0" collapsed="false"/>
    <row r="119" customFormat="false" ht="14.25" hidden="true" customHeight="true" outlineLevel="0" collapsed="false"/>
    <row r="120" customFormat="false" ht="14.25" hidden="true" customHeight="true" outlineLevel="0" collapsed="false"/>
    <row r="121" customFormat="false" ht="14.25" hidden="true" customHeight="true" outlineLevel="0" collapsed="false"/>
    <row r="122" customFormat="false" ht="14.25" hidden="true" customHeight="true" outlineLevel="0" collapsed="false"/>
    <row r="123" customFormat="false" ht="14.25" hidden="true" customHeight="true" outlineLevel="0" collapsed="false"/>
    <row r="124" customFormat="false" ht="14.25" hidden="true" customHeight="true" outlineLevel="0" collapsed="false"/>
    <row r="125" customFormat="false" ht="14.25" hidden="true" customHeight="true" outlineLevel="0" collapsed="false"/>
    <row r="126" customFormat="false" ht="14.25" hidden="true" customHeight="true" outlineLevel="0" collapsed="false"/>
    <row r="127" customFormat="false" ht="14.25" hidden="true" customHeight="true" outlineLevel="0" collapsed="false"/>
    <row r="128" customFormat="false" ht="14.25" hidden="true" customHeight="true" outlineLevel="0" collapsed="false"/>
    <row r="129" customFormat="false" ht="14.25" hidden="true" customHeight="true" outlineLevel="0" collapsed="false"/>
    <row r="130" customFormat="false" ht="14.25" hidden="true" customHeight="true" outlineLevel="0" collapsed="false"/>
    <row r="131" customFormat="false" ht="14.25" hidden="true" customHeight="true" outlineLevel="0" collapsed="false"/>
    <row r="132" customFormat="false" ht="14.25" hidden="true" customHeight="true" outlineLevel="0" collapsed="false"/>
    <row r="133" customFormat="false" ht="14.25" hidden="true" customHeight="true" outlineLevel="0" collapsed="false"/>
    <row r="134" customFormat="false" ht="14.25" hidden="true" customHeight="true" outlineLevel="0" collapsed="false"/>
    <row r="135" customFormat="false" ht="14.25" hidden="true" customHeight="true" outlineLevel="0" collapsed="false"/>
    <row r="136" customFormat="false" ht="14.25" hidden="true" customHeight="true" outlineLevel="0" collapsed="false"/>
    <row r="137" customFormat="false" ht="14.25" hidden="true" customHeight="true" outlineLevel="0" collapsed="false"/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</sheetData>
  <mergeCells count="9">
    <mergeCell ref="A1:B1"/>
    <mergeCell ref="A2:B2"/>
    <mergeCell ref="A4:B4"/>
    <mergeCell ref="A22:B22"/>
    <mergeCell ref="A34:B34"/>
    <mergeCell ref="A52:D52"/>
    <mergeCell ref="A53:D53"/>
    <mergeCell ref="A60:D60"/>
    <mergeCell ref="A73:D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2026-05-12T09:39:08Z</dcterms:created>
  <dc:creator>openpyxl</dc:creator>
  <dc:description/>
  <dc:language>en-US</dc:language>
  <cp:lastModifiedBy>Divyanshu  Vatsa</cp:lastModifiedBy>
  <dcterms:modified xsi:type="dcterms:W3CDTF">2026-05-25T05:55:17Z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